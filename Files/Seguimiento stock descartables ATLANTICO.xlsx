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largentina.sharepoint.com/sites/Compass-Abastecimiento2/Shared Documents/10. Operador Descartables/COMPRAS DESCARTABLES MORENO Y CIUDADELA/"/>
    </mc:Choice>
  </mc:AlternateContent>
  <xr:revisionPtr revIDLastSave="22" documentId="11_3C8922545A14A81A6CDB98A30A80F0C10E4BC231" xr6:coauthVersionLast="47" xr6:coauthVersionMax="47" xr10:uidLastSave="{13434EC2-E3C9-45A1-858E-A2DF7F099E41}"/>
  <bookViews>
    <workbookView xWindow="-110" yWindow="-110" windowWidth="19420" windowHeight="11020" activeTab="2" xr2:uid="{00000000-000D-0000-FFFF-FFFF00000000}"/>
  </bookViews>
  <sheets>
    <sheet name="Consumos" sheetId="1" r:id="rId1"/>
    <sheet name="Stock" sheetId="2" r:id="rId2"/>
    <sheet name="Necesidad por famil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5" i="2" l="1"/>
  <c r="P296" i="2"/>
  <c r="P297" i="2"/>
  <c r="Q297" i="2" s="1"/>
  <c r="P298" i="2"/>
  <c r="P299" i="2"/>
  <c r="P300" i="2"/>
  <c r="P301" i="2"/>
  <c r="Q301" i="2" s="1"/>
  <c r="P302" i="2"/>
  <c r="Q302" i="2" s="1"/>
  <c r="P303" i="2"/>
  <c r="Q303" i="2" s="1"/>
  <c r="P304" i="2"/>
  <c r="P305" i="2"/>
  <c r="R305" i="2" s="1"/>
  <c r="S305" i="2" s="1"/>
  <c r="P306" i="2"/>
  <c r="Q306" i="2" s="1"/>
  <c r="P307" i="2"/>
  <c r="Q295" i="2"/>
  <c r="Q296" i="2"/>
  <c r="Q298" i="2"/>
  <c r="Q299" i="2"/>
  <c r="Q300" i="2"/>
  <c r="Q304" i="2"/>
  <c r="Q305" i="2"/>
  <c r="Q307" i="2"/>
  <c r="R295" i="2"/>
  <c r="S295" i="2" s="1"/>
  <c r="R296" i="2"/>
  <c r="R297" i="2"/>
  <c r="R298" i="2"/>
  <c r="R299" i="2"/>
  <c r="S299" i="2" s="1"/>
  <c r="R300" i="2"/>
  <c r="S300" i="2" s="1"/>
  <c r="R303" i="2"/>
  <c r="R304" i="2"/>
  <c r="S304" i="2" s="1"/>
  <c r="R306" i="2"/>
  <c r="S306" i="2" s="1"/>
  <c r="R307" i="2"/>
  <c r="S307" i="2" s="1"/>
  <c r="S296" i="2"/>
  <c r="S297" i="2"/>
  <c r="S298" i="2"/>
  <c r="S303" i="2"/>
  <c r="S4072" i="2"/>
  <c r="R4072" i="2"/>
  <c r="Q4072" i="2"/>
  <c r="P4072" i="2"/>
  <c r="S4071" i="2"/>
  <c r="R4071" i="2"/>
  <c r="Q4071" i="2"/>
  <c r="P4071" i="2"/>
  <c r="S4070" i="2"/>
  <c r="R4070" i="2"/>
  <c r="Q4070" i="2"/>
  <c r="P4070" i="2"/>
  <c r="S4069" i="2"/>
  <c r="R4069" i="2"/>
  <c r="Q4069" i="2"/>
  <c r="P4069" i="2"/>
  <c r="S4068" i="2"/>
  <c r="R4068" i="2"/>
  <c r="Q4068" i="2"/>
  <c r="P4068" i="2"/>
  <c r="S4067" i="2"/>
  <c r="R4067" i="2"/>
  <c r="Q4067" i="2"/>
  <c r="P4067" i="2"/>
  <c r="S4066" i="2"/>
  <c r="R4066" i="2"/>
  <c r="Q4066" i="2"/>
  <c r="P4066" i="2"/>
  <c r="S4065" i="2"/>
  <c r="R4065" i="2"/>
  <c r="Q4065" i="2"/>
  <c r="P4065" i="2"/>
  <c r="S4064" i="2"/>
  <c r="R4064" i="2"/>
  <c r="Q4064" i="2"/>
  <c r="P4064" i="2"/>
  <c r="S4063" i="2"/>
  <c r="R4063" i="2"/>
  <c r="Q4063" i="2"/>
  <c r="P4063" i="2"/>
  <c r="S4062" i="2"/>
  <c r="R4062" i="2"/>
  <c r="Q4062" i="2"/>
  <c r="P4062" i="2"/>
  <c r="S4061" i="2"/>
  <c r="R4061" i="2"/>
  <c r="Q4061" i="2"/>
  <c r="P4061" i="2"/>
  <c r="S4060" i="2"/>
  <c r="R4060" i="2"/>
  <c r="Q4060" i="2"/>
  <c r="P4060" i="2"/>
  <c r="S4059" i="2"/>
  <c r="R4059" i="2"/>
  <c r="Q4059" i="2"/>
  <c r="P4059" i="2"/>
  <c r="S4058" i="2"/>
  <c r="R4058" i="2"/>
  <c r="Q4058" i="2"/>
  <c r="P4058" i="2"/>
  <c r="S4057" i="2"/>
  <c r="R4057" i="2"/>
  <c r="Q4057" i="2"/>
  <c r="P4057" i="2"/>
  <c r="S4056" i="2"/>
  <c r="R4056" i="2"/>
  <c r="Q4056" i="2"/>
  <c r="P4056" i="2"/>
  <c r="S4055" i="2"/>
  <c r="R4055" i="2"/>
  <c r="Q4055" i="2"/>
  <c r="P4055" i="2"/>
  <c r="S4054" i="2"/>
  <c r="R4054" i="2"/>
  <c r="Q4054" i="2"/>
  <c r="P4054" i="2"/>
  <c r="S4053" i="2"/>
  <c r="R4053" i="2"/>
  <c r="Q4053" i="2"/>
  <c r="P4053" i="2"/>
  <c r="S4052" i="2"/>
  <c r="R4052" i="2"/>
  <c r="Q4052" i="2"/>
  <c r="P4052" i="2"/>
  <c r="S4051" i="2"/>
  <c r="R4051" i="2"/>
  <c r="Q4051" i="2"/>
  <c r="P4051" i="2"/>
  <c r="S4050" i="2"/>
  <c r="R4050" i="2"/>
  <c r="Q4050" i="2"/>
  <c r="P4050" i="2"/>
  <c r="S4049" i="2"/>
  <c r="R4049" i="2"/>
  <c r="Q4049" i="2"/>
  <c r="P4049" i="2"/>
  <c r="S4048" i="2"/>
  <c r="R4048" i="2"/>
  <c r="Q4048" i="2"/>
  <c r="P4048" i="2"/>
  <c r="S4047" i="2"/>
  <c r="R4047" i="2"/>
  <c r="Q4047" i="2"/>
  <c r="P4047" i="2"/>
  <c r="S4046" i="2"/>
  <c r="R4046" i="2"/>
  <c r="Q4046" i="2"/>
  <c r="P4046" i="2"/>
  <c r="S4045" i="2"/>
  <c r="R4045" i="2"/>
  <c r="Q4045" i="2"/>
  <c r="P4045" i="2"/>
  <c r="S4044" i="2"/>
  <c r="R4044" i="2"/>
  <c r="Q4044" i="2"/>
  <c r="P4044" i="2"/>
  <c r="S4043" i="2"/>
  <c r="R4043" i="2"/>
  <c r="Q4043" i="2"/>
  <c r="P4043" i="2"/>
  <c r="S4042" i="2"/>
  <c r="R4042" i="2"/>
  <c r="Q4042" i="2"/>
  <c r="P4042" i="2"/>
  <c r="S4041" i="2"/>
  <c r="R4041" i="2"/>
  <c r="Q4041" i="2"/>
  <c r="P4041" i="2"/>
  <c r="S4040" i="2"/>
  <c r="R4040" i="2"/>
  <c r="Q4040" i="2"/>
  <c r="P4040" i="2"/>
  <c r="S4039" i="2"/>
  <c r="R4039" i="2"/>
  <c r="Q4039" i="2"/>
  <c r="P4039" i="2"/>
  <c r="S4038" i="2"/>
  <c r="R4038" i="2"/>
  <c r="Q4038" i="2"/>
  <c r="P4038" i="2"/>
  <c r="S4037" i="2"/>
  <c r="R4037" i="2"/>
  <c r="Q4037" i="2"/>
  <c r="P4037" i="2"/>
  <c r="S4036" i="2"/>
  <c r="R4036" i="2"/>
  <c r="Q4036" i="2"/>
  <c r="P4036" i="2"/>
  <c r="S4035" i="2"/>
  <c r="R4035" i="2"/>
  <c r="Q4035" i="2"/>
  <c r="P4035" i="2"/>
  <c r="S4034" i="2"/>
  <c r="R4034" i="2"/>
  <c r="Q4034" i="2"/>
  <c r="P4034" i="2"/>
  <c r="S4033" i="2"/>
  <c r="R4033" i="2"/>
  <c r="Q4033" i="2"/>
  <c r="P4033" i="2"/>
  <c r="S4032" i="2"/>
  <c r="R4032" i="2"/>
  <c r="Q4032" i="2"/>
  <c r="P4032" i="2"/>
  <c r="S4031" i="2"/>
  <c r="R4031" i="2"/>
  <c r="Q4031" i="2"/>
  <c r="P4031" i="2"/>
  <c r="S4030" i="2"/>
  <c r="R4030" i="2"/>
  <c r="Q4030" i="2"/>
  <c r="P4030" i="2"/>
  <c r="S4029" i="2"/>
  <c r="R4029" i="2"/>
  <c r="Q4029" i="2"/>
  <c r="P4029" i="2"/>
  <c r="S4028" i="2"/>
  <c r="R4028" i="2"/>
  <c r="Q4028" i="2"/>
  <c r="P4028" i="2"/>
  <c r="S4027" i="2"/>
  <c r="R4027" i="2"/>
  <c r="Q4027" i="2"/>
  <c r="P4027" i="2"/>
  <c r="S4026" i="2"/>
  <c r="R4026" i="2"/>
  <c r="Q4026" i="2"/>
  <c r="P4026" i="2"/>
  <c r="S4025" i="2"/>
  <c r="R4025" i="2"/>
  <c r="Q4025" i="2"/>
  <c r="P4025" i="2"/>
  <c r="S4024" i="2"/>
  <c r="R4024" i="2"/>
  <c r="Q4024" i="2"/>
  <c r="P4024" i="2"/>
  <c r="S4023" i="2"/>
  <c r="R4023" i="2"/>
  <c r="Q4023" i="2"/>
  <c r="P4023" i="2"/>
  <c r="S4022" i="2"/>
  <c r="R4022" i="2"/>
  <c r="Q4022" i="2"/>
  <c r="P4022" i="2"/>
  <c r="S4021" i="2"/>
  <c r="R4021" i="2"/>
  <c r="Q4021" i="2"/>
  <c r="P4021" i="2"/>
  <c r="S4020" i="2"/>
  <c r="R4020" i="2"/>
  <c r="Q4020" i="2"/>
  <c r="P4020" i="2"/>
  <c r="S4019" i="2"/>
  <c r="R4019" i="2"/>
  <c r="Q4019" i="2"/>
  <c r="P4019" i="2"/>
  <c r="S4018" i="2"/>
  <c r="R4018" i="2"/>
  <c r="Q4018" i="2"/>
  <c r="P4018" i="2"/>
  <c r="S4017" i="2"/>
  <c r="R4017" i="2"/>
  <c r="Q4017" i="2"/>
  <c r="P4017" i="2"/>
  <c r="S4016" i="2"/>
  <c r="R4016" i="2"/>
  <c r="Q4016" i="2"/>
  <c r="P4016" i="2"/>
  <c r="S4015" i="2"/>
  <c r="R4015" i="2"/>
  <c r="Q4015" i="2"/>
  <c r="P4015" i="2"/>
  <c r="S4014" i="2"/>
  <c r="R4014" i="2"/>
  <c r="Q4014" i="2"/>
  <c r="P4014" i="2"/>
  <c r="S4013" i="2"/>
  <c r="R4013" i="2"/>
  <c r="Q4013" i="2"/>
  <c r="P4013" i="2"/>
  <c r="S4012" i="2"/>
  <c r="R4012" i="2"/>
  <c r="Q4012" i="2"/>
  <c r="P4012" i="2"/>
  <c r="S4011" i="2"/>
  <c r="R4011" i="2"/>
  <c r="Q4011" i="2"/>
  <c r="P4011" i="2"/>
  <c r="S4010" i="2"/>
  <c r="R4010" i="2"/>
  <c r="Q4010" i="2"/>
  <c r="P4010" i="2"/>
  <c r="S4009" i="2"/>
  <c r="R4009" i="2"/>
  <c r="Q4009" i="2"/>
  <c r="P4009" i="2"/>
  <c r="S4008" i="2"/>
  <c r="R4008" i="2"/>
  <c r="Q4008" i="2"/>
  <c r="P4008" i="2"/>
  <c r="S4007" i="2"/>
  <c r="R4007" i="2"/>
  <c r="Q4007" i="2"/>
  <c r="P4007" i="2"/>
  <c r="S4006" i="2"/>
  <c r="R4006" i="2"/>
  <c r="Q4006" i="2"/>
  <c r="P4006" i="2"/>
  <c r="S4005" i="2"/>
  <c r="R4005" i="2"/>
  <c r="Q4005" i="2"/>
  <c r="P4005" i="2"/>
  <c r="S4004" i="2"/>
  <c r="R4004" i="2"/>
  <c r="Q4004" i="2"/>
  <c r="P4004" i="2"/>
  <c r="S4003" i="2"/>
  <c r="R4003" i="2"/>
  <c r="Q4003" i="2"/>
  <c r="P4003" i="2"/>
  <c r="S4002" i="2"/>
  <c r="R4002" i="2"/>
  <c r="Q4002" i="2"/>
  <c r="P4002" i="2"/>
  <c r="S4001" i="2"/>
  <c r="R4001" i="2"/>
  <c r="Q4001" i="2"/>
  <c r="P4001" i="2"/>
  <c r="S4000" i="2"/>
  <c r="R4000" i="2"/>
  <c r="Q4000" i="2"/>
  <c r="P4000" i="2"/>
  <c r="S3999" i="2"/>
  <c r="R3999" i="2"/>
  <c r="Q3999" i="2"/>
  <c r="P3999" i="2"/>
  <c r="S3998" i="2"/>
  <c r="R3998" i="2"/>
  <c r="Q3998" i="2"/>
  <c r="P3998" i="2"/>
  <c r="S3997" i="2"/>
  <c r="R3997" i="2"/>
  <c r="Q3997" i="2"/>
  <c r="P3997" i="2"/>
  <c r="S3996" i="2"/>
  <c r="R3996" i="2"/>
  <c r="Q3996" i="2"/>
  <c r="P3996" i="2"/>
  <c r="S3995" i="2"/>
  <c r="R3995" i="2"/>
  <c r="Q3995" i="2"/>
  <c r="P3995" i="2"/>
  <c r="S3994" i="2"/>
  <c r="R3994" i="2"/>
  <c r="Q3994" i="2"/>
  <c r="P3994" i="2"/>
  <c r="S3993" i="2"/>
  <c r="R3993" i="2"/>
  <c r="Q3993" i="2"/>
  <c r="P3993" i="2"/>
  <c r="S3992" i="2"/>
  <c r="R3992" i="2"/>
  <c r="Q3992" i="2"/>
  <c r="P3992" i="2"/>
  <c r="S3991" i="2"/>
  <c r="R3991" i="2"/>
  <c r="Q3991" i="2"/>
  <c r="P3991" i="2"/>
  <c r="S3990" i="2"/>
  <c r="R3990" i="2"/>
  <c r="Q3990" i="2"/>
  <c r="P3990" i="2"/>
  <c r="S3989" i="2"/>
  <c r="R3989" i="2"/>
  <c r="Q3989" i="2"/>
  <c r="P3989" i="2"/>
  <c r="S3988" i="2"/>
  <c r="R3988" i="2"/>
  <c r="Q3988" i="2"/>
  <c r="P3988" i="2"/>
  <c r="S3987" i="2"/>
  <c r="R3987" i="2"/>
  <c r="Q3987" i="2"/>
  <c r="P3987" i="2"/>
  <c r="S3986" i="2"/>
  <c r="R3986" i="2"/>
  <c r="Q3986" i="2"/>
  <c r="P3986" i="2"/>
  <c r="S3985" i="2"/>
  <c r="R3985" i="2"/>
  <c r="Q3985" i="2"/>
  <c r="P3985" i="2"/>
  <c r="S3984" i="2"/>
  <c r="R3984" i="2"/>
  <c r="Q3984" i="2"/>
  <c r="P3984" i="2"/>
  <c r="S3983" i="2"/>
  <c r="R3983" i="2"/>
  <c r="Q3983" i="2"/>
  <c r="P3983" i="2"/>
  <c r="S3982" i="2"/>
  <c r="R3982" i="2"/>
  <c r="Q3982" i="2"/>
  <c r="P3982" i="2"/>
  <c r="S3981" i="2"/>
  <c r="R3981" i="2"/>
  <c r="Q3981" i="2"/>
  <c r="P3981" i="2"/>
  <c r="S3980" i="2"/>
  <c r="R3980" i="2"/>
  <c r="Q3980" i="2"/>
  <c r="P3980" i="2"/>
  <c r="S3979" i="2"/>
  <c r="R3979" i="2"/>
  <c r="Q3979" i="2"/>
  <c r="P3979" i="2"/>
  <c r="S3978" i="2"/>
  <c r="R3978" i="2"/>
  <c r="Q3978" i="2"/>
  <c r="P3978" i="2"/>
  <c r="S3977" i="2"/>
  <c r="R3977" i="2"/>
  <c r="Q3977" i="2"/>
  <c r="P3977" i="2"/>
  <c r="S3976" i="2"/>
  <c r="R3976" i="2"/>
  <c r="Q3976" i="2"/>
  <c r="P3976" i="2"/>
  <c r="S3975" i="2"/>
  <c r="R3975" i="2"/>
  <c r="Q3975" i="2"/>
  <c r="P3975" i="2"/>
  <c r="S3974" i="2"/>
  <c r="R3974" i="2"/>
  <c r="Q3974" i="2"/>
  <c r="P3974" i="2"/>
  <c r="S3973" i="2"/>
  <c r="R3973" i="2"/>
  <c r="Q3973" i="2"/>
  <c r="P3973" i="2"/>
  <c r="S3972" i="2"/>
  <c r="R3972" i="2"/>
  <c r="Q3972" i="2"/>
  <c r="P3972" i="2"/>
  <c r="S3971" i="2"/>
  <c r="R3971" i="2"/>
  <c r="Q3971" i="2"/>
  <c r="P3971" i="2"/>
  <c r="S3970" i="2"/>
  <c r="R3970" i="2"/>
  <c r="Q3970" i="2"/>
  <c r="P3970" i="2"/>
  <c r="S3969" i="2"/>
  <c r="R3969" i="2"/>
  <c r="Q3969" i="2"/>
  <c r="P3969" i="2"/>
  <c r="S3968" i="2"/>
  <c r="R3968" i="2"/>
  <c r="Q3968" i="2"/>
  <c r="P3968" i="2"/>
  <c r="S3967" i="2"/>
  <c r="R3967" i="2"/>
  <c r="Q3967" i="2"/>
  <c r="P3967" i="2"/>
  <c r="S3966" i="2"/>
  <c r="R3966" i="2"/>
  <c r="Q3966" i="2"/>
  <c r="P3966" i="2"/>
  <c r="S3965" i="2"/>
  <c r="R3965" i="2"/>
  <c r="Q3965" i="2"/>
  <c r="P3965" i="2"/>
  <c r="S3964" i="2"/>
  <c r="R3964" i="2"/>
  <c r="Q3964" i="2"/>
  <c r="P3964" i="2"/>
  <c r="S3963" i="2"/>
  <c r="R3963" i="2"/>
  <c r="Q3963" i="2"/>
  <c r="P3963" i="2"/>
  <c r="S3962" i="2"/>
  <c r="R3962" i="2"/>
  <c r="Q3962" i="2"/>
  <c r="P3962" i="2"/>
  <c r="S3961" i="2"/>
  <c r="R3961" i="2"/>
  <c r="Q3961" i="2"/>
  <c r="P3961" i="2"/>
  <c r="S3960" i="2"/>
  <c r="R3960" i="2"/>
  <c r="Q3960" i="2"/>
  <c r="P3960" i="2"/>
  <c r="S3959" i="2"/>
  <c r="R3959" i="2"/>
  <c r="Q3959" i="2"/>
  <c r="P3959" i="2"/>
  <c r="S3958" i="2"/>
  <c r="R3958" i="2"/>
  <c r="Q3958" i="2"/>
  <c r="P3958" i="2"/>
  <c r="S3957" i="2"/>
  <c r="R3957" i="2"/>
  <c r="Q3957" i="2"/>
  <c r="P3957" i="2"/>
  <c r="S3956" i="2"/>
  <c r="R3956" i="2"/>
  <c r="Q3956" i="2"/>
  <c r="P3956" i="2"/>
  <c r="S3955" i="2"/>
  <c r="R3955" i="2"/>
  <c r="Q3955" i="2"/>
  <c r="P3955" i="2"/>
  <c r="S3954" i="2"/>
  <c r="R3954" i="2"/>
  <c r="Q3954" i="2"/>
  <c r="P3954" i="2"/>
  <c r="S3953" i="2"/>
  <c r="R3953" i="2"/>
  <c r="Q3953" i="2"/>
  <c r="P3953" i="2"/>
  <c r="S3952" i="2"/>
  <c r="R3952" i="2"/>
  <c r="Q3952" i="2"/>
  <c r="P3952" i="2"/>
  <c r="S3951" i="2"/>
  <c r="R3951" i="2"/>
  <c r="Q3951" i="2"/>
  <c r="P3951" i="2"/>
  <c r="S3950" i="2"/>
  <c r="R3950" i="2"/>
  <c r="Q3950" i="2"/>
  <c r="P3950" i="2"/>
  <c r="S3949" i="2"/>
  <c r="R3949" i="2"/>
  <c r="Q3949" i="2"/>
  <c r="P3949" i="2"/>
  <c r="S3948" i="2"/>
  <c r="R3948" i="2"/>
  <c r="Q3948" i="2"/>
  <c r="P3948" i="2"/>
  <c r="S3947" i="2"/>
  <c r="R3947" i="2"/>
  <c r="Q3947" i="2"/>
  <c r="P3947" i="2"/>
  <c r="S3946" i="2"/>
  <c r="R3946" i="2"/>
  <c r="Q3946" i="2"/>
  <c r="P3946" i="2"/>
  <c r="S3945" i="2"/>
  <c r="R3945" i="2"/>
  <c r="Q3945" i="2"/>
  <c r="P3945" i="2"/>
  <c r="S3944" i="2"/>
  <c r="R3944" i="2"/>
  <c r="Q3944" i="2"/>
  <c r="P3944" i="2"/>
  <c r="S3943" i="2"/>
  <c r="R3943" i="2"/>
  <c r="Q3943" i="2"/>
  <c r="P3943" i="2"/>
  <c r="S3942" i="2"/>
  <c r="R3942" i="2"/>
  <c r="Q3942" i="2"/>
  <c r="P3942" i="2"/>
  <c r="S3941" i="2"/>
  <c r="R3941" i="2"/>
  <c r="Q3941" i="2"/>
  <c r="P3941" i="2"/>
  <c r="S3940" i="2"/>
  <c r="R3940" i="2"/>
  <c r="Q3940" i="2"/>
  <c r="P3940" i="2"/>
  <c r="S3939" i="2"/>
  <c r="R3939" i="2"/>
  <c r="Q3939" i="2"/>
  <c r="P3939" i="2"/>
  <c r="S3938" i="2"/>
  <c r="R3938" i="2"/>
  <c r="Q3938" i="2"/>
  <c r="P3938" i="2"/>
  <c r="S3937" i="2"/>
  <c r="R3937" i="2"/>
  <c r="Q3937" i="2"/>
  <c r="P3937" i="2"/>
  <c r="S3936" i="2"/>
  <c r="R3936" i="2"/>
  <c r="Q3936" i="2"/>
  <c r="P3936" i="2"/>
  <c r="S3935" i="2"/>
  <c r="R3935" i="2"/>
  <c r="Q3935" i="2"/>
  <c r="P3935" i="2"/>
  <c r="S3934" i="2"/>
  <c r="R3934" i="2"/>
  <c r="Q3934" i="2"/>
  <c r="P3934" i="2"/>
  <c r="S3933" i="2"/>
  <c r="R3933" i="2"/>
  <c r="Q3933" i="2"/>
  <c r="P3933" i="2"/>
  <c r="S3932" i="2"/>
  <c r="R3932" i="2"/>
  <c r="Q3932" i="2"/>
  <c r="P3932" i="2"/>
  <c r="S3931" i="2"/>
  <c r="R3931" i="2"/>
  <c r="Q3931" i="2"/>
  <c r="P3931" i="2"/>
  <c r="S3930" i="2"/>
  <c r="R3930" i="2"/>
  <c r="Q3930" i="2"/>
  <c r="P3930" i="2"/>
  <c r="S3929" i="2"/>
  <c r="R3929" i="2"/>
  <c r="Q3929" i="2"/>
  <c r="P3929" i="2"/>
  <c r="S3928" i="2"/>
  <c r="R3928" i="2"/>
  <c r="Q3928" i="2"/>
  <c r="P3928" i="2"/>
  <c r="S3927" i="2"/>
  <c r="R3927" i="2"/>
  <c r="Q3927" i="2"/>
  <c r="P3927" i="2"/>
  <c r="S3926" i="2"/>
  <c r="R3926" i="2"/>
  <c r="Q3926" i="2"/>
  <c r="P3926" i="2"/>
  <c r="S3925" i="2"/>
  <c r="R3925" i="2"/>
  <c r="Q3925" i="2"/>
  <c r="P3925" i="2"/>
  <c r="S3924" i="2"/>
  <c r="R3924" i="2"/>
  <c r="Q3924" i="2"/>
  <c r="P3924" i="2"/>
  <c r="S3923" i="2"/>
  <c r="R3923" i="2"/>
  <c r="Q3923" i="2"/>
  <c r="P3923" i="2"/>
  <c r="S3922" i="2"/>
  <c r="R3922" i="2"/>
  <c r="Q3922" i="2"/>
  <c r="P3922" i="2"/>
  <c r="S3921" i="2"/>
  <c r="R3921" i="2"/>
  <c r="Q3921" i="2"/>
  <c r="P3921" i="2"/>
  <c r="S3920" i="2"/>
  <c r="R3920" i="2"/>
  <c r="Q3920" i="2"/>
  <c r="P3920" i="2"/>
  <c r="S3919" i="2"/>
  <c r="R3919" i="2"/>
  <c r="Q3919" i="2"/>
  <c r="P3919" i="2"/>
  <c r="S3918" i="2"/>
  <c r="R3918" i="2"/>
  <c r="Q3918" i="2"/>
  <c r="P3918" i="2"/>
  <c r="S3917" i="2"/>
  <c r="R3917" i="2"/>
  <c r="Q3917" i="2"/>
  <c r="P3917" i="2"/>
  <c r="S3916" i="2"/>
  <c r="R3916" i="2"/>
  <c r="Q3916" i="2"/>
  <c r="P3916" i="2"/>
  <c r="S3915" i="2"/>
  <c r="R3915" i="2"/>
  <c r="Q3915" i="2"/>
  <c r="P3915" i="2"/>
  <c r="S3914" i="2"/>
  <c r="R3914" i="2"/>
  <c r="Q3914" i="2"/>
  <c r="P3914" i="2"/>
  <c r="S3913" i="2"/>
  <c r="R3913" i="2"/>
  <c r="Q3913" i="2"/>
  <c r="P3913" i="2"/>
  <c r="S3912" i="2"/>
  <c r="R3912" i="2"/>
  <c r="Q3912" i="2"/>
  <c r="P3912" i="2"/>
  <c r="S3911" i="2"/>
  <c r="R3911" i="2"/>
  <c r="Q3911" i="2"/>
  <c r="P3911" i="2"/>
  <c r="S3910" i="2"/>
  <c r="R3910" i="2"/>
  <c r="Q3910" i="2"/>
  <c r="P3910" i="2"/>
  <c r="S3909" i="2"/>
  <c r="R3909" i="2"/>
  <c r="Q3909" i="2"/>
  <c r="P3909" i="2"/>
  <c r="S3908" i="2"/>
  <c r="R3908" i="2"/>
  <c r="Q3908" i="2"/>
  <c r="P3908" i="2"/>
  <c r="S3907" i="2"/>
  <c r="R3907" i="2"/>
  <c r="Q3907" i="2"/>
  <c r="P3907" i="2"/>
  <c r="S3906" i="2"/>
  <c r="R3906" i="2"/>
  <c r="Q3906" i="2"/>
  <c r="P3906" i="2"/>
  <c r="S3905" i="2"/>
  <c r="R3905" i="2"/>
  <c r="Q3905" i="2"/>
  <c r="P3905" i="2"/>
  <c r="S3904" i="2"/>
  <c r="R3904" i="2"/>
  <c r="Q3904" i="2"/>
  <c r="P3904" i="2"/>
  <c r="S3903" i="2"/>
  <c r="R3903" i="2"/>
  <c r="Q3903" i="2"/>
  <c r="P3903" i="2"/>
  <c r="S3902" i="2"/>
  <c r="R3902" i="2"/>
  <c r="Q3902" i="2"/>
  <c r="P3902" i="2"/>
  <c r="S3901" i="2"/>
  <c r="R3901" i="2"/>
  <c r="Q3901" i="2"/>
  <c r="P3901" i="2"/>
  <c r="S3900" i="2"/>
  <c r="R3900" i="2"/>
  <c r="Q3900" i="2"/>
  <c r="P3900" i="2"/>
  <c r="S3899" i="2"/>
  <c r="R3899" i="2"/>
  <c r="Q3899" i="2"/>
  <c r="P3899" i="2"/>
  <c r="S3898" i="2"/>
  <c r="R3898" i="2"/>
  <c r="Q3898" i="2"/>
  <c r="P3898" i="2"/>
  <c r="S3897" i="2"/>
  <c r="R3897" i="2"/>
  <c r="Q3897" i="2"/>
  <c r="P3897" i="2"/>
  <c r="S3896" i="2"/>
  <c r="R3896" i="2"/>
  <c r="Q3896" i="2"/>
  <c r="P3896" i="2"/>
  <c r="S3895" i="2"/>
  <c r="R3895" i="2"/>
  <c r="Q3895" i="2"/>
  <c r="P3895" i="2"/>
  <c r="S3894" i="2"/>
  <c r="R3894" i="2"/>
  <c r="Q3894" i="2"/>
  <c r="P3894" i="2"/>
  <c r="S3893" i="2"/>
  <c r="R3893" i="2"/>
  <c r="Q3893" i="2"/>
  <c r="P3893" i="2"/>
  <c r="S3892" i="2"/>
  <c r="R3892" i="2"/>
  <c r="Q3892" i="2"/>
  <c r="P3892" i="2"/>
  <c r="S3891" i="2"/>
  <c r="R3891" i="2"/>
  <c r="Q3891" i="2"/>
  <c r="P3891" i="2"/>
  <c r="S3890" i="2"/>
  <c r="R3890" i="2"/>
  <c r="Q3890" i="2"/>
  <c r="P3890" i="2"/>
  <c r="S3889" i="2"/>
  <c r="R3889" i="2"/>
  <c r="Q3889" i="2"/>
  <c r="P3889" i="2"/>
  <c r="S3888" i="2"/>
  <c r="R3888" i="2"/>
  <c r="Q3888" i="2"/>
  <c r="P3888" i="2"/>
  <c r="S3887" i="2"/>
  <c r="R3887" i="2"/>
  <c r="Q3887" i="2"/>
  <c r="P3887" i="2"/>
  <c r="S3886" i="2"/>
  <c r="R3886" i="2"/>
  <c r="Q3886" i="2"/>
  <c r="P3886" i="2"/>
  <c r="S3885" i="2"/>
  <c r="R3885" i="2"/>
  <c r="Q3885" i="2"/>
  <c r="P3885" i="2"/>
  <c r="S3884" i="2"/>
  <c r="R3884" i="2"/>
  <c r="Q3884" i="2"/>
  <c r="P3884" i="2"/>
  <c r="S3883" i="2"/>
  <c r="R3883" i="2"/>
  <c r="Q3883" i="2"/>
  <c r="P3883" i="2"/>
  <c r="S3882" i="2"/>
  <c r="R3882" i="2"/>
  <c r="Q3882" i="2"/>
  <c r="P3882" i="2"/>
  <c r="S3881" i="2"/>
  <c r="R3881" i="2"/>
  <c r="Q3881" i="2"/>
  <c r="P3881" i="2"/>
  <c r="S3880" i="2"/>
  <c r="R3880" i="2"/>
  <c r="Q3880" i="2"/>
  <c r="P3880" i="2"/>
  <c r="S3879" i="2"/>
  <c r="R3879" i="2"/>
  <c r="Q3879" i="2"/>
  <c r="P3879" i="2"/>
  <c r="S3878" i="2"/>
  <c r="R3878" i="2"/>
  <c r="Q3878" i="2"/>
  <c r="P3878" i="2"/>
  <c r="S3877" i="2"/>
  <c r="R3877" i="2"/>
  <c r="Q3877" i="2"/>
  <c r="P3877" i="2"/>
  <c r="S3876" i="2"/>
  <c r="R3876" i="2"/>
  <c r="Q3876" i="2"/>
  <c r="P3876" i="2"/>
  <c r="S3875" i="2"/>
  <c r="R3875" i="2"/>
  <c r="Q3875" i="2"/>
  <c r="P3875" i="2"/>
  <c r="S3874" i="2"/>
  <c r="R3874" i="2"/>
  <c r="Q3874" i="2"/>
  <c r="P3874" i="2"/>
  <c r="S3873" i="2"/>
  <c r="R3873" i="2"/>
  <c r="Q3873" i="2"/>
  <c r="P3873" i="2"/>
  <c r="S3872" i="2"/>
  <c r="R3872" i="2"/>
  <c r="Q3872" i="2"/>
  <c r="P3872" i="2"/>
  <c r="S3871" i="2"/>
  <c r="R3871" i="2"/>
  <c r="Q3871" i="2"/>
  <c r="P3871" i="2"/>
  <c r="S3870" i="2"/>
  <c r="R3870" i="2"/>
  <c r="Q3870" i="2"/>
  <c r="P3870" i="2"/>
  <c r="S3869" i="2"/>
  <c r="R3869" i="2"/>
  <c r="Q3869" i="2"/>
  <c r="P3869" i="2"/>
  <c r="S3868" i="2"/>
  <c r="R3868" i="2"/>
  <c r="Q3868" i="2"/>
  <c r="P3868" i="2"/>
  <c r="S3867" i="2"/>
  <c r="R3867" i="2"/>
  <c r="Q3867" i="2"/>
  <c r="P3867" i="2"/>
  <c r="S3866" i="2"/>
  <c r="R3866" i="2"/>
  <c r="Q3866" i="2"/>
  <c r="P3866" i="2"/>
  <c r="S3865" i="2"/>
  <c r="R3865" i="2"/>
  <c r="Q3865" i="2"/>
  <c r="P3865" i="2"/>
  <c r="S3864" i="2"/>
  <c r="R3864" i="2"/>
  <c r="Q3864" i="2"/>
  <c r="P3864" i="2"/>
  <c r="S3863" i="2"/>
  <c r="R3863" i="2"/>
  <c r="Q3863" i="2"/>
  <c r="P3863" i="2"/>
  <c r="S3862" i="2"/>
  <c r="R3862" i="2"/>
  <c r="Q3862" i="2"/>
  <c r="P3862" i="2"/>
  <c r="S3861" i="2"/>
  <c r="R3861" i="2"/>
  <c r="Q3861" i="2"/>
  <c r="P3861" i="2"/>
  <c r="S3860" i="2"/>
  <c r="R3860" i="2"/>
  <c r="Q3860" i="2"/>
  <c r="P3860" i="2"/>
  <c r="S3859" i="2"/>
  <c r="R3859" i="2"/>
  <c r="Q3859" i="2"/>
  <c r="P3859" i="2"/>
  <c r="S3858" i="2"/>
  <c r="R3858" i="2"/>
  <c r="Q3858" i="2"/>
  <c r="P3858" i="2"/>
  <c r="S3857" i="2"/>
  <c r="R3857" i="2"/>
  <c r="Q3857" i="2"/>
  <c r="P3857" i="2"/>
  <c r="S3856" i="2"/>
  <c r="R3856" i="2"/>
  <c r="Q3856" i="2"/>
  <c r="P3856" i="2"/>
  <c r="S3855" i="2"/>
  <c r="R3855" i="2"/>
  <c r="Q3855" i="2"/>
  <c r="P3855" i="2"/>
  <c r="S3854" i="2"/>
  <c r="R3854" i="2"/>
  <c r="Q3854" i="2"/>
  <c r="P3854" i="2"/>
  <c r="S3853" i="2"/>
  <c r="R3853" i="2"/>
  <c r="Q3853" i="2"/>
  <c r="P3853" i="2"/>
  <c r="S3852" i="2"/>
  <c r="R3852" i="2"/>
  <c r="Q3852" i="2"/>
  <c r="P3852" i="2"/>
  <c r="S3851" i="2"/>
  <c r="R3851" i="2"/>
  <c r="Q3851" i="2"/>
  <c r="P3851" i="2"/>
  <c r="S3850" i="2"/>
  <c r="R3850" i="2"/>
  <c r="Q3850" i="2"/>
  <c r="P3850" i="2"/>
  <c r="S3849" i="2"/>
  <c r="R3849" i="2"/>
  <c r="Q3849" i="2"/>
  <c r="P3849" i="2"/>
  <c r="S3848" i="2"/>
  <c r="R3848" i="2"/>
  <c r="Q3848" i="2"/>
  <c r="P3848" i="2"/>
  <c r="S3847" i="2"/>
  <c r="R3847" i="2"/>
  <c r="Q3847" i="2"/>
  <c r="P3847" i="2"/>
  <c r="S3846" i="2"/>
  <c r="R3846" i="2"/>
  <c r="Q3846" i="2"/>
  <c r="P3846" i="2"/>
  <c r="S3845" i="2"/>
  <c r="R3845" i="2"/>
  <c r="Q3845" i="2"/>
  <c r="P3845" i="2"/>
  <c r="S3844" i="2"/>
  <c r="R3844" i="2"/>
  <c r="Q3844" i="2"/>
  <c r="P3844" i="2"/>
  <c r="S3843" i="2"/>
  <c r="R3843" i="2"/>
  <c r="Q3843" i="2"/>
  <c r="P3843" i="2"/>
  <c r="S3842" i="2"/>
  <c r="R3842" i="2"/>
  <c r="Q3842" i="2"/>
  <c r="P3842" i="2"/>
  <c r="S3841" i="2"/>
  <c r="R3841" i="2"/>
  <c r="Q3841" i="2"/>
  <c r="P3841" i="2"/>
  <c r="S3840" i="2"/>
  <c r="R3840" i="2"/>
  <c r="Q3840" i="2"/>
  <c r="P3840" i="2"/>
  <c r="S3839" i="2"/>
  <c r="R3839" i="2"/>
  <c r="Q3839" i="2"/>
  <c r="P3839" i="2"/>
  <c r="S3838" i="2"/>
  <c r="R3838" i="2"/>
  <c r="Q3838" i="2"/>
  <c r="P3838" i="2"/>
  <c r="S3837" i="2"/>
  <c r="R3837" i="2"/>
  <c r="Q3837" i="2"/>
  <c r="P3837" i="2"/>
  <c r="S3836" i="2"/>
  <c r="R3836" i="2"/>
  <c r="Q3836" i="2"/>
  <c r="P3836" i="2"/>
  <c r="S3835" i="2"/>
  <c r="R3835" i="2"/>
  <c r="Q3835" i="2"/>
  <c r="P3835" i="2"/>
  <c r="S3834" i="2"/>
  <c r="R3834" i="2"/>
  <c r="Q3834" i="2"/>
  <c r="P3834" i="2"/>
  <c r="S3833" i="2"/>
  <c r="R3833" i="2"/>
  <c r="Q3833" i="2"/>
  <c r="P3833" i="2"/>
  <c r="S3832" i="2"/>
  <c r="R3832" i="2"/>
  <c r="Q3832" i="2"/>
  <c r="P3832" i="2"/>
  <c r="S3831" i="2"/>
  <c r="R3831" i="2"/>
  <c r="Q3831" i="2"/>
  <c r="P3831" i="2"/>
  <c r="S3830" i="2"/>
  <c r="R3830" i="2"/>
  <c r="Q3830" i="2"/>
  <c r="P3830" i="2"/>
  <c r="S3829" i="2"/>
  <c r="R3829" i="2"/>
  <c r="Q3829" i="2"/>
  <c r="P3829" i="2"/>
  <c r="S3828" i="2"/>
  <c r="R3828" i="2"/>
  <c r="Q3828" i="2"/>
  <c r="P3828" i="2"/>
  <c r="S3827" i="2"/>
  <c r="R3827" i="2"/>
  <c r="Q3827" i="2"/>
  <c r="P3827" i="2"/>
  <c r="S3826" i="2"/>
  <c r="R3826" i="2"/>
  <c r="Q3826" i="2"/>
  <c r="P3826" i="2"/>
  <c r="S3825" i="2"/>
  <c r="R3825" i="2"/>
  <c r="Q3825" i="2"/>
  <c r="P3825" i="2"/>
  <c r="S3824" i="2"/>
  <c r="R3824" i="2"/>
  <c r="Q3824" i="2"/>
  <c r="P3824" i="2"/>
  <c r="S3823" i="2"/>
  <c r="R3823" i="2"/>
  <c r="Q3823" i="2"/>
  <c r="P3823" i="2"/>
  <c r="S3822" i="2"/>
  <c r="R3822" i="2"/>
  <c r="Q3822" i="2"/>
  <c r="P3822" i="2"/>
  <c r="S3821" i="2"/>
  <c r="R3821" i="2"/>
  <c r="Q3821" i="2"/>
  <c r="P3821" i="2"/>
  <c r="S3820" i="2"/>
  <c r="R3820" i="2"/>
  <c r="Q3820" i="2"/>
  <c r="P3820" i="2"/>
  <c r="S3819" i="2"/>
  <c r="R3819" i="2"/>
  <c r="Q3819" i="2"/>
  <c r="P3819" i="2"/>
  <c r="S3818" i="2"/>
  <c r="R3818" i="2"/>
  <c r="Q3818" i="2"/>
  <c r="P3818" i="2"/>
  <c r="S3817" i="2"/>
  <c r="R3817" i="2"/>
  <c r="Q3817" i="2"/>
  <c r="P3817" i="2"/>
  <c r="S3816" i="2"/>
  <c r="R3816" i="2"/>
  <c r="Q3816" i="2"/>
  <c r="P3816" i="2"/>
  <c r="S3815" i="2"/>
  <c r="R3815" i="2"/>
  <c r="Q3815" i="2"/>
  <c r="P3815" i="2"/>
  <c r="S3814" i="2"/>
  <c r="R3814" i="2"/>
  <c r="Q3814" i="2"/>
  <c r="P3814" i="2"/>
  <c r="S3813" i="2"/>
  <c r="R3813" i="2"/>
  <c r="Q3813" i="2"/>
  <c r="P3813" i="2"/>
  <c r="S3812" i="2"/>
  <c r="R3812" i="2"/>
  <c r="Q3812" i="2"/>
  <c r="P3812" i="2"/>
  <c r="S3811" i="2"/>
  <c r="R3811" i="2"/>
  <c r="Q3811" i="2"/>
  <c r="P3811" i="2"/>
  <c r="S3810" i="2"/>
  <c r="R3810" i="2"/>
  <c r="Q3810" i="2"/>
  <c r="P3810" i="2"/>
  <c r="S3809" i="2"/>
  <c r="R3809" i="2"/>
  <c r="Q3809" i="2"/>
  <c r="P3809" i="2"/>
  <c r="S3808" i="2"/>
  <c r="R3808" i="2"/>
  <c r="Q3808" i="2"/>
  <c r="P3808" i="2"/>
  <c r="S3807" i="2"/>
  <c r="R3807" i="2"/>
  <c r="Q3807" i="2"/>
  <c r="P3807" i="2"/>
  <c r="S3806" i="2"/>
  <c r="R3806" i="2"/>
  <c r="Q3806" i="2"/>
  <c r="P3806" i="2"/>
  <c r="S3805" i="2"/>
  <c r="R3805" i="2"/>
  <c r="Q3805" i="2"/>
  <c r="P3805" i="2"/>
  <c r="S3804" i="2"/>
  <c r="R3804" i="2"/>
  <c r="Q3804" i="2"/>
  <c r="P3804" i="2"/>
  <c r="S3803" i="2"/>
  <c r="R3803" i="2"/>
  <c r="Q3803" i="2"/>
  <c r="P3803" i="2"/>
  <c r="S3802" i="2"/>
  <c r="R3802" i="2"/>
  <c r="Q3802" i="2"/>
  <c r="P3802" i="2"/>
  <c r="S3801" i="2"/>
  <c r="R3801" i="2"/>
  <c r="Q3801" i="2"/>
  <c r="P3801" i="2"/>
  <c r="S3800" i="2"/>
  <c r="R3800" i="2"/>
  <c r="Q3800" i="2"/>
  <c r="P3800" i="2"/>
  <c r="S3799" i="2"/>
  <c r="R3799" i="2"/>
  <c r="Q3799" i="2"/>
  <c r="P3799" i="2"/>
  <c r="S3798" i="2"/>
  <c r="R3798" i="2"/>
  <c r="Q3798" i="2"/>
  <c r="P3798" i="2"/>
  <c r="S3797" i="2"/>
  <c r="R3797" i="2"/>
  <c r="Q3797" i="2"/>
  <c r="P3797" i="2"/>
  <c r="S3796" i="2"/>
  <c r="R3796" i="2"/>
  <c r="Q3796" i="2"/>
  <c r="P3796" i="2"/>
  <c r="S3795" i="2"/>
  <c r="R3795" i="2"/>
  <c r="Q3795" i="2"/>
  <c r="P3795" i="2"/>
  <c r="S3794" i="2"/>
  <c r="R3794" i="2"/>
  <c r="Q3794" i="2"/>
  <c r="P3794" i="2"/>
  <c r="S3793" i="2"/>
  <c r="R3793" i="2"/>
  <c r="Q3793" i="2"/>
  <c r="P3793" i="2"/>
  <c r="S3792" i="2"/>
  <c r="R3792" i="2"/>
  <c r="Q3792" i="2"/>
  <c r="P3792" i="2"/>
  <c r="S3791" i="2"/>
  <c r="R3791" i="2"/>
  <c r="Q3791" i="2"/>
  <c r="P3791" i="2"/>
  <c r="S3790" i="2"/>
  <c r="R3790" i="2"/>
  <c r="Q3790" i="2"/>
  <c r="P3790" i="2"/>
  <c r="S3789" i="2"/>
  <c r="R3789" i="2"/>
  <c r="Q3789" i="2"/>
  <c r="P3789" i="2"/>
  <c r="S3788" i="2"/>
  <c r="R3788" i="2"/>
  <c r="Q3788" i="2"/>
  <c r="P3788" i="2"/>
  <c r="S3787" i="2"/>
  <c r="R3787" i="2"/>
  <c r="Q3787" i="2"/>
  <c r="P3787" i="2"/>
  <c r="S3786" i="2"/>
  <c r="R3786" i="2"/>
  <c r="Q3786" i="2"/>
  <c r="P3786" i="2"/>
  <c r="S3785" i="2"/>
  <c r="R3785" i="2"/>
  <c r="Q3785" i="2"/>
  <c r="P3785" i="2"/>
  <c r="S3784" i="2"/>
  <c r="R3784" i="2"/>
  <c r="Q3784" i="2"/>
  <c r="P3784" i="2"/>
  <c r="S3783" i="2"/>
  <c r="R3783" i="2"/>
  <c r="Q3783" i="2"/>
  <c r="P3783" i="2"/>
  <c r="S3782" i="2"/>
  <c r="R3782" i="2"/>
  <c r="Q3782" i="2"/>
  <c r="P3782" i="2"/>
  <c r="S3781" i="2"/>
  <c r="R3781" i="2"/>
  <c r="Q3781" i="2"/>
  <c r="P3781" i="2"/>
  <c r="S3780" i="2"/>
  <c r="R3780" i="2"/>
  <c r="Q3780" i="2"/>
  <c r="P3780" i="2"/>
  <c r="S3779" i="2"/>
  <c r="R3779" i="2"/>
  <c r="Q3779" i="2"/>
  <c r="P3779" i="2"/>
  <c r="S3778" i="2"/>
  <c r="R3778" i="2"/>
  <c r="Q3778" i="2"/>
  <c r="P3778" i="2"/>
  <c r="S3777" i="2"/>
  <c r="R3777" i="2"/>
  <c r="Q3777" i="2"/>
  <c r="P3777" i="2"/>
  <c r="S3776" i="2"/>
  <c r="R3776" i="2"/>
  <c r="Q3776" i="2"/>
  <c r="P3776" i="2"/>
  <c r="S3775" i="2"/>
  <c r="R3775" i="2"/>
  <c r="Q3775" i="2"/>
  <c r="P3775" i="2"/>
  <c r="S3774" i="2"/>
  <c r="R3774" i="2"/>
  <c r="Q3774" i="2"/>
  <c r="P3774" i="2"/>
  <c r="S3773" i="2"/>
  <c r="R3773" i="2"/>
  <c r="Q3773" i="2"/>
  <c r="P3773" i="2"/>
  <c r="S3772" i="2"/>
  <c r="R3772" i="2"/>
  <c r="Q3772" i="2"/>
  <c r="P3772" i="2"/>
  <c r="S3771" i="2"/>
  <c r="R3771" i="2"/>
  <c r="Q3771" i="2"/>
  <c r="P3771" i="2"/>
  <c r="S3770" i="2"/>
  <c r="R3770" i="2"/>
  <c r="Q3770" i="2"/>
  <c r="P3770" i="2"/>
  <c r="S3769" i="2"/>
  <c r="R3769" i="2"/>
  <c r="Q3769" i="2"/>
  <c r="P3769" i="2"/>
  <c r="S3768" i="2"/>
  <c r="R3768" i="2"/>
  <c r="Q3768" i="2"/>
  <c r="P3768" i="2"/>
  <c r="S3767" i="2"/>
  <c r="R3767" i="2"/>
  <c r="Q3767" i="2"/>
  <c r="P3767" i="2"/>
  <c r="S3766" i="2"/>
  <c r="R3766" i="2"/>
  <c r="Q3766" i="2"/>
  <c r="P3766" i="2"/>
  <c r="S3765" i="2"/>
  <c r="R3765" i="2"/>
  <c r="Q3765" i="2"/>
  <c r="P3765" i="2"/>
  <c r="S3764" i="2"/>
  <c r="R3764" i="2"/>
  <c r="Q3764" i="2"/>
  <c r="P3764" i="2"/>
  <c r="S3763" i="2"/>
  <c r="R3763" i="2"/>
  <c r="Q3763" i="2"/>
  <c r="P3763" i="2"/>
  <c r="S3762" i="2"/>
  <c r="R3762" i="2"/>
  <c r="Q3762" i="2"/>
  <c r="P3762" i="2"/>
  <c r="S3761" i="2"/>
  <c r="R3761" i="2"/>
  <c r="Q3761" i="2"/>
  <c r="P3761" i="2"/>
  <c r="S3760" i="2"/>
  <c r="R3760" i="2"/>
  <c r="Q3760" i="2"/>
  <c r="P3760" i="2"/>
  <c r="S3759" i="2"/>
  <c r="R3759" i="2"/>
  <c r="Q3759" i="2"/>
  <c r="P3759" i="2"/>
  <c r="S3758" i="2"/>
  <c r="R3758" i="2"/>
  <c r="Q3758" i="2"/>
  <c r="P3758" i="2"/>
  <c r="S3757" i="2"/>
  <c r="R3757" i="2"/>
  <c r="Q3757" i="2"/>
  <c r="P3757" i="2"/>
  <c r="S3756" i="2"/>
  <c r="R3756" i="2"/>
  <c r="Q3756" i="2"/>
  <c r="P3756" i="2"/>
  <c r="S3755" i="2"/>
  <c r="R3755" i="2"/>
  <c r="Q3755" i="2"/>
  <c r="P3755" i="2"/>
  <c r="S3754" i="2"/>
  <c r="R3754" i="2"/>
  <c r="Q3754" i="2"/>
  <c r="P3754" i="2"/>
  <c r="S3753" i="2"/>
  <c r="R3753" i="2"/>
  <c r="Q3753" i="2"/>
  <c r="P3753" i="2"/>
  <c r="S3752" i="2"/>
  <c r="R3752" i="2"/>
  <c r="Q3752" i="2"/>
  <c r="P3752" i="2"/>
  <c r="S3751" i="2"/>
  <c r="R3751" i="2"/>
  <c r="Q3751" i="2"/>
  <c r="P3751" i="2"/>
  <c r="S3750" i="2"/>
  <c r="R3750" i="2"/>
  <c r="Q3750" i="2"/>
  <c r="P3750" i="2"/>
  <c r="S3749" i="2"/>
  <c r="R3749" i="2"/>
  <c r="Q3749" i="2"/>
  <c r="P3749" i="2"/>
  <c r="S3748" i="2"/>
  <c r="R3748" i="2"/>
  <c r="Q3748" i="2"/>
  <c r="P3748" i="2"/>
  <c r="S3747" i="2"/>
  <c r="R3747" i="2"/>
  <c r="Q3747" i="2"/>
  <c r="P3747" i="2"/>
  <c r="S3746" i="2"/>
  <c r="R3746" i="2"/>
  <c r="Q3746" i="2"/>
  <c r="P3746" i="2"/>
  <c r="S3745" i="2"/>
  <c r="R3745" i="2"/>
  <c r="Q3745" i="2"/>
  <c r="P3745" i="2"/>
  <c r="S3744" i="2"/>
  <c r="R3744" i="2"/>
  <c r="Q3744" i="2"/>
  <c r="P3744" i="2"/>
  <c r="S3743" i="2"/>
  <c r="R3743" i="2"/>
  <c r="Q3743" i="2"/>
  <c r="P3743" i="2"/>
  <c r="S3742" i="2"/>
  <c r="R3742" i="2"/>
  <c r="Q3742" i="2"/>
  <c r="P3742" i="2"/>
  <c r="S3741" i="2"/>
  <c r="R3741" i="2"/>
  <c r="Q3741" i="2"/>
  <c r="P3741" i="2"/>
  <c r="S3740" i="2"/>
  <c r="R3740" i="2"/>
  <c r="Q3740" i="2"/>
  <c r="P3740" i="2"/>
  <c r="S3739" i="2"/>
  <c r="R3739" i="2"/>
  <c r="Q3739" i="2"/>
  <c r="P3739" i="2"/>
  <c r="S3738" i="2"/>
  <c r="R3738" i="2"/>
  <c r="Q3738" i="2"/>
  <c r="P3738" i="2"/>
  <c r="S3737" i="2"/>
  <c r="R3737" i="2"/>
  <c r="Q3737" i="2"/>
  <c r="P3737" i="2"/>
  <c r="S3736" i="2"/>
  <c r="R3736" i="2"/>
  <c r="Q3736" i="2"/>
  <c r="P3736" i="2"/>
  <c r="S3735" i="2"/>
  <c r="R3735" i="2"/>
  <c r="Q3735" i="2"/>
  <c r="P3735" i="2"/>
  <c r="S3734" i="2"/>
  <c r="R3734" i="2"/>
  <c r="Q3734" i="2"/>
  <c r="P3734" i="2"/>
  <c r="S3733" i="2"/>
  <c r="R3733" i="2"/>
  <c r="Q3733" i="2"/>
  <c r="P3733" i="2"/>
  <c r="S3732" i="2"/>
  <c r="R3732" i="2"/>
  <c r="Q3732" i="2"/>
  <c r="P3732" i="2"/>
  <c r="S3731" i="2"/>
  <c r="R3731" i="2"/>
  <c r="Q3731" i="2"/>
  <c r="P3731" i="2"/>
  <c r="S3730" i="2"/>
  <c r="R3730" i="2"/>
  <c r="Q3730" i="2"/>
  <c r="P3730" i="2"/>
  <c r="S3729" i="2"/>
  <c r="R3729" i="2"/>
  <c r="Q3729" i="2"/>
  <c r="P3729" i="2"/>
  <c r="S3728" i="2"/>
  <c r="R3728" i="2"/>
  <c r="Q3728" i="2"/>
  <c r="P3728" i="2"/>
  <c r="S3727" i="2"/>
  <c r="R3727" i="2"/>
  <c r="Q3727" i="2"/>
  <c r="P3727" i="2"/>
  <c r="S3726" i="2"/>
  <c r="R3726" i="2"/>
  <c r="Q3726" i="2"/>
  <c r="P3726" i="2"/>
  <c r="S3725" i="2"/>
  <c r="R3725" i="2"/>
  <c r="Q3725" i="2"/>
  <c r="P3725" i="2"/>
  <c r="S3724" i="2"/>
  <c r="R3724" i="2"/>
  <c r="Q3724" i="2"/>
  <c r="P3724" i="2"/>
  <c r="S3723" i="2"/>
  <c r="R3723" i="2"/>
  <c r="Q3723" i="2"/>
  <c r="P3723" i="2"/>
  <c r="S3722" i="2"/>
  <c r="R3722" i="2"/>
  <c r="Q3722" i="2"/>
  <c r="P3722" i="2"/>
  <c r="S3721" i="2"/>
  <c r="R3721" i="2"/>
  <c r="Q3721" i="2"/>
  <c r="P3721" i="2"/>
  <c r="S3720" i="2"/>
  <c r="R3720" i="2"/>
  <c r="Q3720" i="2"/>
  <c r="P3720" i="2"/>
  <c r="S3719" i="2"/>
  <c r="R3719" i="2"/>
  <c r="Q3719" i="2"/>
  <c r="P3719" i="2"/>
  <c r="S3718" i="2"/>
  <c r="R3718" i="2"/>
  <c r="Q3718" i="2"/>
  <c r="P3718" i="2"/>
  <c r="S3717" i="2"/>
  <c r="R3717" i="2"/>
  <c r="Q3717" i="2"/>
  <c r="P3717" i="2"/>
  <c r="S3716" i="2"/>
  <c r="R3716" i="2"/>
  <c r="Q3716" i="2"/>
  <c r="P3716" i="2"/>
  <c r="S3715" i="2"/>
  <c r="R3715" i="2"/>
  <c r="Q3715" i="2"/>
  <c r="P3715" i="2"/>
  <c r="S3714" i="2"/>
  <c r="R3714" i="2"/>
  <c r="Q3714" i="2"/>
  <c r="P3714" i="2"/>
  <c r="S3713" i="2"/>
  <c r="R3713" i="2"/>
  <c r="Q3713" i="2"/>
  <c r="P3713" i="2"/>
  <c r="S3712" i="2"/>
  <c r="R3712" i="2"/>
  <c r="Q3712" i="2"/>
  <c r="P3712" i="2"/>
  <c r="S3711" i="2"/>
  <c r="R3711" i="2"/>
  <c r="Q3711" i="2"/>
  <c r="P3711" i="2"/>
  <c r="S3710" i="2"/>
  <c r="R3710" i="2"/>
  <c r="Q3710" i="2"/>
  <c r="P3710" i="2"/>
  <c r="S3709" i="2"/>
  <c r="R3709" i="2"/>
  <c r="Q3709" i="2"/>
  <c r="P3709" i="2"/>
  <c r="S3708" i="2"/>
  <c r="R3708" i="2"/>
  <c r="Q3708" i="2"/>
  <c r="P3708" i="2"/>
  <c r="S3707" i="2"/>
  <c r="R3707" i="2"/>
  <c r="Q3707" i="2"/>
  <c r="P3707" i="2"/>
  <c r="S3706" i="2"/>
  <c r="R3706" i="2"/>
  <c r="Q3706" i="2"/>
  <c r="P3706" i="2"/>
  <c r="S3705" i="2"/>
  <c r="R3705" i="2"/>
  <c r="Q3705" i="2"/>
  <c r="P3705" i="2"/>
  <c r="S3704" i="2"/>
  <c r="R3704" i="2"/>
  <c r="Q3704" i="2"/>
  <c r="P3704" i="2"/>
  <c r="S3703" i="2"/>
  <c r="R3703" i="2"/>
  <c r="Q3703" i="2"/>
  <c r="P3703" i="2"/>
  <c r="S3702" i="2"/>
  <c r="R3702" i="2"/>
  <c r="Q3702" i="2"/>
  <c r="P3702" i="2"/>
  <c r="S3701" i="2"/>
  <c r="R3701" i="2"/>
  <c r="Q3701" i="2"/>
  <c r="P3701" i="2"/>
  <c r="S3700" i="2"/>
  <c r="R3700" i="2"/>
  <c r="Q3700" i="2"/>
  <c r="P3700" i="2"/>
  <c r="S3699" i="2"/>
  <c r="R3699" i="2"/>
  <c r="Q3699" i="2"/>
  <c r="P3699" i="2"/>
  <c r="S3698" i="2"/>
  <c r="R3698" i="2"/>
  <c r="Q3698" i="2"/>
  <c r="P3698" i="2"/>
  <c r="S3697" i="2"/>
  <c r="R3697" i="2"/>
  <c r="Q3697" i="2"/>
  <c r="P3697" i="2"/>
  <c r="S3696" i="2"/>
  <c r="R3696" i="2"/>
  <c r="Q3696" i="2"/>
  <c r="P3696" i="2"/>
  <c r="S3695" i="2"/>
  <c r="R3695" i="2"/>
  <c r="Q3695" i="2"/>
  <c r="P3695" i="2"/>
  <c r="S3694" i="2"/>
  <c r="R3694" i="2"/>
  <c r="Q3694" i="2"/>
  <c r="P3694" i="2"/>
  <c r="S3693" i="2"/>
  <c r="R3693" i="2"/>
  <c r="Q3693" i="2"/>
  <c r="P3693" i="2"/>
  <c r="S3692" i="2"/>
  <c r="R3692" i="2"/>
  <c r="Q3692" i="2"/>
  <c r="P3692" i="2"/>
  <c r="S3691" i="2"/>
  <c r="R3691" i="2"/>
  <c r="Q3691" i="2"/>
  <c r="P3691" i="2"/>
  <c r="S3690" i="2"/>
  <c r="R3690" i="2"/>
  <c r="Q3690" i="2"/>
  <c r="P3690" i="2"/>
  <c r="S3689" i="2"/>
  <c r="R3689" i="2"/>
  <c r="Q3689" i="2"/>
  <c r="P3689" i="2"/>
  <c r="S3688" i="2"/>
  <c r="R3688" i="2"/>
  <c r="Q3688" i="2"/>
  <c r="P3688" i="2"/>
  <c r="S3687" i="2"/>
  <c r="R3687" i="2"/>
  <c r="Q3687" i="2"/>
  <c r="P3687" i="2"/>
  <c r="S3686" i="2"/>
  <c r="R3686" i="2"/>
  <c r="Q3686" i="2"/>
  <c r="P3686" i="2"/>
  <c r="S3685" i="2"/>
  <c r="R3685" i="2"/>
  <c r="Q3685" i="2"/>
  <c r="P3685" i="2"/>
  <c r="S3684" i="2"/>
  <c r="R3684" i="2"/>
  <c r="Q3684" i="2"/>
  <c r="P3684" i="2"/>
  <c r="S3683" i="2"/>
  <c r="R3683" i="2"/>
  <c r="Q3683" i="2"/>
  <c r="P3683" i="2"/>
  <c r="S3682" i="2"/>
  <c r="R3682" i="2"/>
  <c r="Q3682" i="2"/>
  <c r="P3682" i="2"/>
  <c r="S3681" i="2"/>
  <c r="R3681" i="2"/>
  <c r="Q3681" i="2"/>
  <c r="P3681" i="2"/>
  <c r="S3680" i="2"/>
  <c r="R3680" i="2"/>
  <c r="Q3680" i="2"/>
  <c r="P3680" i="2"/>
  <c r="S3679" i="2"/>
  <c r="R3679" i="2"/>
  <c r="Q3679" i="2"/>
  <c r="P3679" i="2"/>
  <c r="S3678" i="2"/>
  <c r="R3678" i="2"/>
  <c r="Q3678" i="2"/>
  <c r="P3678" i="2"/>
  <c r="S3677" i="2"/>
  <c r="R3677" i="2"/>
  <c r="Q3677" i="2"/>
  <c r="P3677" i="2"/>
  <c r="S3676" i="2"/>
  <c r="R3676" i="2"/>
  <c r="Q3676" i="2"/>
  <c r="P3676" i="2"/>
  <c r="S3675" i="2"/>
  <c r="R3675" i="2"/>
  <c r="Q3675" i="2"/>
  <c r="P3675" i="2"/>
  <c r="S3674" i="2"/>
  <c r="R3674" i="2"/>
  <c r="Q3674" i="2"/>
  <c r="P3674" i="2"/>
  <c r="S3673" i="2"/>
  <c r="R3673" i="2"/>
  <c r="Q3673" i="2"/>
  <c r="P3673" i="2"/>
  <c r="S3672" i="2"/>
  <c r="R3672" i="2"/>
  <c r="Q3672" i="2"/>
  <c r="P3672" i="2"/>
  <c r="S3671" i="2"/>
  <c r="R3671" i="2"/>
  <c r="Q3671" i="2"/>
  <c r="P3671" i="2"/>
  <c r="S3670" i="2"/>
  <c r="R3670" i="2"/>
  <c r="Q3670" i="2"/>
  <c r="P3670" i="2"/>
  <c r="S3669" i="2"/>
  <c r="R3669" i="2"/>
  <c r="Q3669" i="2"/>
  <c r="P3669" i="2"/>
  <c r="S3668" i="2"/>
  <c r="R3668" i="2"/>
  <c r="Q3668" i="2"/>
  <c r="P3668" i="2"/>
  <c r="S3667" i="2"/>
  <c r="R3667" i="2"/>
  <c r="Q3667" i="2"/>
  <c r="P3667" i="2"/>
  <c r="S3666" i="2"/>
  <c r="R3666" i="2"/>
  <c r="Q3666" i="2"/>
  <c r="P3666" i="2"/>
  <c r="S3665" i="2"/>
  <c r="R3665" i="2"/>
  <c r="Q3665" i="2"/>
  <c r="P3665" i="2"/>
  <c r="S3664" i="2"/>
  <c r="R3664" i="2"/>
  <c r="Q3664" i="2"/>
  <c r="P3664" i="2"/>
  <c r="S3663" i="2"/>
  <c r="R3663" i="2"/>
  <c r="Q3663" i="2"/>
  <c r="P3663" i="2"/>
  <c r="S3662" i="2"/>
  <c r="R3662" i="2"/>
  <c r="Q3662" i="2"/>
  <c r="P3662" i="2"/>
  <c r="S3661" i="2"/>
  <c r="R3661" i="2"/>
  <c r="Q3661" i="2"/>
  <c r="P3661" i="2"/>
  <c r="S3660" i="2"/>
  <c r="R3660" i="2"/>
  <c r="Q3660" i="2"/>
  <c r="P3660" i="2"/>
  <c r="S3659" i="2"/>
  <c r="R3659" i="2"/>
  <c r="Q3659" i="2"/>
  <c r="P3659" i="2"/>
  <c r="S3658" i="2"/>
  <c r="R3658" i="2"/>
  <c r="Q3658" i="2"/>
  <c r="P3658" i="2"/>
  <c r="S3657" i="2"/>
  <c r="R3657" i="2"/>
  <c r="Q3657" i="2"/>
  <c r="P3657" i="2"/>
  <c r="S3656" i="2"/>
  <c r="R3656" i="2"/>
  <c r="Q3656" i="2"/>
  <c r="P3656" i="2"/>
  <c r="S3655" i="2"/>
  <c r="R3655" i="2"/>
  <c r="Q3655" i="2"/>
  <c r="P3655" i="2"/>
  <c r="S3654" i="2"/>
  <c r="R3654" i="2"/>
  <c r="Q3654" i="2"/>
  <c r="P3654" i="2"/>
  <c r="S3653" i="2"/>
  <c r="R3653" i="2"/>
  <c r="Q3653" i="2"/>
  <c r="P3653" i="2"/>
  <c r="S3652" i="2"/>
  <c r="R3652" i="2"/>
  <c r="Q3652" i="2"/>
  <c r="P3652" i="2"/>
  <c r="S3651" i="2"/>
  <c r="R3651" i="2"/>
  <c r="Q3651" i="2"/>
  <c r="P3651" i="2"/>
  <c r="S3650" i="2"/>
  <c r="R3650" i="2"/>
  <c r="Q3650" i="2"/>
  <c r="P3650" i="2"/>
  <c r="S3649" i="2"/>
  <c r="R3649" i="2"/>
  <c r="Q3649" i="2"/>
  <c r="P3649" i="2"/>
  <c r="S3648" i="2"/>
  <c r="R3648" i="2"/>
  <c r="Q3648" i="2"/>
  <c r="P3648" i="2"/>
  <c r="S3647" i="2"/>
  <c r="R3647" i="2"/>
  <c r="Q3647" i="2"/>
  <c r="P3647" i="2"/>
  <c r="S3646" i="2"/>
  <c r="R3646" i="2"/>
  <c r="Q3646" i="2"/>
  <c r="P3646" i="2"/>
  <c r="S3645" i="2"/>
  <c r="R3645" i="2"/>
  <c r="Q3645" i="2"/>
  <c r="P3645" i="2"/>
  <c r="S3644" i="2"/>
  <c r="R3644" i="2"/>
  <c r="Q3644" i="2"/>
  <c r="P3644" i="2"/>
  <c r="S3643" i="2"/>
  <c r="R3643" i="2"/>
  <c r="Q3643" i="2"/>
  <c r="P3643" i="2"/>
  <c r="S3642" i="2"/>
  <c r="R3642" i="2"/>
  <c r="Q3642" i="2"/>
  <c r="P3642" i="2"/>
  <c r="S3641" i="2"/>
  <c r="R3641" i="2"/>
  <c r="Q3641" i="2"/>
  <c r="P3641" i="2"/>
  <c r="S3640" i="2"/>
  <c r="R3640" i="2"/>
  <c r="Q3640" i="2"/>
  <c r="P3640" i="2"/>
  <c r="S3639" i="2"/>
  <c r="R3639" i="2"/>
  <c r="Q3639" i="2"/>
  <c r="P3639" i="2"/>
  <c r="S3638" i="2"/>
  <c r="R3638" i="2"/>
  <c r="Q3638" i="2"/>
  <c r="P3638" i="2"/>
  <c r="S3637" i="2"/>
  <c r="R3637" i="2"/>
  <c r="Q3637" i="2"/>
  <c r="P3637" i="2"/>
  <c r="S3636" i="2"/>
  <c r="R3636" i="2"/>
  <c r="Q3636" i="2"/>
  <c r="P3636" i="2"/>
  <c r="S3635" i="2"/>
  <c r="R3635" i="2"/>
  <c r="Q3635" i="2"/>
  <c r="P3635" i="2"/>
  <c r="S3634" i="2"/>
  <c r="R3634" i="2"/>
  <c r="Q3634" i="2"/>
  <c r="P3634" i="2"/>
  <c r="S3633" i="2"/>
  <c r="R3633" i="2"/>
  <c r="Q3633" i="2"/>
  <c r="P3633" i="2"/>
  <c r="S3632" i="2"/>
  <c r="R3632" i="2"/>
  <c r="Q3632" i="2"/>
  <c r="P3632" i="2"/>
  <c r="S3631" i="2"/>
  <c r="R3631" i="2"/>
  <c r="Q3631" i="2"/>
  <c r="P3631" i="2"/>
  <c r="S3630" i="2"/>
  <c r="R3630" i="2"/>
  <c r="Q3630" i="2"/>
  <c r="P3630" i="2"/>
  <c r="S3629" i="2"/>
  <c r="R3629" i="2"/>
  <c r="Q3629" i="2"/>
  <c r="P3629" i="2"/>
  <c r="S3628" i="2"/>
  <c r="R3628" i="2"/>
  <c r="Q3628" i="2"/>
  <c r="P3628" i="2"/>
  <c r="S3627" i="2"/>
  <c r="R3627" i="2"/>
  <c r="Q3627" i="2"/>
  <c r="P3627" i="2"/>
  <c r="S3626" i="2"/>
  <c r="R3626" i="2"/>
  <c r="Q3626" i="2"/>
  <c r="P3626" i="2"/>
  <c r="S3625" i="2"/>
  <c r="R3625" i="2"/>
  <c r="Q3625" i="2"/>
  <c r="P3625" i="2"/>
  <c r="S3624" i="2"/>
  <c r="R3624" i="2"/>
  <c r="Q3624" i="2"/>
  <c r="P3624" i="2"/>
  <c r="S3623" i="2"/>
  <c r="R3623" i="2"/>
  <c r="Q3623" i="2"/>
  <c r="P3623" i="2"/>
  <c r="S3622" i="2"/>
  <c r="R3622" i="2"/>
  <c r="Q3622" i="2"/>
  <c r="P3622" i="2"/>
  <c r="S3621" i="2"/>
  <c r="R3621" i="2"/>
  <c r="Q3621" i="2"/>
  <c r="P3621" i="2"/>
  <c r="S3620" i="2"/>
  <c r="R3620" i="2"/>
  <c r="Q3620" i="2"/>
  <c r="P3620" i="2"/>
  <c r="S3619" i="2"/>
  <c r="R3619" i="2"/>
  <c r="Q3619" i="2"/>
  <c r="P3619" i="2"/>
  <c r="S3618" i="2"/>
  <c r="R3618" i="2"/>
  <c r="Q3618" i="2"/>
  <c r="P3618" i="2"/>
  <c r="S3617" i="2"/>
  <c r="R3617" i="2"/>
  <c r="Q3617" i="2"/>
  <c r="P3617" i="2"/>
  <c r="S3616" i="2"/>
  <c r="R3616" i="2"/>
  <c r="Q3616" i="2"/>
  <c r="P3616" i="2"/>
  <c r="S3615" i="2"/>
  <c r="R3615" i="2"/>
  <c r="Q3615" i="2"/>
  <c r="P3615" i="2"/>
  <c r="S3614" i="2"/>
  <c r="R3614" i="2"/>
  <c r="Q3614" i="2"/>
  <c r="P3614" i="2"/>
  <c r="S3613" i="2"/>
  <c r="R3613" i="2"/>
  <c r="Q3613" i="2"/>
  <c r="P3613" i="2"/>
  <c r="S3612" i="2"/>
  <c r="R3612" i="2"/>
  <c r="Q3612" i="2"/>
  <c r="P3612" i="2"/>
  <c r="S3611" i="2"/>
  <c r="R3611" i="2"/>
  <c r="Q3611" i="2"/>
  <c r="P3611" i="2"/>
  <c r="S3610" i="2"/>
  <c r="R3610" i="2"/>
  <c r="Q3610" i="2"/>
  <c r="P3610" i="2"/>
  <c r="S3609" i="2"/>
  <c r="R3609" i="2"/>
  <c r="Q3609" i="2"/>
  <c r="P3609" i="2"/>
  <c r="S3608" i="2"/>
  <c r="R3608" i="2"/>
  <c r="Q3608" i="2"/>
  <c r="P3608" i="2"/>
  <c r="S3607" i="2"/>
  <c r="R3607" i="2"/>
  <c r="Q3607" i="2"/>
  <c r="P3607" i="2"/>
  <c r="S3606" i="2"/>
  <c r="R3606" i="2"/>
  <c r="Q3606" i="2"/>
  <c r="P3606" i="2"/>
  <c r="S3605" i="2"/>
  <c r="R3605" i="2"/>
  <c r="Q3605" i="2"/>
  <c r="P3605" i="2"/>
  <c r="S3604" i="2"/>
  <c r="R3604" i="2"/>
  <c r="Q3604" i="2"/>
  <c r="P3604" i="2"/>
  <c r="S3603" i="2"/>
  <c r="R3603" i="2"/>
  <c r="Q3603" i="2"/>
  <c r="P3603" i="2"/>
  <c r="S3602" i="2"/>
  <c r="R3602" i="2"/>
  <c r="Q3602" i="2"/>
  <c r="P3602" i="2"/>
  <c r="S3601" i="2"/>
  <c r="R3601" i="2"/>
  <c r="Q3601" i="2"/>
  <c r="P3601" i="2"/>
  <c r="S3600" i="2"/>
  <c r="R3600" i="2"/>
  <c r="Q3600" i="2"/>
  <c r="P3600" i="2"/>
  <c r="S3599" i="2"/>
  <c r="R3599" i="2"/>
  <c r="Q3599" i="2"/>
  <c r="P3599" i="2"/>
  <c r="S3598" i="2"/>
  <c r="R3598" i="2"/>
  <c r="Q3598" i="2"/>
  <c r="P3598" i="2"/>
  <c r="S3597" i="2"/>
  <c r="R3597" i="2"/>
  <c r="Q3597" i="2"/>
  <c r="P3597" i="2"/>
  <c r="S3596" i="2"/>
  <c r="R3596" i="2"/>
  <c r="Q3596" i="2"/>
  <c r="P3596" i="2"/>
  <c r="S3595" i="2"/>
  <c r="R3595" i="2"/>
  <c r="Q3595" i="2"/>
  <c r="P3595" i="2"/>
  <c r="S3594" i="2"/>
  <c r="R3594" i="2"/>
  <c r="Q3594" i="2"/>
  <c r="P3594" i="2"/>
  <c r="S3593" i="2"/>
  <c r="R3593" i="2"/>
  <c r="Q3593" i="2"/>
  <c r="P3593" i="2"/>
  <c r="S3592" i="2"/>
  <c r="R3592" i="2"/>
  <c r="Q3592" i="2"/>
  <c r="P3592" i="2"/>
  <c r="S3591" i="2"/>
  <c r="R3591" i="2"/>
  <c r="Q3591" i="2"/>
  <c r="P3591" i="2"/>
  <c r="S3590" i="2"/>
  <c r="R3590" i="2"/>
  <c r="Q3590" i="2"/>
  <c r="P3590" i="2"/>
  <c r="S3589" i="2"/>
  <c r="R3589" i="2"/>
  <c r="Q3589" i="2"/>
  <c r="P3589" i="2"/>
  <c r="S3588" i="2"/>
  <c r="R3588" i="2"/>
  <c r="Q3588" i="2"/>
  <c r="P3588" i="2"/>
  <c r="S3587" i="2"/>
  <c r="R3587" i="2"/>
  <c r="Q3587" i="2"/>
  <c r="P3587" i="2"/>
  <c r="S3586" i="2"/>
  <c r="R3586" i="2"/>
  <c r="Q3586" i="2"/>
  <c r="P3586" i="2"/>
  <c r="S3585" i="2"/>
  <c r="R3585" i="2"/>
  <c r="Q3585" i="2"/>
  <c r="P3585" i="2"/>
  <c r="S3584" i="2"/>
  <c r="R3584" i="2"/>
  <c r="Q3584" i="2"/>
  <c r="P3584" i="2"/>
  <c r="S3583" i="2"/>
  <c r="R3583" i="2"/>
  <c r="Q3583" i="2"/>
  <c r="P3583" i="2"/>
  <c r="S3582" i="2"/>
  <c r="R3582" i="2"/>
  <c r="Q3582" i="2"/>
  <c r="P3582" i="2"/>
  <c r="S3581" i="2"/>
  <c r="R3581" i="2"/>
  <c r="Q3581" i="2"/>
  <c r="P3581" i="2"/>
  <c r="S3580" i="2"/>
  <c r="R3580" i="2"/>
  <c r="Q3580" i="2"/>
  <c r="P3580" i="2"/>
  <c r="S3579" i="2"/>
  <c r="R3579" i="2"/>
  <c r="Q3579" i="2"/>
  <c r="P3579" i="2"/>
  <c r="S3578" i="2"/>
  <c r="R3578" i="2"/>
  <c r="Q3578" i="2"/>
  <c r="P3578" i="2"/>
  <c r="S3577" i="2"/>
  <c r="R3577" i="2"/>
  <c r="Q3577" i="2"/>
  <c r="P3577" i="2"/>
  <c r="S3576" i="2"/>
  <c r="R3576" i="2"/>
  <c r="Q3576" i="2"/>
  <c r="P3576" i="2"/>
  <c r="S3575" i="2"/>
  <c r="R3575" i="2"/>
  <c r="Q3575" i="2"/>
  <c r="P3575" i="2"/>
  <c r="S3574" i="2"/>
  <c r="R3574" i="2"/>
  <c r="Q3574" i="2"/>
  <c r="P3574" i="2"/>
  <c r="S3573" i="2"/>
  <c r="R3573" i="2"/>
  <c r="Q3573" i="2"/>
  <c r="P3573" i="2"/>
  <c r="S3572" i="2"/>
  <c r="R3572" i="2"/>
  <c r="Q3572" i="2"/>
  <c r="P3572" i="2"/>
  <c r="S3571" i="2"/>
  <c r="R3571" i="2"/>
  <c r="Q3571" i="2"/>
  <c r="P3571" i="2"/>
  <c r="S3570" i="2"/>
  <c r="R3570" i="2"/>
  <c r="Q3570" i="2"/>
  <c r="P3570" i="2"/>
  <c r="S3569" i="2"/>
  <c r="R3569" i="2"/>
  <c r="Q3569" i="2"/>
  <c r="P3569" i="2"/>
  <c r="S3568" i="2"/>
  <c r="R3568" i="2"/>
  <c r="Q3568" i="2"/>
  <c r="P3568" i="2"/>
  <c r="S3567" i="2"/>
  <c r="R3567" i="2"/>
  <c r="Q3567" i="2"/>
  <c r="P3567" i="2"/>
  <c r="S3566" i="2"/>
  <c r="R3566" i="2"/>
  <c r="Q3566" i="2"/>
  <c r="P3566" i="2"/>
  <c r="S3565" i="2"/>
  <c r="R3565" i="2"/>
  <c r="Q3565" i="2"/>
  <c r="P3565" i="2"/>
  <c r="S3564" i="2"/>
  <c r="R3564" i="2"/>
  <c r="Q3564" i="2"/>
  <c r="P3564" i="2"/>
  <c r="S3563" i="2"/>
  <c r="R3563" i="2"/>
  <c r="Q3563" i="2"/>
  <c r="P3563" i="2"/>
  <c r="S3562" i="2"/>
  <c r="R3562" i="2"/>
  <c r="Q3562" i="2"/>
  <c r="P3562" i="2"/>
  <c r="S3561" i="2"/>
  <c r="R3561" i="2"/>
  <c r="Q3561" i="2"/>
  <c r="P3561" i="2"/>
  <c r="S3560" i="2"/>
  <c r="R3560" i="2"/>
  <c r="Q3560" i="2"/>
  <c r="P3560" i="2"/>
  <c r="S3559" i="2"/>
  <c r="R3559" i="2"/>
  <c r="Q3559" i="2"/>
  <c r="P3559" i="2"/>
  <c r="S3558" i="2"/>
  <c r="R3558" i="2"/>
  <c r="Q3558" i="2"/>
  <c r="P3558" i="2"/>
  <c r="S3557" i="2"/>
  <c r="R3557" i="2"/>
  <c r="Q3557" i="2"/>
  <c r="P3557" i="2"/>
  <c r="S3556" i="2"/>
  <c r="R3556" i="2"/>
  <c r="Q3556" i="2"/>
  <c r="P3556" i="2"/>
  <c r="S3555" i="2"/>
  <c r="R3555" i="2"/>
  <c r="Q3555" i="2"/>
  <c r="P3555" i="2"/>
  <c r="S3554" i="2"/>
  <c r="R3554" i="2"/>
  <c r="Q3554" i="2"/>
  <c r="P3554" i="2"/>
  <c r="S3553" i="2"/>
  <c r="R3553" i="2"/>
  <c r="Q3553" i="2"/>
  <c r="P3553" i="2"/>
  <c r="S3552" i="2"/>
  <c r="R3552" i="2"/>
  <c r="Q3552" i="2"/>
  <c r="P3552" i="2"/>
  <c r="S3551" i="2"/>
  <c r="R3551" i="2"/>
  <c r="Q3551" i="2"/>
  <c r="P3551" i="2"/>
  <c r="S3550" i="2"/>
  <c r="R3550" i="2"/>
  <c r="Q3550" i="2"/>
  <c r="P3550" i="2"/>
  <c r="S3549" i="2"/>
  <c r="R3549" i="2"/>
  <c r="Q3549" i="2"/>
  <c r="P3549" i="2"/>
  <c r="S3548" i="2"/>
  <c r="R3548" i="2"/>
  <c r="Q3548" i="2"/>
  <c r="P3548" i="2"/>
  <c r="S3547" i="2"/>
  <c r="R3547" i="2"/>
  <c r="Q3547" i="2"/>
  <c r="P3547" i="2"/>
  <c r="S3546" i="2"/>
  <c r="R3546" i="2"/>
  <c r="Q3546" i="2"/>
  <c r="P3546" i="2"/>
  <c r="S3545" i="2"/>
  <c r="R3545" i="2"/>
  <c r="Q3545" i="2"/>
  <c r="P3545" i="2"/>
  <c r="S3544" i="2"/>
  <c r="R3544" i="2"/>
  <c r="Q3544" i="2"/>
  <c r="P3544" i="2"/>
  <c r="S3543" i="2"/>
  <c r="R3543" i="2"/>
  <c r="Q3543" i="2"/>
  <c r="P3543" i="2"/>
  <c r="S3542" i="2"/>
  <c r="R3542" i="2"/>
  <c r="Q3542" i="2"/>
  <c r="P3542" i="2"/>
  <c r="S3541" i="2"/>
  <c r="R3541" i="2"/>
  <c r="Q3541" i="2"/>
  <c r="P3541" i="2"/>
  <c r="S3540" i="2"/>
  <c r="R3540" i="2"/>
  <c r="Q3540" i="2"/>
  <c r="P3540" i="2"/>
  <c r="S3539" i="2"/>
  <c r="R3539" i="2"/>
  <c r="Q3539" i="2"/>
  <c r="P3539" i="2"/>
  <c r="S3538" i="2"/>
  <c r="R3538" i="2"/>
  <c r="Q3538" i="2"/>
  <c r="P3538" i="2"/>
  <c r="S3537" i="2"/>
  <c r="R3537" i="2"/>
  <c r="Q3537" i="2"/>
  <c r="P3537" i="2"/>
  <c r="S3536" i="2"/>
  <c r="R3536" i="2"/>
  <c r="Q3536" i="2"/>
  <c r="P3536" i="2"/>
  <c r="S3535" i="2"/>
  <c r="R3535" i="2"/>
  <c r="Q3535" i="2"/>
  <c r="P3535" i="2"/>
  <c r="S3534" i="2"/>
  <c r="R3534" i="2"/>
  <c r="Q3534" i="2"/>
  <c r="P3534" i="2"/>
  <c r="S3533" i="2"/>
  <c r="R3533" i="2"/>
  <c r="Q3533" i="2"/>
  <c r="P3533" i="2"/>
  <c r="S3532" i="2"/>
  <c r="R3532" i="2"/>
  <c r="Q3532" i="2"/>
  <c r="P3532" i="2"/>
  <c r="S3531" i="2"/>
  <c r="R3531" i="2"/>
  <c r="Q3531" i="2"/>
  <c r="P3531" i="2"/>
  <c r="S3530" i="2"/>
  <c r="R3530" i="2"/>
  <c r="Q3530" i="2"/>
  <c r="P3530" i="2"/>
  <c r="S3529" i="2"/>
  <c r="R3529" i="2"/>
  <c r="Q3529" i="2"/>
  <c r="P3529" i="2"/>
  <c r="S3528" i="2"/>
  <c r="R3528" i="2"/>
  <c r="Q3528" i="2"/>
  <c r="P3528" i="2"/>
  <c r="S3527" i="2"/>
  <c r="R3527" i="2"/>
  <c r="Q3527" i="2"/>
  <c r="P3527" i="2"/>
  <c r="S3526" i="2"/>
  <c r="R3526" i="2"/>
  <c r="Q3526" i="2"/>
  <c r="P3526" i="2"/>
  <c r="S3525" i="2"/>
  <c r="R3525" i="2"/>
  <c r="Q3525" i="2"/>
  <c r="P3525" i="2"/>
  <c r="S3524" i="2"/>
  <c r="R3524" i="2"/>
  <c r="Q3524" i="2"/>
  <c r="P3524" i="2"/>
  <c r="S3523" i="2"/>
  <c r="R3523" i="2"/>
  <c r="Q3523" i="2"/>
  <c r="P3523" i="2"/>
  <c r="S3522" i="2"/>
  <c r="R3522" i="2"/>
  <c r="Q3522" i="2"/>
  <c r="P3522" i="2"/>
  <c r="S3521" i="2"/>
  <c r="R3521" i="2"/>
  <c r="Q3521" i="2"/>
  <c r="P3521" i="2"/>
  <c r="S3520" i="2"/>
  <c r="R3520" i="2"/>
  <c r="Q3520" i="2"/>
  <c r="P3520" i="2"/>
  <c r="S3519" i="2"/>
  <c r="R3519" i="2"/>
  <c r="Q3519" i="2"/>
  <c r="P3519" i="2"/>
  <c r="S3518" i="2"/>
  <c r="R3518" i="2"/>
  <c r="Q3518" i="2"/>
  <c r="P3518" i="2"/>
  <c r="S3517" i="2"/>
  <c r="R3517" i="2"/>
  <c r="Q3517" i="2"/>
  <c r="P3517" i="2"/>
  <c r="S3516" i="2"/>
  <c r="R3516" i="2"/>
  <c r="Q3516" i="2"/>
  <c r="P3516" i="2"/>
  <c r="S3515" i="2"/>
  <c r="R3515" i="2"/>
  <c r="Q3515" i="2"/>
  <c r="P3515" i="2"/>
  <c r="S3514" i="2"/>
  <c r="R3514" i="2"/>
  <c r="Q3514" i="2"/>
  <c r="P3514" i="2"/>
  <c r="S3513" i="2"/>
  <c r="R3513" i="2"/>
  <c r="Q3513" i="2"/>
  <c r="P3513" i="2"/>
  <c r="S3512" i="2"/>
  <c r="R3512" i="2"/>
  <c r="Q3512" i="2"/>
  <c r="P3512" i="2"/>
  <c r="S3511" i="2"/>
  <c r="R3511" i="2"/>
  <c r="Q3511" i="2"/>
  <c r="P3511" i="2"/>
  <c r="S3510" i="2"/>
  <c r="R3510" i="2"/>
  <c r="Q3510" i="2"/>
  <c r="P3510" i="2"/>
  <c r="S3509" i="2"/>
  <c r="R3509" i="2"/>
  <c r="Q3509" i="2"/>
  <c r="P3509" i="2"/>
  <c r="S3508" i="2"/>
  <c r="R3508" i="2"/>
  <c r="Q3508" i="2"/>
  <c r="P3508" i="2"/>
  <c r="S3507" i="2"/>
  <c r="R3507" i="2"/>
  <c r="Q3507" i="2"/>
  <c r="P3507" i="2"/>
  <c r="S3506" i="2"/>
  <c r="R3506" i="2"/>
  <c r="Q3506" i="2"/>
  <c r="P3506" i="2"/>
  <c r="S3505" i="2"/>
  <c r="R3505" i="2"/>
  <c r="Q3505" i="2"/>
  <c r="P3505" i="2"/>
  <c r="S3504" i="2"/>
  <c r="R3504" i="2"/>
  <c r="Q3504" i="2"/>
  <c r="P3504" i="2"/>
  <c r="S3503" i="2"/>
  <c r="R3503" i="2"/>
  <c r="Q3503" i="2"/>
  <c r="P3503" i="2"/>
  <c r="S3502" i="2"/>
  <c r="R3502" i="2"/>
  <c r="Q3502" i="2"/>
  <c r="P3502" i="2"/>
  <c r="S3501" i="2"/>
  <c r="R3501" i="2"/>
  <c r="Q3501" i="2"/>
  <c r="P3501" i="2"/>
  <c r="S3500" i="2"/>
  <c r="R3500" i="2"/>
  <c r="Q3500" i="2"/>
  <c r="P3500" i="2"/>
  <c r="S3499" i="2"/>
  <c r="R3499" i="2"/>
  <c r="Q3499" i="2"/>
  <c r="P3499" i="2"/>
  <c r="S3498" i="2"/>
  <c r="R3498" i="2"/>
  <c r="Q3498" i="2"/>
  <c r="P3498" i="2"/>
  <c r="S3497" i="2"/>
  <c r="R3497" i="2"/>
  <c r="Q3497" i="2"/>
  <c r="P3497" i="2"/>
  <c r="S3496" i="2"/>
  <c r="R3496" i="2"/>
  <c r="Q3496" i="2"/>
  <c r="P3496" i="2"/>
  <c r="S3495" i="2"/>
  <c r="R3495" i="2"/>
  <c r="Q3495" i="2"/>
  <c r="P3495" i="2"/>
  <c r="S3494" i="2"/>
  <c r="R3494" i="2"/>
  <c r="Q3494" i="2"/>
  <c r="P3494" i="2"/>
  <c r="S3493" i="2"/>
  <c r="R3493" i="2"/>
  <c r="Q3493" i="2"/>
  <c r="P3493" i="2"/>
  <c r="S3492" i="2"/>
  <c r="R3492" i="2"/>
  <c r="Q3492" i="2"/>
  <c r="P3492" i="2"/>
  <c r="S3491" i="2"/>
  <c r="R3491" i="2"/>
  <c r="Q3491" i="2"/>
  <c r="P3491" i="2"/>
  <c r="S3490" i="2"/>
  <c r="R3490" i="2"/>
  <c r="Q3490" i="2"/>
  <c r="P3490" i="2"/>
  <c r="S3489" i="2"/>
  <c r="R3489" i="2"/>
  <c r="Q3489" i="2"/>
  <c r="P3489" i="2"/>
  <c r="S3488" i="2"/>
  <c r="R3488" i="2"/>
  <c r="Q3488" i="2"/>
  <c r="P3488" i="2"/>
  <c r="S3487" i="2"/>
  <c r="R3487" i="2"/>
  <c r="Q3487" i="2"/>
  <c r="P3487" i="2"/>
  <c r="S3486" i="2"/>
  <c r="R3486" i="2"/>
  <c r="Q3486" i="2"/>
  <c r="P3486" i="2"/>
  <c r="S3485" i="2"/>
  <c r="R3485" i="2"/>
  <c r="Q3485" i="2"/>
  <c r="P3485" i="2"/>
  <c r="S3484" i="2"/>
  <c r="R3484" i="2"/>
  <c r="Q3484" i="2"/>
  <c r="P3484" i="2"/>
  <c r="S3483" i="2"/>
  <c r="R3483" i="2"/>
  <c r="Q3483" i="2"/>
  <c r="P3483" i="2"/>
  <c r="S3482" i="2"/>
  <c r="R3482" i="2"/>
  <c r="Q3482" i="2"/>
  <c r="P3482" i="2"/>
  <c r="S3481" i="2"/>
  <c r="R3481" i="2"/>
  <c r="Q3481" i="2"/>
  <c r="P3481" i="2"/>
  <c r="S3480" i="2"/>
  <c r="R3480" i="2"/>
  <c r="Q3480" i="2"/>
  <c r="P3480" i="2"/>
  <c r="S3479" i="2"/>
  <c r="R3479" i="2"/>
  <c r="Q3479" i="2"/>
  <c r="P3479" i="2"/>
  <c r="S3478" i="2"/>
  <c r="R3478" i="2"/>
  <c r="Q3478" i="2"/>
  <c r="P3478" i="2"/>
  <c r="S3477" i="2"/>
  <c r="R3477" i="2"/>
  <c r="Q3477" i="2"/>
  <c r="P3477" i="2"/>
  <c r="S3476" i="2"/>
  <c r="R3476" i="2"/>
  <c r="Q3476" i="2"/>
  <c r="P3476" i="2"/>
  <c r="S3475" i="2"/>
  <c r="R3475" i="2"/>
  <c r="Q3475" i="2"/>
  <c r="P3475" i="2"/>
  <c r="S3474" i="2"/>
  <c r="R3474" i="2"/>
  <c r="Q3474" i="2"/>
  <c r="P3474" i="2"/>
  <c r="S3473" i="2"/>
  <c r="R3473" i="2"/>
  <c r="Q3473" i="2"/>
  <c r="P3473" i="2"/>
  <c r="S3472" i="2"/>
  <c r="R3472" i="2"/>
  <c r="Q3472" i="2"/>
  <c r="P3472" i="2"/>
  <c r="S3471" i="2"/>
  <c r="R3471" i="2"/>
  <c r="Q3471" i="2"/>
  <c r="P3471" i="2"/>
  <c r="S3470" i="2"/>
  <c r="R3470" i="2"/>
  <c r="Q3470" i="2"/>
  <c r="P3470" i="2"/>
  <c r="S3469" i="2"/>
  <c r="R3469" i="2"/>
  <c r="Q3469" i="2"/>
  <c r="P3469" i="2"/>
  <c r="S3468" i="2"/>
  <c r="R3468" i="2"/>
  <c r="Q3468" i="2"/>
  <c r="P3468" i="2"/>
  <c r="S3467" i="2"/>
  <c r="R3467" i="2"/>
  <c r="Q3467" i="2"/>
  <c r="P3467" i="2"/>
  <c r="S3466" i="2"/>
  <c r="R3466" i="2"/>
  <c r="Q3466" i="2"/>
  <c r="P3466" i="2"/>
  <c r="S3465" i="2"/>
  <c r="R3465" i="2"/>
  <c r="Q3465" i="2"/>
  <c r="P3465" i="2"/>
  <c r="S3464" i="2"/>
  <c r="R3464" i="2"/>
  <c r="Q3464" i="2"/>
  <c r="P3464" i="2"/>
  <c r="S3463" i="2"/>
  <c r="R3463" i="2"/>
  <c r="Q3463" i="2"/>
  <c r="P3463" i="2"/>
  <c r="S3462" i="2"/>
  <c r="R3462" i="2"/>
  <c r="Q3462" i="2"/>
  <c r="P3462" i="2"/>
  <c r="S3461" i="2"/>
  <c r="R3461" i="2"/>
  <c r="Q3461" i="2"/>
  <c r="P3461" i="2"/>
  <c r="S3460" i="2"/>
  <c r="R3460" i="2"/>
  <c r="Q3460" i="2"/>
  <c r="P3460" i="2"/>
  <c r="S3459" i="2"/>
  <c r="R3459" i="2"/>
  <c r="Q3459" i="2"/>
  <c r="P3459" i="2"/>
  <c r="S3458" i="2"/>
  <c r="R3458" i="2"/>
  <c r="Q3458" i="2"/>
  <c r="P3458" i="2"/>
  <c r="S3457" i="2"/>
  <c r="R3457" i="2"/>
  <c r="Q3457" i="2"/>
  <c r="P3457" i="2"/>
  <c r="S3456" i="2"/>
  <c r="R3456" i="2"/>
  <c r="Q3456" i="2"/>
  <c r="P3456" i="2"/>
  <c r="S3455" i="2"/>
  <c r="R3455" i="2"/>
  <c r="Q3455" i="2"/>
  <c r="P3455" i="2"/>
  <c r="S3454" i="2"/>
  <c r="R3454" i="2"/>
  <c r="Q3454" i="2"/>
  <c r="P3454" i="2"/>
  <c r="S3453" i="2"/>
  <c r="R3453" i="2"/>
  <c r="Q3453" i="2"/>
  <c r="P3453" i="2"/>
  <c r="S3452" i="2"/>
  <c r="R3452" i="2"/>
  <c r="Q3452" i="2"/>
  <c r="P3452" i="2"/>
  <c r="S3451" i="2"/>
  <c r="R3451" i="2"/>
  <c r="Q3451" i="2"/>
  <c r="P3451" i="2"/>
  <c r="S3450" i="2"/>
  <c r="R3450" i="2"/>
  <c r="Q3450" i="2"/>
  <c r="P3450" i="2"/>
  <c r="S3449" i="2"/>
  <c r="R3449" i="2"/>
  <c r="Q3449" i="2"/>
  <c r="P3449" i="2"/>
  <c r="S3448" i="2"/>
  <c r="R3448" i="2"/>
  <c r="Q3448" i="2"/>
  <c r="P3448" i="2"/>
  <c r="S3447" i="2"/>
  <c r="R3447" i="2"/>
  <c r="Q3447" i="2"/>
  <c r="P3447" i="2"/>
  <c r="S3446" i="2"/>
  <c r="R3446" i="2"/>
  <c r="Q3446" i="2"/>
  <c r="P3446" i="2"/>
  <c r="S3445" i="2"/>
  <c r="R3445" i="2"/>
  <c r="Q3445" i="2"/>
  <c r="P3445" i="2"/>
  <c r="S3444" i="2"/>
  <c r="R3444" i="2"/>
  <c r="Q3444" i="2"/>
  <c r="P3444" i="2"/>
  <c r="S3443" i="2"/>
  <c r="R3443" i="2"/>
  <c r="Q3443" i="2"/>
  <c r="P3443" i="2"/>
  <c r="S3442" i="2"/>
  <c r="R3442" i="2"/>
  <c r="Q3442" i="2"/>
  <c r="P3442" i="2"/>
  <c r="S3441" i="2"/>
  <c r="R3441" i="2"/>
  <c r="Q3441" i="2"/>
  <c r="P3441" i="2"/>
  <c r="S3440" i="2"/>
  <c r="R3440" i="2"/>
  <c r="Q3440" i="2"/>
  <c r="P3440" i="2"/>
  <c r="S3439" i="2"/>
  <c r="R3439" i="2"/>
  <c r="Q3439" i="2"/>
  <c r="P3439" i="2"/>
  <c r="S3438" i="2"/>
  <c r="R3438" i="2"/>
  <c r="Q3438" i="2"/>
  <c r="P3438" i="2"/>
  <c r="S3437" i="2"/>
  <c r="R3437" i="2"/>
  <c r="Q3437" i="2"/>
  <c r="P3437" i="2"/>
  <c r="S3436" i="2"/>
  <c r="R3436" i="2"/>
  <c r="Q3436" i="2"/>
  <c r="P3436" i="2"/>
  <c r="S3435" i="2"/>
  <c r="R3435" i="2"/>
  <c r="Q3435" i="2"/>
  <c r="P3435" i="2"/>
  <c r="S3434" i="2"/>
  <c r="R3434" i="2"/>
  <c r="Q3434" i="2"/>
  <c r="P3434" i="2"/>
  <c r="S3433" i="2"/>
  <c r="R3433" i="2"/>
  <c r="Q3433" i="2"/>
  <c r="P3433" i="2"/>
  <c r="S3432" i="2"/>
  <c r="R3432" i="2"/>
  <c r="Q3432" i="2"/>
  <c r="P3432" i="2"/>
  <c r="S3431" i="2"/>
  <c r="R3431" i="2"/>
  <c r="Q3431" i="2"/>
  <c r="P3431" i="2"/>
  <c r="S3430" i="2"/>
  <c r="R3430" i="2"/>
  <c r="Q3430" i="2"/>
  <c r="P3430" i="2"/>
  <c r="S3429" i="2"/>
  <c r="R3429" i="2"/>
  <c r="Q3429" i="2"/>
  <c r="P3429" i="2"/>
  <c r="S3428" i="2"/>
  <c r="R3428" i="2"/>
  <c r="Q3428" i="2"/>
  <c r="P3428" i="2"/>
  <c r="S3427" i="2"/>
  <c r="R3427" i="2"/>
  <c r="Q3427" i="2"/>
  <c r="P3427" i="2"/>
  <c r="S3426" i="2"/>
  <c r="R3426" i="2"/>
  <c r="Q3426" i="2"/>
  <c r="P3426" i="2"/>
  <c r="S3425" i="2"/>
  <c r="R3425" i="2"/>
  <c r="Q3425" i="2"/>
  <c r="P3425" i="2"/>
  <c r="S3424" i="2"/>
  <c r="R3424" i="2"/>
  <c r="Q3424" i="2"/>
  <c r="P3424" i="2"/>
  <c r="S3423" i="2"/>
  <c r="R3423" i="2"/>
  <c r="Q3423" i="2"/>
  <c r="P3423" i="2"/>
  <c r="S3422" i="2"/>
  <c r="R3422" i="2"/>
  <c r="Q3422" i="2"/>
  <c r="P3422" i="2"/>
  <c r="S3421" i="2"/>
  <c r="R3421" i="2"/>
  <c r="Q3421" i="2"/>
  <c r="P3421" i="2"/>
  <c r="S3420" i="2"/>
  <c r="R3420" i="2"/>
  <c r="Q3420" i="2"/>
  <c r="P3420" i="2"/>
  <c r="S3419" i="2"/>
  <c r="R3419" i="2"/>
  <c r="Q3419" i="2"/>
  <c r="P3419" i="2"/>
  <c r="S3418" i="2"/>
  <c r="R3418" i="2"/>
  <c r="Q3418" i="2"/>
  <c r="P3418" i="2"/>
  <c r="S3417" i="2"/>
  <c r="R3417" i="2"/>
  <c r="Q3417" i="2"/>
  <c r="P3417" i="2"/>
  <c r="S3416" i="2"/>
  <c r="R3416" i="2"/>
  <c r="Q3416" i="2"/>
  <c r="P3416" i="2"/>
  <c r="S3415" i="2"/>
  <c r="R3415" i="2"/>
  <c r="Q3415" i="2"/>
  <c r="P3415" i="2"/>
  <c r="S3414" i="2"/>
  <c r="R3414" i="2"/>
  <c r="Q3414" i="2"/>
  <c r="P3414" i="2"/>
  <c r="S3413" i="2"/>
  <c r="R3413" i="2"/>
  <c r="Q3413" i="2"/>
  <c r="P3413" i="2"/>
  <c r="S3412" i="2"/>
  <c r="R3412" i="2"/>
  <c r="Q3412" i="2"/>
  <c r="P3412" i="2"/>
  <c r="S3411" i="2"/>
  <c r="R3411" i="2"/>
  <c r="Q3411" i="2"/>
  <c r="P3411" i="2"/>
  <c r="S3410" i="2"/>
  <c r="R3410" i="2"/>
  <c r="Q3410" i="2"/>
  <c r="P3410" i="2"/>
  <c r="S3409" i="2"/>
  <c r="R3409" i="2"/>
  <c r="Q3409" i="2"/>
  <c r="P3409" i="2"/>
  <c r="S3408" i="2"/>
  <c r="R3408" i="2"/>
  <c r="Q3408" i="2"/>
  <c r="P3408" i="2"/>
  <c r="S3407" i="2"/>
  <c r="R3407" i="2"/>
  <c r="Q3407" i="2"/>
  <c r="P3407" i="2"/>
  <c r="S3406" i="2"/>
  <c r="R3406" i="2"/>
  <c r="Q3406" i="2"/>
  <c r="P3406" i="2"/>
  <c r="S3405" i="2"/>
  <c r="R3405" i="2"/>
  <c r="Q3405" i="2"/>
  <c r="P3405" i="2"/>
  <c r="S3404" i="2"/>
  <c r="R3404" i="2"/>
  <c r="Q3404" i="2"/>
  <c r="P3404" i="2"/>
  <c r="S3403" i="2"/>
  <c r="R3403" i="2"/>
  <c r="Q3403" i="2"/>
  <c r="P3403" i="2"/>
  <c r="S3402" i="2"/>
  <c r="R3402" i="2"/>
  <c r="Q3402" i="2"/>
  <c r="P3402" i="2"/>
  <c r="S3401" i="2"/>
  <c r="R3401" i="2"/>
  <c r="Q3401" i="2"/>
  <c r="P3401" i="2"/>
  <c r="S3400" i="2"/>
  <c r="R3400" i="2"/>
  <c r="Q3400" i="2"/>
  <c r="P3400" i="2"/>
  <c r="S3399" i="2"/>
  <c r="R3399" i="2"/>
  <c r="Q3399" i="2"/>
  <c r="P3399" i="2"/>
  <c r="S3398" i="2"/>
  <c r="R3398" i="2"/>
  <c r="Q3398" i="2"/>
  <c r="P3398" i="2"/>
  <c r="S3397" i="2"/>
  <c r="R3397" i="2"/>
  <c r="Q3397" i="2"/>
  <c r="P3397" i="2"/>
  <c r="S3396" i="2"/>
  <c r="R3396" i="2"/>
  <c r="Q3396" i="2"/>
  <c r="P3396" i="2"/>
  <c r="S3395" i="2"/>
  <c r="R3395" i="2"/>
  <c r="Q3395" i="2"/>
  <c r="P3395" i="2"/>
  <c r="S3394" i="2"/>
  <c r="R3394" i="2"/>
  <c r="Q3394" i="2"/>
  <c r="P3394" i="2"/>
  <c r="S3393" i="2"/>
  <c r="R3393" i="2"/>
  <c r="Q3393" i="2"/>
  <c r="P3393" i="2"/>
  <c r="S3392" i="2"/>
  <c r="R3392" i="2"/>
  <c r="Q3392" i="2"/>
  <c r="P3392" i="2"/>
  <c r="S3391" i="2"/>
  <c r="R3391" i="2"/>
  <c r="Q3391" i="2"/>
  <c r="P3391" i="2"/>
  <c r="S3390" i="2"/>
  <c r="R3390" i="2"/>
  <c r="Q3390" i="2"/>
  <c r="P3390" i="2"/>
  <c r="S3389" i="2"/>
  <c r="R3389" i="2"/>
  <c r="Q3389" i="2"/>
  <c r="P3389" i="2"/>
  <c r="S3388" i="2"/>
  <c r="R3388" i="2"/>
  <c r="Q3388" i="2"/>
  <c r="P3388" i="2"/>
  <c r="S3387" i="2"/>
  <c r="R3387" i="2"/>
  <c r="Q3387" i="2"/>
  <c r="P3387" i="2"/>
  <c r="S3386" i="2"/>
  <c r="R3386" i="2"/>
  <c r="Q3386" i="2"/>
  <c r="P3386" i="2"/>
  <c r="S3385" i="2"/>
  <c r="R3385" i="2"/>
  <c r="Q3385" i="2"/>
  <c r="P3385" i="2"/>
  <c r="S3384" i="2"/>
  <c r="R3384" i="2"/>
  <c r="Q3384" i="2"/>
  <c r="P3384" i="2"/>
  <c r="S3383" i="2"/>
  <c r="R3383" i="2"/>
  <c r="Q3383" i="2"/>
  <c r="P3383" i="2"/>
  <c r="S3382" i="2"/>
  <c r="R3382" i="2"/>
  <c r="Q3382" i="2"/>
  <c r="P3382" i="2"/>
  <c r="S3381" i="2"/>
  <c r="R3381" i="2"/>
  <c r="Q3381" i="2"/>
  <c r="P3381" i="2"/>
  <c r="S3380" i="2"/>
  <c r="R3380" i="2"/>
  <c r="Q3380" i="2"/>
  <c r="P3380" i="2"/>
  <c r="S3379" i="2"/>
  <c r="R3379" i="2"/>
  <c r="Q3379" i="2"/>
  <c r="P3379" i="2"/>
  <c r="S3378" i="2"/>
  <c r="R3378" i="2"/>
  <c r="Q3378" i="2"/>
  <c r="P3378" i="2"/>
  <c r="S3377" i="2"/>
  <c r="R3377" i="2"/>
  <c r="Q3377" i="2"/>
  <c r="P3377" i="2"/>
  <c r="S3376" i="2"/>
  <c r="R3376" i="2"/>
  <c r="Q3376" i="2"/>
  <c r="P3376" i="2"/>
  <c r="S3375" i="2"/>
  <c r="R3375" i="2"/>
  <c r="Q3375" i="2"/>
  <c r="P3375" i="2"/>
  <c r="S3374" i="2"/>
  <c r="R3374" i="2"/>
  <c r="Q3374" i="2"/>
  <c r="P3374" i="2"/>
  <c r="S3373" i="2"/>
  <c r="R3373" i="2"/>
  <c r="Q3373" i="2"/>
  <c r="P3373" i="2"/>
  <c r="S3372" i="2"/>
  <c r="R3372" i="2"/>
  <c r="Q3372" i="2"/>
  <c r="P3372" i="2"/>
  <c r="S3371" i="2"/>
  <c r="R3371" i="2"/>
  <c r="Q3371" i="2"/>
  <c r="P3371" i="2"/>
  <c r="S3370" i="2"/>
  <c r="R3370" i="2"/>
  <c r="Q3370" i="2"/>
  <c r="P3370" i="2"/>
  <c r="S3369" i="2"/>
  <c r="R3369" i="2"/>
  <c r="Q3369" i="2"/>
  <c r="P3369" i="2"/>
  <c r="S3368" i="2"/>
  <c r="R3368" i="2"/>
  <c r="Q3368" i="2"/>
  <c r="P3368" i="2"/>
  <c r="S3367" i="2"/>
  <c r="R3367" i="2"/>
  <c r="Q3367" i="2"/>
  <c r="P3367" i="2"/>
  <c r="S3366" i="2"/>
  <c r="R3366" i="2"/>
  <c r="Q3366" i="2"/>
  <c r="P3366" i="2"/>
  <c r="S3365" i="2"/>
  <c r="R3365" i="2"/>
  <c r="Q3365" i="2"/>
  <c r="P3365" i="2"/>
  <c r="S3364" i="2"/>
  <c r="R3364" i="2"/>
  <c r="Q3364" i="2"/>
  <c r="P3364" i="2"/>
  <c r="S3363" i="2"/>
  <c r="R3363" i="2"/>
  <c r="Q3363" i="2"/>
  <c r="P3363" i="2"/>
  <c r="S3362" i="2"/>
  <c r="R3362" i="2"/>
  <c r="Q3362" i="2"/>
  <c r="P3362" i="2"/>
  <c r="S3361" i="2"/>
  <c r="R3361" i="2"/>
  <c r="Q3361" i="2"/>
  <c r="P3361" i="2"/>
  <c r="S3360" i="2"/>
  <c r="R3360" i="2"/>
  <c r="Q3360" i="2"/>
  <c r="P3360" i="2"/>
  <c r="S3359" i="2"/>
  <c r="R3359" i="2"/>
  <c r="Q3359" i="2"/>
  <c r="P3359" i="2"/>
  <c r="S3358" i="2"/>
  <c r="R3358" i="2"/>
  <c r="Q3358" i="2"/>
  <c r="P3358" i="2"/>
  <c r="S3357" i="2"/>
  <c r="R3357" i="2"/>
  <c r="Q3357" i="2"/>
  <c r="P3357" i="2"/>
  <c r="S3356" i="2"/>
  <c r="R3356" i="2"/>
  <c r="Q3356" i="2"/>
  <c r="P3356" i="2"/>
  <c r="S3355" i="2"/>
  <c r="R3355" i="2"/>
  <c r="Q3355" i="2"/>
  <c r="P3355" i="2"/>
  <c r="S3354" i="2"/>
  <c r="R3354" i="2"/>
  <c r="Q3354" i="2"/>
  <c r="P3354" i="2"/>
  <c r="S3353" i="2"/>
  <c r="R3353" i="2"/>
  <c r="Q3353" i="2"/>
  <c r="P3353" i="2"/>
  <c r="S3352" i="2"/>
  <c r="R3352" i="2"/>
  <c r="Q3352" i="2"/>
  <c r="P3352" i="2"/>
  <c r="S3351" i="2"/>
  <c r="R3351" i="2"/>
  <c r="Q3351" i="2"/>
  <c r="P3351" i="2"/>
  <c r="S3350" i="2"/>
  <c r="R3350" i="2"/>
  <c r="Q3350" i="2"/>
  <c r="P3350" i="2"/>
  <c r="S3349" i="2"/>
  <c r="R3349" i="2"/>
  <c r="Q3349" i="2"/>
  <c r="P3349" i="2"/>
  <c r="S3348" i="2"/>
  <c r="R3348" i="2"/>
  <c r="Q3348" i="2"/>
  <c r="P3348" i="2"/>
  <c r="S3347" i="2"/>
  <c r="R3347" i="2"/>
  <c r="Q3347" i="2"/>
  <c r="P3347" i="2"/>
  <c r="S3346" i="2"/>
  <c r="R3346" i="2"/>
  <c r="Q3346" i="2"/>
  <c r="P3346" i="2"/>
  <c r="S3345" i="2"/>
  <c r="R3345" i="2"/>
  <c r="Q3345" i="2"/>
  <c r="P3345" i="2"/>
  <c r="S3344" i="2"/>
  <c r="R3344" i="2"/>
  <c r="Q3344" i="2"/>
  <c r="P3344" i="2"/>
  <c r="S3343" i="2"/>
  <c r="R3343" i="2"/>
  <c r="Q3343" i="2"/>
  <c r="P3343" i="2"/>
  <c r="S3342" i="2"/>
  <c r="R3342" i="2"/>
  <c r="Q3342" i="2"/>
  <c r="P3342" i="2"/>
  <c r="S3341" i="2"/>
  <c r="R3341" i="2"/>
  <c r="Q3341" i="2"/>
  <c r="P3341" i="2"/>
  <c r="S3340" i="2"/>
  <c r="R3340" i="2"/>
  <c r="Q3340" i="2"/>
  <c r="P3340" i="2"/>
  <c r="S3339" i="2"/>
  <c r="R3339" i="2"/>
  <c r="Q3339" i="2"/>
  <c r="P3339" i="2"/>
  <c r="S3338" i="2"/>
  <c r="R3338" i="2"/>
  <c r="Q3338" i="2"/>
  <c r="P3338" i="2"/>
  <c r="S3337" i="2"/>
  <c r="R3337" i="2"/>
  <c r="Q3337" i="2"/>
  <c r="P3337" i="2"/>
  <c r="S3336" i="2"/>
  <c r="R3336" i="2"/>
  <c r="Q3336" i="2"/>
  <c r="P3336" i="2"/>
  <c r="S3335" i="2"/>
  <c r="R3335" i="2"/>
  <c r="Q3335" i="2"/>
  <c r="P3335" i="2"/>
  <c r="S3334" i="2"/>
  <c r="R3334" i="2"/>
  <c r="Q3334" i="2"/>
  <c r="P3334" i="2"/>
  <c r="S3333" i="2"/>
  <c r="R3333" i="2"/>
  <c r="Q3333" i="2"/>
  <c r="P3333" i="2"/>
  <c r="S3332" i="2"/>
  <c r="R3332" i="2"/>
  <c r="Q3332" i="2"/>
  <c r="P3332" i="2"/>
  <c r="S3331" i="2"/>
  <c r="R3331" i="2"/>
  <c r="Q3331" i="2"/>
  <c r="P3331" i="2"/>
  <c r="S3330" i="2"/>
  <c r="R3330" i="2"/>
  <c r="Q3330" i="2"/>
  <c r="P3330" i="2"/>
  <c r="S3329" i="2"/>
  <c r="R3329" i="2"/>
  <c r="Q3329" i="2"/>
  <c r="P3329" i="2"/>
  <c r="S3328" i="2"/>
  <c r="R3328" i="2"/>
  <c r="Q3328" i="2"/>
  <c r="P3328" i="2"/>
  <c r="S3327" i="2"/>
  <c r="R3327" i="2"/>
  <c r="Q3327" i="2"/>
  <c r="P3327" i="2"/>
  <c r="S3326" i="2"/>
  <c r="R3326" i="2"/>
  <c r="Q3326" i="2"/>
  <c r="P3326" i="2"/>
  <c r="S3325" i="2"/>
  <c r="R3325" i="2"/>
  <c r="Q3325" i="2"/>
  <c r="P3325" i="2"/>
  <c r="S3324" i="2"/>
  <c r="R3324" i="2"/>
  <c r="Q3324" i="2"/>
  <c r="P3324" i="2"/>
  <c r="S3323" i="2"/>
  <c r="R3323" i="2"/>
  <c r="Q3323" i="2"/>
  <c r="P3323" i="2"/>
  <c r="S3322" i="2"/>
  <c r="R3322" i="2"/>
  <c r="Q3322" i="2"/>
  <c r="P3322" i="2"/>
  <c r="S3321" i="2"/>
  <c r="R3321" i="2"/>
  <c r="Q3321" i="2"/>
  <c r="P3321" i="2"/>
  <c r="S3320" i="2"/>
  <c r="R3320" i="2"/>
  <c r="Q3320" i="2"/>
  <c r="P3320" i="2"/>
  <c r="S3319" i="2"/>
  <c r="R3319" i="2"/>
  <c r="Q3319" i="2"/>
  <c r="P3319" i="2"/>
  <c r="S3318" i="2"/>
  <c r="R3318" i="2"/>
  <c r="Q3318" i="2"/>
  <c r="P3318" i="2"/>
  <c r="S3317" i="2"/>
  <c r="R3317" i="2"/>
  <c r="Q3317" i="2"/>
  <c r="P3317" i="2"/>
  <c r="S3316" i="2"/>
  <c r="R3316" i="2"/>
  <c r="Q3316" i="2"/>
  <c r="P3316" i="2"/>
  <c r="S3315" i="2"/>
  <c r="R3315" i="2"/>
  <c r="Q3315" i="2"/>
  <c r="P3315" i="2"/>
  <c r="S3314" i="2"/>
  <c r="R3314" i="2"/>
  <c r="Q3314" i="2"/>
  <c r="P3314" i="2"/>
  <c r="S3313" i="2"/>
  <c r="R3313" i="2"/>
  <c r="Q3313" i="2"/>
  <c r="P3313" i="2"/>
  <c r="S3312" i="2"/>
  <c r="R3312" i="2"/>
  <c r="Q3312" i="2"/>
  <c r="P3312" i="2"/>
  <c r="S3311" i="2"/>
  <c r="R3311" i="2"/>
  <c r="Q3311" i="2"/>
  <c r="P3311" i="2"/>
  <c r="S3310" i="2"/>
  <c r="R3310" i="2"/>
  <c r="Q3310" i="2"/>
  <c r="P3310" i="2"/>
  <c r="S3309" i="2"/>
  <c r="R3309" i="2"/>
  <c r="Q3309" i="2"/>
  <c r="P3309" i="2"/>
  <c r="S3308" i="2"/>
  <c r="R3308" i="2"/>
  <c r="Q3308" i="2"/>
  <c r="P3308" i="2"/>
  <c r="S3307" i="2"/>
  <c r="R3307" i="2"/>
  <c r="Q3307" i="2"/>
  <c r="P3307" i="2"/>
  <c r="S3306" i="2"/>
  <c r="R3306" i="2"/>
  <c r="Q3306" i="2"/>
  <c r="P3306" i="2"/>
  <c r="S3305" i="2"/>
  <c r="R3305" i="2"/>
  <c r="Q3305" i="2"/>
  <c r="P3305" i="2"/>
  <c r="S3304" i="2"/>
  <c r="R3304" i="2"/>
  <c r="Q3304" i="2"/>
  <c r="P3304" i="2"/>
  <c r="S3303" i="2"/>
  <c r="R3303" i="2"/>
  <c r="Q3303" i="2"/>
  <c r="P3303" i="2"/>
  <c r="S3302" i="2"/>
  <c r="R3302" i="2"/>
  <c r="Q3302" i="2"/>
  <c r="P3302" i="2"/>
  <c r="S3301" i="2"/>
  <c r="R3301" i="2"/>
  <c r="Q3301" i="2"/>
  <c r="P3301" i="2"/>
  <c r="S3300" i="2"/>
  <c r="R3300" i="2"/>
  <c r="Q3300" i="2"/>
  <c r="P3300" i="2"/>
  <c r="S3299" i="2"/>
  <c r="R3299" i="2"/>
  <c r="Q3299" i="2"/>
  <c r="P3299" i="2"/>
  <c r="S3298" i="2"/>
  <c r="R3298" i="2"/>
  <c r="Q3298" i="2"/>
  <c r="P3298" i="2"/>
  <c r="S3297" i="2"/>
  <c r="R3297" i="2"/>
  <c r="Q3297" i="2"/>
  <c r="P3297" i="2"/>
  <c r="S3296" i="2"/>
  <c r="R3296" i="2"/>
  <c r="Q3296" i="2"/>
  <c r="P3296" i="2"/>
  <c r="S3295" i="2"/>
  <c r="R3295" i="2"/>
  <c r="Q3295" i="2"/>
  <c r="P3295" i="2"/>
  <c r="S3294" i="2"/>
  <c r="R3294" i="2"/>
  <c r="Q3294" i="2"/>
  <c r="P3294" i="2"/>
  <c r="S3293" i="2"/>
  <c r="R3293" i="2"/>
  <c r="Q3293" i="2"/>
  <c r="P3293" i="2"/>
  <c r="S3292" i="2"/>
  <c r="R3292" i="2"/>
  <c r="Q3292" i="2"/>
  <c r="P3292" i="2"/>
  <c r="S3291" i="2"/>
  <c r="R3291" i="2"/>
  <c r="Q3291" i="2"/>
  <c r="P3291" i="2"/>
  <c r="S3290" i="2"/>
  <c r="R3290" i="2"/>
  <c r="Q3290" i="2"/>
  <c r="P3290" i="2"/>
  <c r="S3289" i="2"/>
  <c r="R3289" i="2"/>
  <c r="Q3289" i="2"/>
  <c r="P3289" i="2"/>
  <c r="S3288" i="2"/>
  <c r="R3288" i="2"/>
  <c r="Q3288" i="2"/>
  <c r="P3288" i="2"/>
  <c r="S3287" i="2"/>
  <c r="R3287" i="2"/>
  <c r="Q3287" i="2"/>
  <c r="P3287" i="2"/>
  <c r="S3286" i="2"/>
  <c r="R3286" i="2"/>
  <c r="Q3286" i="2"/>
  <c r="P3286" i="2"/>
  <c r="S3285" i="2"/>
  <c r="R3285" i="2"/>
  <c r="Q3285" i="2"/>
  <c r="P3285" i="2"/>
  <c r="S3284" i="2"/>
  <c r="R3284" i="2"/>
  <c r="Q3284" i="2"/>
  <c r="P3284" i="2"/>
  <c r="S3283" i="2"/>
  <c r="R3283" i="2"/>
  <c r="Q3283" i="2"/>
  <c r="P3283" i="2"/>
  <c r="S3282" i="2"/>
  <c r="R3282" i="2"/>
  <c r="Q3282" i="2"/>
  <c r="P3282" i="2"/>
  <c r="S3281" i="2"/>
  <c r="R3281" i="2"/>
  <c r="Q3281" i="2"/>
  <c r="P3281" i="2"/>
  <c r="S3280" i="2"/>
  <c r="R3280" i="2"/>
  <c r="Q3280" i="2"/>
  <c r="P3280" i="2"/>
  <c r="S3279" i="2"/>
  <c r="R3279" i="2"/>
  <c r="Q3279" i="2"/>
  <c r="P3279" i="2"/>
  <c r="S3278" i="2"/>
  <c r="R3278" i="2"/>
  <c r="Q3278" i="2"/>
  <c r="P3278" i="2"/>
  <c r="S3277" i="2"/>
  <c r="R3277" i="2"/>
  <c r="Q3277" i="2"/>
  <c r="P3277" i="2"/>
  <c r="S3276" i="2"/>
  <c r="R3276" i="2"/>
  <c r="Q3276" i="2"/>
  <c r="P3276" i="2"/>
  <c r="S3275" i="2"/>
  <c r="R3275" i="2"/>
  <c r="Q3275" i="2"/>
  <c r="P3275" i="2"/>
  <c r="S3274" i="2"/>
  <c r="R3274" i="2"/>
  <c r="Q3274" i="2"/>
  <c r="P3274" i="2"/>
  <c r="S3273" i="2"/>
  <c r="R3273" i="2"/>
  <c r="Q3273" i="2"/>
  <c r="P3273" i="2"/>
  <c r="S3272" i="2"/>
  <c r="R3272" i="2"/>
  <c r="Q3272" i="2"/>
  <c r="P3272" i="2"/>
  <c r="S3271" i="2"/>
  <c r="R3271" i="2"/>
  <c r="Q3271" i="2"/>
  <c r="P3271" i="2"/>
  <c r="S3270" i="2"/>
  <c r="R3270" i="2"/>
  <c r="Q3270" i="2"/>
  <c r="P3270" i="2"/>
  <c r="S3269" i="2"/>
  <c r="R3269" i="2"/>
  <c r="Q3269" i="2"/>
  <c r="P3269" i="2"/>
  <c r="S3268" i="2"/>
  <c r="R3268" i="2"/>
  <c r="Q3268" i="2"/>
  <c r="P3268" i="2"/>
  <c r="S3267" i="2"/>
  <c r="R3267" i="2"/>
  <c r="Q3267" i="2"/>
  <c r="P3267" i="2"/>
  <c r="S3266" i="2"/>
  <c r="R3266" i="2"/>
  <c r="Q3266" i="2"/>
  <c r="P3266" i="2"/>
  <c r="S3265" i="2"/>
  <c r="R3265" i="2"/>
  <c r="Q3265" i="2"/>
  <c r="P3265" i="2"/>
  <c r="S3264" i="2"/>
  <c r="R3264" i="2"/>
  <c r="Q3264" i="2"/>
  <c r="P3264" i="2"/>
  <c r="S3263" i="2"/>
  <c r="R3263" i="2"/>
  <c r="Q3263" i="2"/>
  <c r="P3263" i="2"/>
  <c r="S3262" i="2"/>
  <c r="R3262" i="2"/>
  <c r="Q3262" i="2"/>
  <c r="P3262" i="2"/>
  <c r="S3261" i="2"/>
  <c r="R3261" i="2"/>
  <c r="Q3261" i="2"/>
  <c r="P3261" i="2"/>
  <c r="S3260" i="2"/>
  <c r="R3260" i="2"/>
  <c r="Q3260" i="2"/>
  <c r="P3260" i="2"/>
  <c r="S3259" i="2"/>
  <c r="R3259" i="2"/>
  <c r="Q3259" i="2"/>
  <c r="P3259" i="2"/>
  <c r="S3258" i="2"/>
  <c r="R3258" i="2"/>
  <c r="Q3258" i="2"/>
  <c r="P3258" i="2"/>
  <c r="S3257" i="2"/>
  <c r="R3257" i="2"/>
  <c r="Q3257" i="2"/>
  <c r="P3257" i="2"/>
  <c r="S3256" i="2"/>
  <c r="R3256" i="2"/>
  <c r="Q3256" i="2"/>
  <c r="P3256" i="2"/>
  <c r="S3255" i="2"/>
  <c r="R3255" i="2"/>
  <c r="Q3255" i="2"/>
  <c r="P3255" i="2"/>
  <c r="S3254" i="2"/>
  <c r="R3254" i="2"/>
  <c r="Q3254" i="2"/>
  <c r="P3254" i="2"/>
  <c r="S3253" i="2"/>
  <c r="R3253" i="2"/>
  <c r="Q3253" i="2"/>
  <c r="P3253" i="2"/>
  <c r="S3252" i="2"/>
  <c r="R3252" i="2"/>
  <c r="Q3252" i="2"/>
  <c r="P3252" i="2"/>
  <c r="S3251" i="2"/>
  <c r="R3251" i="2"/>
  <c r="Q3251" i="2"/>
  <c r="P3251" i="2"/>
  <c r="S3250" i="2"/>
  <c r="R3250" i="2"/>
  <c r="Q3250" i="2"/>
  <c r="P3250" i="2"/>
  <c r="S3249" i="2"/>
  <c r="R3249" i="2"/>
  <c r="Q3249" i="2"/>
  <c r="P3249" i="2"/>
  <c r="S3248" i="2"/>
  <c r="R3248" i="2"/>
  <c r="Q3248" i="2"/>
  <c r="P3248" i="2"/>
  <c r="S3247" i="2"/>
  <c r="R3247" i="2"/>
  <c r="Q3247" i="2"/>
  <c r="P3247" i="2"/>
  <c r="S3246" i="2"/>
  <c r="R3246" i="2"/>
  <c r="Q3246" i="2"/>
  <c r="P3246" i="2"/>
  <c r="S3245" i="2"/>
  <c r="R3245" i="2"/>
  <c r="Q3245" i="2"/>
  <c r="P3245" i="2"/>
  <c r="S3244" i="2"/>
  <c r="R3244" i="2"/>
  <c r="Q3244" i="2"/>
  <c r="P3244" i="2"/>
  <c r="S3243" i="2"/>
  <c r="R3243" i="2"/>
  <c r="Q3243" i="2"/>
  <c r="P3243" i="2"/>
  <c r="S3242" i="2"/>
  <c r="R3242" i="2"/>
  <c r="Q3242" i="2"/>
  <c r="P3242" i="2"/>
  <c r="S3241" i="2"/>
  <c r="R3241" i="2"/>
  <c r="Q3241" i="2"/>
  <c r="P3241" i="2"/>
  <c r="S3240" i="2"/>
  <c r="R3240" i="2"/>
  <c r="Q3240" i="2"/>
  <c r="P3240" i="2"/>
  <c r="S3239" i="2"/>
  <c r="R3239" i="2"/>
  <c r="Q3239" i="2"/>
  <c r="P3239" i="2"/>
  <c r="S3238" i="2"/>
  <c r="R3238" i="2"/>
  <c r="Q3238" i="2"/>
  <c r="P3238" i="2"/>
  <c r="S3237" i="2"/>
  <c r="R3237" i="2"/>
  <c r="Q3237" i="2"/>
  <c r="P3237" i="2"/>
  <c r="S3236" i="2"/>
  <c r="R3236" i="2"/>
  <c r="Q3236" i="2"/>
  <c r="P3236" i="2"/>
  <c r="S3235" i="2"/>
  <c r="R3235" i="2"/>
  <c r="Q3235" i="2"/>
  <c r="P3235" i="2"/>
  <c r="S3234" i="2"/>
  <c r="R3234" i="2"/>
  <c r="Q3234" i="2"/>
  <c r="P3234" i="2"/>
  <c r="S3233" i="2"/>
  <c r="R3233" i="2"/>
  <c r="Q3233" i="2"/>
  <c r="P3233" i="2"/>
  <c r="S3232" i="2"/>
  <c r="R3232" i="2"/>
  <c r="Q3232" i="2"/>
  <c r="P3232" i="2"/>
  <c r="S3231" i="2"/>
  <c r="R3231" i="2"/>
  <c r="Q3231" i="2"/>
  <c r="P3231" i="2"/>
  <c r="S3230" i="2"/>
  <c r="R3230" i="2"/>
  <c r="Q3230" i="2"/>
  <c r="P3230" i="2"/>
  <c r="S3229" i="2"/>
  <c r="R3229" i="2"/>
  <c r="Q3229" i="2"/>
  <c r="P3229" i="2"/>
  <c r="S3228" i="2"/>
  <c r="R3228" i="2"/>
  <c r="Q3228" i="2"/>
  <c r="P3228" i="2"/>
  <c r="S3227" i="2"/>
  <c r="R3227" i="2"/>
  <c r="Q3227" i="2"/>
  <c r="P3227" i="2"/>
  <c r="S3226" i="2"/>
  <c r="R3226" i="2"/>
  <c r="Q3226" i="2"/>
  <c r="P3226" i="2"/>
  <c r="S3225" i="2"/>
  <c r="R3225" i="2"/>
  <c r="Q3225" i="2"/>
  <c r="P3225" i="2"/>
  <c r="S3224" i="2"/>
  <c r="R3224" i="2"/>
  <c r="Q3224" i="2"/>
  <c r="P3224" i="2"/>
  <c r="S3223" i="2"/>
  <c r="R3223" i="2"/>
  <c r="Q3223" i="2"/>
  <c r="P3223" i="2"/>
  <c r="S3222" i="2"/>
  <c r="R3222" i="2"/>
  <c r="Q3222" i="2"/>
  <c r="P3222" i="2"/>
  <c r="S3221" i="2"/>
  <c r="R3221" i="2"/>
  <c r="Q3221" i="2"/>
  <c r="P3221" i="2"/>
  <c r="S3220" i="2"/>
  <c r="R3220" i="2"/>
  <c r="Q3220" i="2"/>
  <c r="P3220" i="2"/>
  <c r="S3219" i="2"/>
  <c r="R3219" i="2"/>
  <c r="Q3219" i="2"/>
  <c r="P3219" i="2"/>
  <c r="S3218" i="2"/>
  <c r="R3218" i="2"/>
  <c r="Q3218" i="2"/>
  <c r="P3218" i="2"/>
  <c r="S3217" i="2"/>
  <c r="R3217" i="2"/>
  <c r="Q3217" i="2"/>
  <c r="P3217" i="2"/>
  <c r="S3216" i="2"/>
  <c r="R3216" i="2"/>
  <c r="Q3216" i="2"/>
  <c r="P3216" i="2"/>
  <c r="S3215" i="2"/>
  <c r="R3215" i="2"/>
  <c r="Q3215" i="2"/>
  <c r="P3215" i="2"/>
  <c r="S3214" i="2"/>
  <c r="R3214" i="2"/>
  <c r="Q3214" i="2"/>
  <c r="P3214" i="2"/>
  <c r="S3213" i="2"/>
  <c r="R3213" i="2"/>
  <c r="Q3213" i="2"/>
  <c r="P3213" i="2"/>
  <c r="S3212" i="2"/>
  <c r="R3212" i="2"/>
  <c r="Q3212" i="2"/>
  <c r="P3212" i="2"/>
  <c r="S3211" i="2"/>
  <c r="R3211" i="2"/>
  <c r="Q3211" i="2"/>
  <c r="P3211" i="2"/>
  <c r="S3210" i="2"/>
  <c r="R3210" i="2"/>
  <c r="Q3210" i="2"/>
  <c r="P3210" i="2"/>
  <c r="S3209" i="2"/>
  <c r="R3209" i="2"/>
  <c r="Q3209" i="2"/>
  <c r="P3209" i="2"/>
  <c r="S3208" i="2"/>
  <c r="R3208" i="2"/>
  <c r="Q3208" i="2"/>
  <c r="P3208" i="2"/>
  <c r="S3207" i="2"/>
  <c r="R3207" i="2"/>
  <c r="Q3207" i="2"/>
  <c r="P3207" i="2"/>
  <c r="S3206" i="2"/>
  <c r="R3206" i="2"/>
  <c r="Q3206" i="2"/>
  <c r="P3206" i="2"/>
  <c r="S3205" i="2"/>
  <c r="R3205" i="2"/>
  <c r="Q3205" i="2"/>
  <c r="P3205" i="2"/>
  <c r="S3204" i="2"/>
  <c r="R3204" i="2"/>
  <c r="Q3204" i="2"/>
  <c r="P3204" i="2"/>
  <c r="S3203" i="2"/>
  <c r="R3203" i="2"/>
  <c r="Q3203" i="2"/>
  <c r="P3203" i="2"/>
  <c r="S3202" i="2"/>
  <c r="R3202" i="2"/>
  <c r="Q3202" i="2"/>
  <c r="P3202" i="2"/>
  <c r="S3201" i="2"/>
  <c r="R3201" i="2"/>
  <c r="Q3201" i="2"/>
  <c r="P3201" i="2"/>
  <c r="S3200" i="2"/>
  <c r="R3200" i="2"/>
  <c r="Q3200" i="2"/>
  <c r="P3200" i="2"/>
  <c r="S3199" i="2"/>
  <c r="R3199" i="2"/>
  <c r="Q3199" i="2"/>
  <c r="P3199" i="2"/>
  <c r="S3198" i="2"/>
  <c r="R3198" i="2"/>
  <c r="Q3198" i="2"/>
  <c r="P3198" i="2"/>
  <c r="S3197" i="2"/>
  <c r="R3197" i="2"/>
  <c r="Q3197" i="2"/>
  <c r="P3197" i="2"/>
  <c r="S3196" i="2"/>
  <c r="R3196" i="2"/>
  <c r="Q3196" i="2"/>
  <c r="P3196" i="2"/>
  <c r="S3195" i="2"/>
  <c r="R3195" i="2"/>
  <c r="Q3195" i="2"/>
  <c r="P3195" i="2"/>
  <c r="S3194" i="2"/>
  <c r="R3194" i="2"/>
  <c r="Q3194" i="2"/>
  <c r="P3194" i="2"/>
  <c r="S3193" i="2"/>
  <c r="R3193" i="2"/>
  <c r="Q3193" i="2"/>
  <c r="P3193" i="2"/>
  <c r="S3192" i="2"/>
  <c r="R3192" i="2"/>
  <c r="Q3192" i="2"/>
  <c r="P3192" i="2"/>
  <c r="S3191" i="2"/>
  <c r="R3191" i="2"/>
  <c r="Q3191" i="2"/>
  <c r="P3191" i="2"/>
  <c r="S3190" i="2"/>
  <c r="R3190" i="2"/>
  <c r="Q3190" i="2"/>
  <c r="P3190" i="2"/>
  <c r="S3189" i="2"/>
  <c r="R3189" i="2"/>
  <c r="Q3189" i="2"/>
  <c r="P3189" i="2"/>
  <c r="S3188" i="2"/>
  <c r="R3188" i="2"/>
  <c r="Q3188" i="2"/>
  <c r="P3188" i="2"/>
  <c r="S3187" i="2"/>
  <c r="R3187" i="2"/>
  <c r="Q3187" i="2"/>
  <c r="P3187" i="2"/>
  <c r="S3186" i="2"/>
  <c r="R3186" i="2"/>
  <c r="Q3186" i="2"/>
  <c r="P3186" i="2"/>
  <c r="S3185" i="2"/>
  <c r="R3185" i="2"/>
  <c r="Q3185" i="2"/>
  <c r="P3185" i="2"/>
  <c r="S3184" i="2"/>
  <c r="R3184" i="2"/>
  <c r="Q3184" i="2"/>
  <c r="P3184" i="2"/>
  <c r="S3183" i="2"/>
  <c r="R3183" i="2"/>
  <c r="Q3183" i="2"/>
  <c r="P3183" i="2"/>
  <c r="S3182" i="2"/>
  <c r="R3182" i="2"/>
  <c r="Q3182" i="2"/>
  <c r="P3182" i="2"/>
  <c r="S3181" i="2"/>
  <c r="R3181" i="2"/>
  <c r="Q3181" i="2"/>
  <c r="P3181" i="2"/>
  <c r="S3180" i="2"/>
  <c r="R3180" i="2"/>
  <c r="Q3180" i="2"/>
  <c r="P3180" i="2"/>
  <c r="S3179" i="2"/>
  <c r="R3179" i="2"/>
  <c r="Q3179" i="2"/>
  <c r="P3179" i="2"/>
  <c r="S3178" i="2"/>
  <c r="R3178" i="2"/>
  <c r="Q3178" i="2"/>
  <c r="P3178" i="2"/>
  <c r="S3177" i="2"/>
  <c r="R3177" i="2"/>
  <c r="Q3177" i="2"/>
  <c r="P3177" i="2"/>
  <c r="S3176" i="2"/>
  <c r="R3176" i="2"/>
  <c r="Q3176" i="2"/>
  <c r="P3176" i="2"/>
  <c r="S3175" i="2"/>
  <c r="R3175" i="2"/>
  <c r="Q3175" i="2"/>
  <c r="P3175" i="2"/>
  <c r="S3174" i="2"/>
  <c r="R3174" i="2"/>
  <c r="Q3174" i="2"/>
  <c r="P3174" i="2"/>
  <c r="S3173" i="2"/>
  <c r="R3173" i="2"/>
  <c r="Q3173" i="2"/>
  <c r="P3173" i="2"/>
  <c r="S3172" i="2"/>
  <c r="R3172" i="2"/>
  <c r="Q3172" i="2"/>
  <c r="P3172" i="2"/>
  <c r="S3171" i="2"/>
  <c r="R3171" i="2"/>
  <c r="Q3171" i="2"/>
  <c r="P3171" i="2"/>
  <c r="S3170" i="2"/>
  <c r="R3170" i="2"/>
  <c r="Q3170" i="2"/>
  <c r="P3170" i="2"/>
  <c r="S3169" i="2"/>
  <c r="R3169" i="2"/>
  <c r="Q3169" i="2"/>
  <c r="P3169" i="2"/>
  <c r="S3168" i="2"/>
  <c r="R3168" i="2"/>
  <c r="Q3168" i="2"/>
  <c r="P3168" i="2"/>
  <c r="S3167" i="2"/>
  <c r="R3167" i="2"/>
  <c r="Q3167" i="2"/>
  <c r="P3167" i="2"/>
  <c r="S3166" i="2"/>
  <c r="R3166" i="2"/>
  <c r="Q3166" i="2"/>
  <c r="P3166" i="2"/>
  <c r="S3165" i="2"/>
  <c r="R3165" i="2"/>
  <c r="Q3165" i="2"/>
  <c r="P3165" i="2"/>
  <c r="S3164" i="2"/>
  <c r="R3164" i="2"/>
  <c r="Q3164" i="2"/>
  <c r="P3164" i="2"/>
  <c r="S3163" i="2"/>
  <c r="R3163" i="2"/>
  <c r="Q3163" i="2"/>
  <c r="P3163" i="2"/>
  <c r="S3162" i="2"/>
  <c r="R3162" i="2"/>
  <c r="Q3162" i="2"/>
  <c r="P3162" i="2"/>
  <c r="S3161" i="2"/>
  <c r="R3161" i="2"/>
  <c r="Q3161" i="2"/>
  <c r="P3161" i="2"/>
  <c r="S3160" i="2"/>
  <c r="R3160" i="2"/>
  <c r="Q3160" i="2"/>
  <c r="P3160" i="2"/>
  <c r="S3159" i="2"/>
  <c r="R3159" i="2"/>
  <c r="Q3159" i="2"/>
  <c r="P3159" i="2"/>
  <c r="S3158" i="2"/>
  <c r="R3158" i="2"/>
  <c r="Q3158" i="2"/>
  <c r="P3158" i="2"/>
  <c r="S3157" i="2"/>
  <c r="R3157" i="2"/>
  <c r="Q3157" i="2"/>
  <c r="P3157" i="2"/>
  <c r="S3156" i="2"/>
  <c r="R3156" i="2"/>
  <c r="Q3156" i="2"/>
  <c r="P3156" i="2"/>
  <c r="S3155" i="2"/>
  <c r="R3155" i="2"/>
  <c r="Q3155" i="2"/>
  <c r="P3155" i="2"/>
  <c r="S3154" i="2"/>
  <c r="R3154" i="2"/>
  <c r="Q3154" i="2"/>
  <c r="P3154" i="2"/>
  <c r="S3153" i="2"/>
  <c r="R3153" i="2"/>
  <c r="Q3153" i="2"/>
  <c r="P3153" i="2"/>
  <c r="S3152" i="2"/>
  <c r="R3152" i="2"/>
  <c r="Q3152" i="2"/>
  <c r="P3152" i="2"/>
  <c r="S3151" i="2"/>
  <c r="R3151" i="2"/>
  <c r="Q3151" i="2"/>
  <c r="P3151" i="2"/>
  <c r="S3150" i="2"/>
  <c r="R3150" i="2"/>
  <c r="Q3150" i="2"/>
  <c r="P3150" i="2"/>
  <c r="S3149" i="2"/>
  <c r="R3149" i="2"/>
  <c r="Q3149" i="2"/>
  <c r="P3149" i="2"/>
  <c r="S3148" i="2"/>
  <c r="R3148" i="2"/>
  <c r="Q3148" i="2"/>
  <c r="P3148" i="2"/>
  <c r="S3147" i="2"/>
  <c r="R3147" i="2"/>
  <c r="Q3147" i="2"/>
  <c r="P3147" i="2"/>
  <c r="S3146" i="2"/>
  <c r="R3146" i="2"/>
  <c r="Q3146" i="2"/>
  <c r="P3146" i="2"/>
  <c r="S3145" i="2"/>
  <c r="R3145" i="2"/>
  <c r="Q3145" i="2"/>
  <c r="P3145" i="2"/>
  <c r="S3144" i="2"/>
  <c r="R3144" i="2"/>
  <c r="Q3144" i="2"/>
  <c r="P3144" i="2"/>
  <c r="S3143" i="2"/>
  <c r="R3143" i="2"/>
  <c r="Q3143" i="2"/>
  <c r="P3143" i="2"/>
  <c r="S3142" i="2"/>
  <c r="R3142" i="2"/>
  <c r="Q3142" i="2"/>
  <c r="P3142" i="2"/>
  <c r="S3141" i="2"/>
  <c r="R3141" i="2"/>
  <c r="Q3141" i="2"/>
  <c r="P3141" i="2"/>
  <c r="S3140" i="2"/>
  <c r="R3140" i="2"/>
  <c r="Q3140" i="2"/>
  <c r="P3140" i="2"/>
  <c r="S3139" i="2"/>
  <c r="R3139" i="2"/>
  <c r="Q3139" i="2"/>
  <c r="P3139" i="2"/>
  <c r="S3138" i="2"/>
  <c r="R3138" i="2"/>
  <c r="Q3138" i="2"/>
  <c r="P3138" i="2"/>
  <c r="S3137" i="2"/>
  <c r="R3137" i="2"/>
  <c r="Q3137" i="2"/>
  <c r="P3137" i="2"/>
  <c r="S3136" i="2"/>
  <c r="R3136" i="2"/>
  <c r="Q3136" i="2"/>
  <c r="P3136" i="2"/>
  <c r="S3135" i="2"/>
  <c r="R3135" i="2"/>
  <c r="Q3135" i="2"/>
  <c r="P3135" i="2"/>
  <c r="S3134" i="2"/>
  <c r="R3134" i="2"/>
  <c r="Q3134" i="2"/>
  <c r="P3134" i="2"/>
  <c r="S3133" i="2"/>
  <c r="R3133" i="2"/>
  <c r="Q3133" i="2"/>
  <c r="P3133" i="2"/>
  <c r="S3132" i="2"/>
  <c r="R3132" i="2"/>
  <c r="Q3132" i="2"/>
  <c r="P3132" i="2"/>
  <c r="S3131" i="2"/>
  <c r="R3131" i="2"/>
  <c r="Q3131" i="2"/>
  <c r="P3131" i="2"/>
  <c r="S3130" i="2"/>
  <c r="R3130" i="2"/>
  <c r="Q3130" i="2"/>
  <c r="P3130" i="2"/>
  <c r="S3129" i="2"/>
  <c r="R3129" i="2"/>
  <c r="Q3129" i="2"/>
  <c r="P3129" i="2"/>
  <c r="S3128" i="2"/>
  <c r="R3128" i="2"/>
  <c r="Q3128" i="2"/>
  <c r="P3128" i="2"/>
  <c r="S3127" i="2"/>
  <c r="R3127" i="2"/>
  <c r="Q3127" i="2"/>
  <c r="P3127" i="2"/>
  <c r="S3126" i="2"/>
  <c r="R3126" i="2"/>
  <c r="Q3126" i="2"/>
  <c r="P3126" i="2"/>
  <c r="S3125" i="2"/>
  <c r="R3125" i="2"/>
  <c r="Q3125" i="2"/>
  <c r="P3125" i="2"/>
  <c r="S3124" i="2"/>
  <c r="R3124" i="2"/>
  <c r="Q3124" i="2"/>
  <c r="P3124" i="2"/>
  <c r="S3123" i="2"/>
  <c r="R3123" i="2"/>
  <c r="Q3123" i="2"/>
  <c r="P3123" i="2"/>
  <c r="S3122" i="2"/>
  <c r="R3122" i="2"/>
  <c r="Q3122" i="2"/>
  <c r="P3122" i="2"/>
  <c r="S3121" i="2"/>
  <c r="R3121" i="2"/>
  <c r="Q3121" i="2"/>
  <c r="P3121" i="2"/>
  <c r="S3120" i="2"/>
  <c r="R3120" i="2"/>
  <c r="Q3120" i="2"/>
  <c r="P3120" i="2"/>
  <c r="S3119" i="2"/>
  <c r="R3119" i="2"/>
  <c r="Q3119" i="2"/>
  <c r="P3119" i="2"/>
  <c r="S3118" i="2"/>
  <c r="R3118" i="2"/>
  <c r="Q3118" i="2"/>
  <c r="P3118" i="2"/>
  <c r="S3117" i="2"/>
  <c r="R3117" i="2"/>
  <c r="Q3117" i="2"/>
  <c r="P3117" i="2"/>
  <c r="S3116" i="2"/>
  <c r="R3116" i="2"/>
  <c r="Q3116" i="2"/>
  <c r="P3116" i="2"/>
  <c r="S3115" i="2"/>
  <c r="R3115" i="2"/>
  <c r="Q3115" i="2"/>
  <c r="P3115" i="2"/>
  <c r="S3114" i="2"/>
  <c r="R3114" i="2"/>
  <c r="Q3114" i="2"/>
  <c r="P3114" i="2"/>
  <c r="S3113" i="2"/>
  <c r="R3113" i="2"/>
  <c r="Q3113" i="2"/>
  <c r="P3113" i="2"/>
  <c r="S3112" i="2"/>
  <c r="R3112" i="2"/>
  <c r="Q3112" i="2"/>
  <c r="P3112" i="2"/>
  <c r="S3111" i="2"/>
  <c r="R3111" i="2"/>
  <c r="Q3111" i="2"/>
  <c r="P3111" i="2"/>
  <c r="S3110" i="2"/>
  <c r="R3110" i="2"/>
  <c r="Q3110" i="2"/>
  <c r="P3110" i="2"/>
  <c r="S3109" i="2"/>
  <c r="R3109" i="2"/>
  <c r="Q3109" i="2"/>
  <c r="P3109" i="2"/>
  <c r="S3108" i="2"/>
  <c r="R3108" i="2"/>
  <c r="Q3108" i="2"/>
  <c r="P3108" i="2"/>
  <c r="S3107" i="2"/>
  <c r="R3107" i="2"/>
  <c r="Q3107" i="2"/>
  <c r="P3107" i="2"/>
  <c r="S3106" i="2"/>
  <c r="R3106" i="2"/>
  <c r="Q3106" i="2"/>
  <c r="P3106" i="2"/>
  <c r="S3105" i="2"/>
  <c r="R3105" i="2"/>
  <c r="Q3105" i="2"/>
  <c r="P3105" i="2"/>
  <c r="S3104" i="2"/>
  <c r="R3104" i="2"/>
  <c r="Q3104" i="2"/>
  <c r="P3104" i="2"/>
  <c r="S3103" i="2"/>
  <c r="R3103" i="2"/>
  <c r="Q3103" i="2"/>
  <c r="P3103" i="2"/>
  <c r="S3102" i="2"/>
  <c r="R3102" i="2"/>
  <c r="Q3102" i="2"/>
  <c r="P3102" i="2"/>
  <c r="S3101" i="2"/>
  <c r="R3101" i="2"/>
  <c r="Q3101" i="2"/>
  <c r="P3101" i="2"/>
  <c r="S3100" i="2"/>
  <c r="R3100" i="2"/>
  <c r="Q3100" i="2"/>
  <c r="P3100" i="2"/>
  <c r="S3099" i="2"/>
  <c r="R3099" i="2"/>
  <c r="Q3099" i="2"/>
  <c r="P3099" i="2"/>
  <c r="S3098" i="2"/>
  <c r="R3098" i="2"/>
  <c r="Q3098" i="2"/>
  <c r="P3098" i="2"/>
  <c r="S3097" i="2"/>
  <c r="R3097" i="2"/>
  <c r="Q3097" i="2"/>
  <c r="P3097" i="2"/>
  <c r="S3096" i="2"/>
  <c r="R3096" i="2"/>
  <c r="Q3096" i="2"/>
  <c r="P3096" i="2"/>
  <c r="S3095" i="2"/>
  <c r="R3095" i="2"/>
  <c r="Q3095" i="2"/>
  <c r="P3095" i="2"/>
  <c r="S3094" i="2"/>
  <c r="R3094" i="2"/>
  <c r="Q3094" i="2"/>
  <c r="P3094" i="2"/>
  <c r="S3093" i="2"/>
  <c r="R3093" i="2"/>
  <c r="Q3093" i="2"/>
  <c r="P3093" i="2"/>
  <c r="S3092" i="2"/>
  <c r="R3092" i="2"/>
  <c r="Q3092" i="2"/>
  <c r="P3092" i="2"/>
  <c r="S3091" i="2"/>
  <c r="R3091" i="2"/>
  <c r="Q3091" i="2"/>
  <c r="P3091" i="2"/>
  <c r="S3090" i="2"/>
  <c r="R3090" i="2"/>
  <c r="Q3090" i="2"/>
  <c r="P3090" i="2"/>
  <c r="S3089" i="2"/>
  <c r="R3089" i="2"/>
  <c r="Q3089" i="2"/>
  <c r="P3089" i="2"/>
  <c r="S3088" i="2"/>
  <c r="R3088" i="2"/>
  <c r="Q3088" i="2"/>
  <c r="P3088" i="2"/>
  <c r="S3087" i="2"/>
  <c r="R3087" i="2"/>
  <c r="Q3087" i="2"/>
  <c r="P3087" i="2"/>
  <c r="S3086" i="2"/>
  <c r="R3086" i="2"/>
  <c r="Q3086" i="2"/>
  <c r="P3086" i="2"/>
  <c r="S3085" i="2"/>
  <c r="R3085" i="2"/>
  <c r="Q3085" i="2"/>
  <c r="P3085" i="2"/>
  <c r="S3084" i="2"/>
  <c r="R3084" i="2"/>
  <c r="Q3084" i="2"/>
  <c r="P3084" i="2"/>
  <c r="S3083" i="2"/>
  <c r="R3083" i="2"/>
  <c r="Q3083" i="2"/>
  <c r="P3083" i="2"/>
  <c r="S3082" i="2"/>
  <c r="R3082" i="2"/>
  <c r="Q3082" i="2"/>
  <c r="P3082" i="2"/>
  <c r="S3081" i="2"/>
  <c r="R3081" i="2"/>
  <c r="Q3081" i="2"/>
  <c r="P3081" i="2"/>
  <c r="S3080" i="2"/>
  <c r="R3080" i="2"/>
  <c r="Q3080" i="2"/>
  <c r="P3080" i="2"/>
  <c r="S3079" i="2"/>
  <c r="R3079" i="2"/>
  <c r="Q3079" i="2"/>
  <c r="P3079" i="2"/>
  <c r="S3078" i="2"/>
  <c r="R3078" i="2"/>
  <c r="Q3078" i="2"/>
  <c r="P3078" i="2"/>
  <c r="S3077" i="2"/>
  <c r="R3077" i="2"/>
  <c r="Q3077" i="2"/>
  <c r="P3077" i="2"/>
  <c r="S3076" i="2"/>
  <c r="R3076" i="2"/>
  <c r="Q3076" i="2"/>
  <c r="P3076" i="2"/>
  <c r="S3075" i="2"/>
  <c r="R3075" i="2"/>
  <c r="Q3075" i="2"/>
  <c r="P3075" i="2"/>
  <c r="S3074" i="2"/>
  <c r="R3074" i="2"/>
  <c r="Q3074" i="2"/>
  <c r="P3074" i="2"/>
  <c r="S3073" i="2"/>
  <c r="R3073" i="2"/>
  <c r="Q3073" i="2"/>
  <c r="P3073" i="2"/>
  <c r="S3072" i="2"/>
  <c r="R3072" i="2"/>
  <c r="Q3072" i="2"/>
  <c r="P3072" i="2"/>
  <c r="S3071" i="2"/>
  <c r="R3071" i="2"/>
  <c r="Q3071" i="2"/>
  <c r="P3071" i="2"/>
  <c r="S3070" i="2"/>
  <c r="R3070" i="2"/>
  <c r="Q3070" i="2"/>
  <c r="P3070" i="2"/>
  <c r="S3069" i="2"/>
  <c r="R3069" i="2"/>
  <c r="Q3069" i="2"/>
  <c r="P3069" i="2"/>
  <c r="S3068" i="2"/>
  <c r="R3068" i="2"/>
  <c r="Q3068" i="2"/>
  <c r="P3068" i="2"/>
  <c r="S3067" i="2"/>
  <c r="R3067" i="2"/>
  <c r="Q3067" i="2"/>
  <c r="P3067" i="2"/>
  <c r="S3066" i="2"/>
  <c r="R3066" i="2"/>
  <c r="Q3066" i="2"/>
  <c r="P3066" i="2"/>
  <c r="S3065" i="2"/>
  <c r="R3065" i="2"/>
  <c r="Q3065" i="2"/>
  <c r="P3065" i="2"/>
  <c r="S3064" i="2"/>
  <c r="R3064" i="2"/>
  <c r="Q3064" i="2"/>
  <c r="P3064" i="2"/>
  <c r="S3063" i="2"/>
  <c r="R3063" i="2"/>
  <c r="Q3063" i="2"/>
  <c r="P3063" i="2"/>
  <c r="S3062" i="2"/>
  <c r="R3062" i="2"/>
  <c r="Q3062" i="2"/>
  <c r="P3062" i="2"/>
  <c r="S3061" i="2"/>
  <c r="R3061" i="2"/>
  <c r="Q3061" i="2"/>
  <c r="P3061" i="2"/>
  <c r="S3060" i="2"/>
  <c r="R3060" i="2"/>
  <c r="Q3060" i="2"/>
  <c r="P3060" i="2"/>
  <c r="S3059" i="2"/>
  <c r="R3059" i="2"/>
  <c r="Q3059" i="2"/>
  <c r="P3059" i="2"/>
  <c r="S3058" i="2"/>
  <c r="R3058" i="2"/>
  <c r="Q3058" i="2"/>
  <c r="P3058" i="2"/>
  <c r="S3057" i="2"/>
  <c r="R3057" i="2"/>
  <c r="Q3057" i="2"/>
  <c r="P3057" i="2"/>
  <c r="S3056" i="2"/>
  <c r="R3056" i="2"/>
  <c r="Q3056" i="2"/>
  <c r="P3056" i="2"/>
  <c r="S3055" i="2"/>
  <c r="R3055" i="2"/>
  <c r="Q3055" i="2"/>
  <c r="P3055" i="2"/>
  <c r="S3054" i="2"/>
  <c r="R3054" i="2"/>
  <c r="Q3054" i="2"/>
  <c r="P3054" i="2"/>
  <c r="S3053" i="2"/>
  <c r="R3053" i="2"/>
  <c r="Q3053" i="2"/>
  <c r="P3053" i="2"/>
  <c r="S3052" i="2"/>
  <c r="R3052" i="2"/>
  <c r="Q3052" i="2"/>
  <c r="P3052" i="2"/>
  <c r="S3051" i="2"/>
  <c r="R3051" i="2"/>
  <c r="Q3051" i="2"/>
  <c r="P3051" i="2"/>
  <c r="S3050" i="2"/>
  <c r="R3050" i="2"/>
  <c r="Q3050" i="2"/>
  <c r="P3050" i="2"/>
  <c r="S3049" i="2"/>
  <c r="R3049" i="2"/>
  <c r="Q3049" i="2"/>
  <c r="P3049" i="2"/>
  <c r="S3048" i="2"/>
  <c r="R3048" i="2"/>
  <c r="Q3048" i="2"/>
  <c r="P3048" i="2"/>
  <c r="S3047" i="2"/>
  <c r="R3047" i="2"/>
  <c r="Q3047" i="2"/>
  <c r="P3047" i="2"/>
  <c r="S3046" i="2"/>
  <c r="R3046" i="2"/>
  <c r="Q3046" i="2"/>
  <c r="P3046" i="2"/>
  <c r="S3045" i="2"/>
  <c r="R3045" i="2"/>
  <c r="Q3045" i="2"/>
  <c r="P3045" i="2"/>
  <c r="S3044" i="2"/>
  <c r="R3044" i="2"/>
  <c r="Q3044" i="2"/>
  <c r="P3044" i="2"/>
  <c r="S3043" i="2"/>
  <c r="R3043" i="2"/>
  <c r="Q3043" i="2"/>
  <c r="P3043" i="2"/>
  <c r="S3042" i="2"/>
  <c r="R3042" i="2"/>
  <c r="Q3042" i="2"/>
  <c r="P3042" i="2"/>
  <c r="S3041" i="2"/>
  <c r="R3041" i="2"/>
  <c r="Q3041" i="2"/>
  <c r="P3041" i="2"/>
  <c r="S3040" i="2"/>
  <c r="R3040" i="2"/>
  <c r="Q3040" i="2"/>
  <c r="P3040" i="2"/>
  <c r="S3039" i="2"/>
  <c r="R3039" i="2"/>
  <c r="Q3039" i="2"/>
  <c r="P3039" i="2"/>
  <c r="S3038" i="2"/>
  <c r="R3038" i="2"/>
  <c r="Q3038" i="2"/>
  <c r="P3038" i="2"/>
  <c r="S3037" i="2"/>
  <c r="R3037" i="2"/>
  <c r="Q3037" i="2"/>
  <c r="P3037" i="2"/>
  <c r="S3036" i="2"/>
  <c r="R3036" i="2"/>
  <c r="Q3036" i="2"/>
  <c r="P3036" i="2"/>
  <c r="S3035" i="2"/>
  <c r="R3035" i="2"/>
  <c r="Q3035" i="2"/>
  <c r="P3035" i="2"/>
  <c r="S3034" i="2"/>
  <c r="R3034" i="2"/>
  <c r="Q3034" i="2"/>
  <c r="P3034" i="2"/>
  <c r="S3033" i="2"/>
  <c r="R3033" i="2"/>
  <c r="Q3033" i="2"/>
  <c r="P3033" i="2"/>
  <c r="S3032" i="2"/>
  <c r="R3032" i="2"/>
  <c r="Q3032" i="2"/>
  <c r="P3032" i="2"/>
  <c r="S3031" i="2"/>
  <c r="R3031" i="2"/>
  <c r="Q3031" i="2"/>
  <c r="P3031" i="2"/>
  <c r="S3030" i="2"/>
  <c r="R3030" i="2"/>
  <c r="Q3030" i="2"/>
  <c r="P3030" i="2"/>
  <c r="S3029" i="2"/>
  <c r="R3029" i="2"/>
  <c r="Q3029" i="2"/>
  <c r="P3029" i="2"/>
  <c r="S3028" i="2"/>
  <c r="R3028" i="2"/>
  <c r="Q3028" i="2"/>
  <c r="P3028" i="2"/>
  <c r="S3027" i="2"/>
  <c r="R3027" i="2"/>
  <c r="Q3027" i="2"/>
  <c r="P3027" i="2"/>
  <c r="S3026" i="2"/>
  <c r="R3026" i="2"/>
  <c r="Q3026" i="2"/>
  <c r="P3026" i="2"/>
  <c r="S3025" i="2"/>
  <c r="R3025" i="2"/>
  <c r="Q3025" i="2"/>
  <c r="P3025" i="2"/>
  <c r="S3024" i="2"/>
  <c r="R3024" i="2"/>
  <c r="Q3024" i="2"/>
  <c r="P3024" i="2"/>
  <c r="S3023" i="2"/>
  <c r="R3023" i="2"/>
  <c r="Q3023" i="2"/>
  <c r="P3023" i="2"/>
  <c r="S3022" i="2"/>
  <c r="R3022" i="2"/>
  <c r="Q3022" i="2"/>
  <c r="P3022" i="2"/>
  <c r="S3021" i="2"/>
  <c r="R3021" i="2"/>
  <c r="Q3021" i="2"/>
  <c r="P3021" i="2"/>
  <c r="S3020" i="2"/>
  <c r="R3020" i="2"/>
  <c r="Q3020" i="2"/>
  <c r="P3020" i="2"/>
  <c r="S3019" i="2"/>
  <c r="R3019" i="2"/>
  <c r="Q3019" i="2"/>
  <c r="P3019" i="2"/>
  <c r="S3018" i="2"/>
  <c r="R3018" i="2"/>
  <c r="Q3018" i="2"/>
  <c r="P3018" i="2"/>
  <c r="S3017" i="2"/>
  <c r="R3017" i="2"/>
  <c r="Q3017" i="2"/>
  <c r="P3017" i="2"/>
  <c r="S3016" i="2"/>
  <c r="R3016" i="2"/>
  <c r="Q3016" i="2"/>
  <c r="P3016" i="2"/>
  <c r="S3015" i="2"/>
  <c r="R3015" i="2"/>
  <c r="Q3015" i="2"/>
  <c r="P3015" i="2"/>
  <c r="S3014" i="2"/>
  <c r="R3014" i="2"/>
  <c r="Q3014" i="2"/>
  <c r="P3014" i="2"/>
  <c r="S3013" i="2"/>
  <c r="R3013" i="2"/>
  <c r="Q3013" i="2"/>
  <c r="P3013" i="2"/>
  <c r="S3012" i="2"/>
  <c r="R3012" i="2"/>
  <c r="Q3012" i="2"/>
  <c r="P3012" i="2"/>
  <c r="S3011" i="2"/>
  <c r="R3011" i="2"/>
  <c r="Q3011" i="2"/>
  <c r="P3011" i="2"/>
  <c r="S3010" i="2"/>
  <c r="R3010" i="2"/>
  <c r="Q3010" i="2"/>
  <c r="P3010" i="2"/>
  <c r="S3009" i="2"/>
  <c r="R3009" i="2"/>
  <c r="Q3009" i="2"/>
  <c r="P3009" i="2"/>
  <c r="S3008" i="2"/>
  <c r="R3008" i="2"/>
  <c r="Q3008" i="2"/>
  <c r="P3008" i="2"/>
  <c r="S3007" i="2"/>
  <c r="R3007" i="2"/>
  <c r="Q3007" i="2"/>
  <c r="P3007" i="2"/>
  <c r="S3006" i="2"/>
  <c r="R3006" i="2"/>
  <c r="Q3006" i="2"/>
  <c r="P3006" i="2"/>
  <c r="S3005" i="2"/>
  <c r="R3005" i="2"/>
  <c r="Q3005" i="2"/>
  <c r="P3005" i="2"/>
  <c r="S3004" i="2"/>
  <c r="R3004" i="2"/>
  <c r="Q3004" i="2"/>
  <c r="P3004" i="2"/>
  <c r="S3003" i="2"/>
  <c r="R3003" i="2"/>
  <c r="Q3003" i="2"/>
  <c r="P3003" i="2"/>
  <c r="S3002" i="2"/>
  <c r="R3002" i="2"/>
  <c r="Q3002" i="2"/>
  <c r="P3002" i="2"/>
  <c r="S3001" i="2"/>
  <c r="R3001" i="2"/>
  <c r="Q3001" i="2"/>
  <c r="P3001" i="2"/>
  <c r="S3000" i="2"/>
  <c r="R3000" i="2"/>
  <c r="Q3000" i="2"/>
  <c r="P3000" i="2"/>
  <c r="S2999" i="2"/>
  <c r="R2999" i="2"/>
  <c r="Q2999" i="2"/>
  <c r="P2999" i="2"/>
  <c r="S2998" i="2"/>
  <c r="R2998" i="2"/>
  <c r="Q2998" i="2"/>
  <c r="P2998" i="2"/>
  <c r="S2997" i="2"/>
  <c r="R2997" i="2"/>
  <c r="Q2997" i="2"/>
  <c r="P2997" i="2"/>
  <c r="S2996" i="2"/>
  <c r="R2996" i="2"/>
  <c r="Q2996" i="2"/>
  <c r="P2996" i="2"/>
  <c r="S2995" i="2"/>
  <c r="R2995" i="2"/>
  <c r="Q2995" i="2"/>
  <c r="P2995" i="2"/>
  <c r="S2994" i="2"/>
  <c r="R2994" i="2"/>
  <c r="Q2994" i="2"/>
  <c r="P2994" i="2"/>
  <c r="S2993" i="2"/>
  <c r="R2993" i="2"/>
  <c r="Q2993" i="2"/>
  <c r="P2993" i="2"/>
  <c r="S2992" i="2"/>
  <c r="R2992" i="2"/>
  <c r="Q2992" i="2"/>
  <c r="P2992" i="2"/>
  <c r="S2991" i="2"/>
  <c r="R2991" i="2"/>
  <c r="Q2991" i="2"/>
  <c r="P2991" i="2"/>
  <c r="S2990" i="2"/>
  <c r="R2990" i="2"/>
  <c r="Q2990" i="2"/>
  <c r="P2990" i="2"/>
  <c r="S2989" i="2"/>
  <c r="R2989" i="2"/>
  <c r="Q2989" i="2"/>
  <c r="P2989" i="2"/>
  <c r="S2988" i="2"/>
  <c r="R2988" i="2"/>
  <c r="Q2988" i="2"/>
  <c r="P2988" i="2"/>
  <c r="S2987" i="2"/>
  <c r="R2987" i="2"/>
  <c r="Q2987" i="2"/>
  <c r="P2987" i="2"/>
  <c r="S2986" i="2"/>
  <c r="R2986" i="2"/>
  <c r="Q2986" i="2"/>
  <c r="P2986" i="2"/>
  <c r="S2985" i="2"/>
  <c r="R2985" i="2"/>
  <c r="Q2985" i="2"/>
  <c r="P2985" i="2"/>
  <c r="S2984" i="2"/>
  <c r="R2984" i="2"/>
  <c r="Q2984" i="2"/>
  <c r="P2984" i="2"/>
  <c r="S2983" i="2"/>
  <c r="R2983" i="2"/>
  <c r="Q2983" i="2"/>
  <c r="P2983" i="2"/>
  <c r="S2982" i="2"/>
  <c r="R2982" i="2"/>
  <c r="Q2982" i="2"/>
  <c r="P2982" i="2"/>
  <c r="S2981" i="2"/>
  <c r="R2981" i="2"/>
  <c r="Q2981" i="2"/>
  <c r="P2981" i="2"/>
  <c r="S2980" i="2"/>
  <c r="R2980" i="2"/>
  <c r="Q2980" i="2"/>
  <c r="P2980" i="2"/>
  <c r="S2979" i="2"/>
  <c r="R2979" i="2"/>
  <c r="Q2979" i="2"/>
  <c r="P2979" i="2"/>
  <c r="S2978" i="2"/>
  <c r="R2978" i="2"/>
  <c r="Q2978" i="2"/>
  <c r="P2978" i="2"/>
  <c r="S2977" i="2"/>
  <c r="R2977" i="2"/>
  <c r="Q2977" i="2"/>
  <c r="P2977" i="2"/>
  <c r="S2976" i="2"/>
  <c r="R2976" i="2"/>
  <c r="Q2976" i="2"/>
  <c r="P2976" i="2"/>
  <c r="S2975" i="2"/>
  <c r="R2975" i="2"/>
  <c r="Q2975" i="2"/>
  <c r="P2975" i="2"/>
  <c r="S2974" i="2"/>
  <c r="R2974" i="2"/>
  <c r="Q2974" i="2"/>
  <c r="P2974" i="2"/>
  <c r="S2973" i="2"/>
  <c r="R2973" i="2"/>
  <c r="Q2973" i="2"/>
  <c r="P2973" i="2"/>
  <c r="S2972" i="2"/>
  <c r="R2972" i="2"/>
  <c r="Q2972" i="2"/>
  <c r="P2972" i="2"/>
  <c r="S2971" i="2"/>
  <c r="R2971" i="2"/>
  <c r="Q2971" i="2"/>
  <c r="P2971" i="2"/>
  <c r="S2970" i="2"/>
  <c r="R2970" i="2"/>
  <c r="Q2970" i="2"/>
  <c r="P2970" i="2"/>
  <c r="S2969" i="2"/>
  <c r="R2969" i="2"/>
  <c r="Q2969" i="2"/>
  <c r="P2969" i="2"/>
  <c r="S2968" i="2"/>
  <c r="R2968" i="2"/>
  <c r="Q2968" i="2"/>
  <c r="P2968" i="2"/>
  <c r="S2967" i="2"/>
  <c r="R2967" i="2"/>
  <c r="Q2967" i="2"/>
  <c r="P2967" i="2"/>
  <c r="S2966" i="2"/>
  <c r="R2966" i="2"/>
  <c r="Q2966" i="2"/>
  <c r="P2966" i="2"/>
  <c r="S2965" i="2"/>
  <c r="R2965" i="2"/>
  <c r="Q2965" i="2"/>
  <c r="P2965" i="2"/>
  <c r="S2964" i="2"/>
  <c r="R2964" i="2"/>
  <c r="Q2964" i="2"/>
  <c r="P2964" i="2"/>
  <c r="S2963" i="2"/>
  <c r="R2963" i="2"/>
  <c r="Q2963" i="2"/>
  <c r="P2963" i="2"/>
  <c r="S2962" i="2"/>
  <c r="R2962" i="2"/>
  <c r="Q2962" i="2"/>
  <c r="P2962" i="2"/>
  <c r="S2961" i="2"/>
  <c r="R2961" i="2"/>
  <c r="Q2961" i="2"/>
  <c r="P2961" i="2"/>
  <c r="S2960" i="2"/>
  <c r="R2960" i="2"/>
  <c r="Q2960" i="2"/>
  <c r="P2960" i="2"/>
  <c r="S2959" i="2"/>
  <c r="R2959" i="2"/>
  <c r="Q2959" i="2"/>
  <c r="P2959" i="2"/>
  <c r="S2958" i="2"/>
  <c r="R2958" i="2"/>
  <c r="Q2958" i="2"/>
  <c r="P2958" i="2"/>
  <c r="S2957" i="2"/>
  <c r="R2957" i="2"/>
  <c r="Q2957" i="2"/>
  <c r="P2957" i="2"/>
  <c r="S2956" i="2"/>
  <c r="R2956" i="2"/>
  <c r="Q2956" i="2"/>
  <c r="P2956" i="2"/>
  <c r="S2955" i="2"/>
  <c r="R2955" i="2"/>
  <c r="Q2955" i="2"/>
  <c r="P2955" i="2"/>
  <c r="S2954" i="2"/>
  <c r="R2954" i="2"/>
  <c r="Q2954" i="2"/>
  <c r="P2954" i="2"/>
  <c r="S2953" i="2"/>
  <c r="R2953" i="2"/>
  <c r="Q2953" i="2"/>
  <c r="P2953" i="2"/>
  <c r="S2952" i="2"/>
  <c r="R2952" i="2"/>
  <c r="Q2952" i="2"/>
  <c r="P2952" i="2"/>
  <c r="S2951" i="2"/>
  <c r="R2951" i="2"/>
  <c r="Q2951" i="2"/>
  <c r="P2951" i="2"/>
  <c r="S2950" i="2"/>
  <c r="R2950" i="2"/>
  <c r="Q2950" i="2"/>
  <c r="P2950" i="2"/>
  <c r="S2949" i="2"/>
  <c r="R2949" i="2"/>
  <c r="Q2949" i="2"/>
  <c r="P2949" i="2"/>
  <c r="S2948" i="2"/>
  <c r="R2948" i="2"/>
  <c r="Q2948" i="2"/>
  <c r="P2948" i="2"/>
  <c r="S2947" i="2"/>
  <c r="R2947" i="2"/>
  <c r="Q2947" i="2"/>
  <c r="P2947" i="2"/>
  <c r="S2946" i="2"/>
  <c r="R2946" i="2"/>
  <c r="Q2946" i="2"/>
  <c r="P2946" i="2"/>
  <c r="S2945" i="2"/>
  <c r="R2945" i="2"/>
  <c r="Q2945" i="2"/>
  <c r="P2945" i="2"/>
  <c r="S2944" i="2"/>
  <c r="R2944" i="2"/>
  <c r="Q2944" i="2"/>
  <c r="P2944" i="2"/>
  <c r="S2943" i="2"/>
  <c r="R2943" i="2"/>
  <c r="Q2943" i="2"/>
  <c r="P2943" i="2"/>
  <c r="S2942" i="2"/>
  <c r="R2942" i="2"/>
  <c r="Q2942" i="2"/>
  <c r="P2942" i="2"/>
  <c r="S2941" i="2"/>
  <c r="R2941" i="2"/>
  <c r="Q2941" i="2"/>
  <c r="P2941" i="2"/>
  <c r="S2940" i="2"/>
  <c r="R2940" i="2"/>
  <c r="Q2940" i="2"/>
  <c r="P2940" i="2"/>
  <c r="S2939" i="2"/>
  <c r="R2939" i="2"/>
  <c r="Q2939" i="2"/>
  <c r="P2939" i="2"/>
  <c r="S2938" i="2"/>
  <c r="R2938" i="2"/>
  <c r="Q2938" i="2"/>
  <c r="P2938" i="2"/>
  <c r="S2937" i="2"/>
  <c r="R2937" i="2"/>
  <c r="Q2937" i="2"/>
  <c r="P2937" i="2"/>
  <c r="S2936" i="2"/>
  <c r="R2936" i="2"/>
  <c r="Q2936" i="2"/>
  <c r="P2936" i="2"/>
  <c r="S2935" i="2"/>
  <c r="R2935" i="2"/>
  <c r="Q2935" i="2"/>
  <c r="P2935" i="2"/>
  <c r="S2934" i="2"/>
  <c r="R2934" i="2"/>
  <c r="Q2934" i="2"/>
  <c r="P2934" i="2"/>
  <c r="S2933" i="2"/>
  <c r="R2933" i="2"/>
  <c r="Q2933" i="2"/>
  <c r="P2933" i="2"/>
  <c r="S2932" i="2"/>
  <c r="R2932" i="2"/>
  <c r="Q2932" i="2"/>
  <c r="P2932" i="2"/>
  <c r="S2931" i="2"/>
  <c r="R2931" i="2"/>
  <c r="Q2931" i="2"/>
  <c r="P2931" i="2"/>
  <c r="S2930" i="2"/>
  <c r="R2930" i="2"/>
  <c r="Q2930" i="2"/>
  <c r="P2930" i="2"/>
  <c r="S2929" i="2"/>
  <c r="R2929" i="2"/>
  <c r="Q2929" i="2"/>
  <c r="P2929" i="2"/>
  <c r="S2928" i="2"/>
  <c r="R2928" i="2"/>
  <c r="Q2928" i="2"/>
  <c r="P2928" i="2"/>
  <c r="S2927" i="2"/>
  <c r="R2927" i="2"/>
  <c r="Q2927" i="2"/>
  <c r="P2927" i="2"/>
  <c r="S2926" i="2"/>
  <c r="R2926" i="2"/>
  <c r="Q2926" i="2"/>
  <c r="P2926" i="2"/>
  <c r="S2925" i="2"/>
  <c r="R2925" i="2"/>
  <c r="Q2925" i="2"/>
  <c r="P2925" i="2"/>
  <c r="S2924" i="2"/>
  <c r="R2924" i="2"/>
  <c r="Q2924" i="2"/>
  <c r="P2924" i="2"/>
  <c r="S2923" i="2"/>
  <c r="R2923" i="2"/>
  <c r="Q2923" i="2"/>
  <c r="P2923" i="2"/>
  <c r="S2922" i="2"/>
  <c r="R2922" i="2"/>
  <c r="Q2922" i="2"/>
  <c r="P2922" i="2"/>
  <c r="S2921" i="2"/>
  <c r="R2921" i="2"/>
  <c r="Q2921" i="2"/>
  <c r="P2921" i="2"/>
  <c r="S2920" i="2"/>
  <c r="R2920" i="2"/>
  <c r="Q2920" i="2"/>
  <c r="P2920" i="2"/>
  <c r="S2919" i="2"/>
  <c r="R2919" i="2"/>
  <c r="Q2919" i="2"/>
  <c r="P2919" i="2"/>
  <c r="S2918" i="2"/>
  <c r="R2918" i="2"/>
  <c r="Q2918" i="2"/>
  <c r="P2918" i="2"/>
  <c r="S2917" i="2"/>
  <c r="R2917" i="2"/>
  <c r="Q2917" i="2"/>
  <c r="P2917" i="2"/>
  <c r="S2916" i="2"/>
  <c r="R2916" i="2"/>
  <c r="Q2916" i="2"/>
  <c r="P2916" i="2"/>
  <c r="S2915" i="2"/>
  <c r="R2915" i="2"/>
  <c r="Q2915" i="2"/>
  <c r="P2915" i="2"/>
  <c r="S2914" i="2"/>
  <c r="R2914" i="2"/>
  <c r="Q2914" i="2"/>
  <c r="P2914" i="2"/>
  <c r="S2913" i="2"/>
  <c r="R2913" i="2"/>
  <c r="Q2913" i="2"/>
  <c r="P2913" i="2"/>
  <c r="S2912" i="2"/>
  <c r="R2912" i="2"/>
  <c r="Q2912" i="2"/>
  <c r="P2912" i="2"/>
  <c r="S2911" i="2"/>
  <c r="R2911" i="2"/>
  <c r="Q2911" i="2"/>
  <c r="P2911" i="2"/>
  <c r="S2910" i="2"/>
  <c r="R2910" i="2"/>
  <c r="Q2910" i="2"/>
  <c r="P2910" i="2"/>
  <c r="S2909" i="2"/>
  <c r="R2909" i="2"/>
  <c r="Q2909" i="2"/>
  <c r="P2909" i="2"/>
  <c r="S2908" i="2"/>
  <c r="R2908" i="2"/>
  <c r="Q2908" i="2"/>
  <c r="P2908" i="2"/>
  <c r="S2907" i="2"/>
  <c r="R2907" i="2"/>
  <c r="Q2907" i="2"/>
  <c r="P2907" i="2"/>
  <c r="S2906" i="2"/>
  <c r="R2906" i="2"/>
  <c r="Q2906" i="2"/>
  <c r="P2906" i="2"/>
  <c r="S2905" i="2"/>
  <c r="R2905" i="2"/>
  <c r="Q2905" i="2"/>
  <c r="P2905" i="2"/>
  <c r="S2904" i="2"/>
  <c r="R2904" i="2"/>
  <c r="Q2904" i="2"/>
  <c r="P2904" i="2"/>
  <c r="S2903" i="2"/>
  <c r="R2903" i="2"/>
  <c r="Q2903" i="2"/>
  <c r="P2903" i="2"/>
  <c r="S2902" i="2"/>
  <c r="R2902" i="2"/>
  <c r="Q2902" i="2"/>
  <c r="P2902" i="2"/>
  <c r="S2901" i="2"/>
  <c r="R2901" i="2"/>
  <c r="Q2901" i="2"/>
  <c r="P2901" i="2"/>
  <c r="S2900" i="2"/>
  <c r="R2900" i="2"/>
  <c r="Q2900" i="2"/>
  <c r="P2900" i="2"/>
  <c r="S2899" i="2"/>
  <c r="R2899" i="2"/>
  <c r="Q2899" i="2"/>
  <c r="P2899" i="2"/>
  <c r="S2898" i="2"/>
  <c r="R2898" i="2"/>
  <c r="Q2898" i="2"/>
  <c r="P2898" i="2"/>
  <c r="S2897" i="2"/>
  <c r="R2897" i="2"/>
  <c r="Q2897" i="2"/>
  <c r="P2897" i="2"/>
  <c r="S2896" i="2"/>
  <c r="R2896" i="2"/>
  <c r="Q2896" i="2"/>
  <c r="P2896" i="2"/>
  <c r="S2895" i="2"/>
  <c r="R2895" i="2"/>
  <c r="Q2895" i="2"/>
  <c r="P2895" i="2"/>
  <c r="S2894" i="2"/>
  <c r="R2894" i="2"/>
  <c r="Q2894" i="2"/>
  <c r="P2894" i="2"/>
  <c r="S2893" i="2"/>
  <c r="R2893" i="2"/>
  <c r="Q2893" i="2"/>
  <c r="P2893" i="2"/>
  <c r="S2892" i="2"/>
  <c r="R2892" i="2"/>
  <c r="Q2892" i="2"/>
  <c r="P2892" i="2"/>
  <c r="S2891" i="2"/>
  <c r="R2891" i="2"/>
  <c r="Q2891" i="2"/>
  <c r="P2891" i="2"/>
  <c r="S2890" i="2"/>
  <c r="R2890" i="2"/>
  <c r="Q2890" i="2"/>
  <c r="P2890" i="2"/>
  <c r="S2889" i="2"/>
  <c r="R2889" i="2"/>
  <c r="Q2889" i="2"/>
  <c r="P2889" i="2"/>
  <c r="S2888" i="2"/>
  <c r="R2888" i="2"/>
  <c r="Q2888" i="2"/>
  <c r="P2888" i="2"/>
  <c r="S2887" i="2"/>
  <c r="R2887" i="2"/>
  <c r="Q2887" i="2"/>
  <c r="P2887" i="2"/>
  <c r="S2886" i="2"/>
  <c r="R2886" i="2"/>
  <c r="Q2886" i="2"/>
  <c r="P2886" i="2"/>
  <c r="S2885" i="2"/>
  <c r="R2885" i="2"/>
  <c r="Q2885" i="2"/>
  <c r="P2885" i="2"/>
  <c r="S2884" i="2"/>
  <c r="R2884" i="2"/>
  <c r="Q2884" i="2"/>
  <c r="P2884" i="2"/>
  <c r="S2883" i="2"/>
  <c r="R2883" i="2"/>
  <c r="Q2883" i="2"/>
  <c r="P2883" i="2"/>
  <c r="S2882" i="2"/>
  <c r="R2882" i="2"/>
  <c r="Q2882" i="2"/>
  <c r="P2882" i="2"/>
  <c r="S2881" i="2"/>
  <c r="R2881" i="2"/>
  <c r="Q2881" i="2"/>
  <c r="P2881" i="2"/>
  <c r="S2880" i="2"/>
  <c r="R2880" i="2"/>
  <c r="Q2880" i="2"/>
  <c r="P2880" i="2"/>
  <c r="S2879" i="2"/>
  <c r="R2879" i="2"/>
  <c r="Q2879" i="2"/>
  <c r="P2879" i="2"/>
  <c r="S2878" i="2"/>
  <c r="R2878" i="2"/>
  <c r="Q2878" i="2"/>
  <c r="P2878" i="2"/>
  <c r="S2877" i="2"/>
  <c r="R2877" i="2"/>
  <c r="Q2877" i="2"/>
  <c r="P2877" i="2"/>
  <c r="S2876" i="2"/>
  <c r="R2876" i="2"/>
  <c r="Q2876" i="2"/>
  <c r="P2876" i="2"/>
  <c r="S2875" i="2"/>
  <c r="R2875" i="2"/>
  <c r="Q2875" i="2"/>
  <c r="P2875" i="2"/>
  <c r="S2874" i="2"/>
  <c r="R2874" i="2"/>
  <c r="Q2874" i="2"/>
  <c r="P2874" i="2"/>
  <c r="S2873" i="2"/>
  <c r="R2873" i="2"/>
  <c r="Q2873" i="2"/>
  <c r="P2873" i="2"/>
  <c r="S2872" i="2"/>
  <c r="R2872" i="2"/>
  <c r="Q2872" i="2"/>
  <c r="P2872" i="2"/>
  <c r="S2871" i="2"/>
  <c r="R2871" i="2"/>
  <c r="Q2871" i="2"/>
  <c r="P2871" i="2"/>
  <c r="S2870" i="2"/>
  <c r="R2870" i="2"/>
  <c r="Q2870" i="2"/>
  <c r="P2870" i="2"/>
  <c r="S2869" i="2"/>
  <c r="R2869" i="2"/>
  <c r="Q2869" i="2"/>
  <c r="P2869" i="2"/>
  <c r="S2868" i="2"/>
  <c r="R2868" i="2"/>
  <c r="Q2868" i="2"/>
  <c r="P2868" i="2"/>
  <c r="S2867" i="2"/>
  <c r="R2867" i="2"/>
  <c r="Q2867" i="2"/>
  <c r="P2867" i="2"/>
  <c r="S2866" i="2"/>
  <c r="R2866" i="2"/>
  <c r="Q2866" i="2"/>
  <c r="P2866" i="2"/>
  <c r="S2865" i="2"/>
  <c r="R2865" i="2"/>
  <c r="Q2865" i="2"/>
  <c r="P2865" i="2"/>
  <c r="S2864" i="2"/>
  <c r="R2864" i="2"/>
  <c r="Q2864" i="2"/>
  <c r="P2864" i="2"/>
  <c r="S2863" i="2"/>
  <c r="R2863" i="2"/>
  <c r="Q2863" i="2"/>
  <c r="P2863" i="2"/>
  <c r="S2862" i="2"/>
  <c r="R2862" i="2"/>
  <c r="Q2862" i="2"/>
  <c r="P2862" i="2"/>
  <c r="S2861" i="2"/>
  <c r="R2861" i="2"/>
  <c r="Q2861" i="2"/>
  <c r="P2861" i="2"/>
  <c r="S2860" i="2"/>
  <c r="R2860" i="2"/>
  <c r="Q2860" i="2"/>
  <c r="P2860" i="2"/>
  <c r="S2859" i="2"/>
  <c r="R2859" i="2"/>
  <c r="Q2859" i="2"/>
  <c r="P2859" i="2"/>
  <c r="S2858" i="2"/>
  <c r="R2858" i="2"/>
  <c r="Q2858" i="2"/>
  <c r="P2858" i="2"/>
  <c r="S2857" i="2"/>
  <c r="R2857" i="2"/>
  <c r="Q2857" i="2"/>
  <c r="P2857" i="2"/>
  <c r="S2856" i="2"/>
  <c r="R2856" i="2"/>
  <c r="Q2856" i="2"/>
  <c r="P2856" i="2"/>
  <c r="S2855" i="2"/>
  <c r="R2855" i="2"/>
  <c r="Q2855" i="2"/>
  <c r="P2855" i="2"/>
  <c r="S2854" i="2"/>
  <c r="R2854" i="2"/>
  <c r="Q2854" i="2"/>
  <c r="P2854" i="2"/>
  <c r="S2853" i="2"/>
  <c r="R2853" i="2"/>
  <c r="Q2853" i="2"/>
  <c r="P2853" i="2"/>
  <c r="S2852" i="2"/>
  <c r="R2852" i="2"/>
  <c r="Q2852" i="2"/>
  <c r="P2852" i="2"/>
  <c r="S2851" i="2"/>
  <c r="R2851" i="2"/>
  <c r="Q2851" i="2"/>
  <c r="P2851" i="2"/>
  <c r="S2850" i="2"/>
  <c r="R2850" i="2"/>
  <c r="Q2850" i="2"/>
  <c r="P2850" i="2"/>
  <c r="S2849" i="2"/>
  <c r="R2849" i="2"/>
  <c r="Q2849" i="2"/>
  <c r="P2849" i="2"/>
  <c r="S2848" i="2"/>
  <c r="R2848" i="2"/>
  <c r="Q2848" i="2"/>
  <c r="P2848" i="2"/>
  <c r="S2847" i="2"/>
  <c r="R2847" i="2"/>
  <c r="Q2847" i="2"/>
  <c r="P2847" i="2"/>
  <c r="S2846" i="2"/>
  <c r="R2846" i="2"/>
  <c r="Q2846" i="2"/>
  <c r="P2846" i="2"/>
  <c r="S2845" i="2"/>
  <c r="R2845" i="2"/>
  <c r="Q2845" i="2"/>
  <c r="P2845" i="2"/>
  <c r="S2844" i="2"/>
  <c r="R2844" i="2"/>
  <c r="Q2844" i="2"/>
  <c r="P2844" i="2"/>
  <c r="S2843" i="2"/>
  <c r="R2843" i="2"/>
  <c r="Q2843" i="2"/>
  <c r="P2843" i="2"/>
  <c r="S2842" i="2"/>
  <c r="R2842" i="2"/>
  <c r="Q2842" i="2"/>
  <c r="P2842" i="2"/>
  <c r="S2841" i="2"/>
  <c r="R2841" i="2"/>
  <c r="Q2841" i="2"/>
  <c r="P2841" i="2"/>
  <c r="S2840" i="2"/>
  <c r="R2840" i="2"/>
  <c r="Q2840" i="2"/>
  <c r="P2840" i="2"/>
  <c r="S2839" i="2"/>
  <c r="R2839" i="2"/>
  <c r="Q2839" i="2"/>
  <c r="P2839" i="2"/>
  <c r="S2838" i="2"/>
  <c r="R2838" i="2"/>
  <c r="Q2838" i="2"/>
  <c r="P2838" i="2"/>
  <c r="S2837" i="2"/>
  <c r="R2837" i="2"/>
  <c r="Q2837" i="2"/>
  <c r="P2837" i="2"/>
  <c r="S2836" i="2"/>
  <c r="R2836" i="2"/>
  <c r="Q2836" i="2"/>
  <c r="P2836" i="2"/>
  <c r="S2835" i="2"/>
  <c r="R2835" i="2"/>
  <c r="Q2835" i="2"/>
  <c r="P2835" i="2"/>
  <c r="S2834" i="2"/>
  <c r="R2834" i="2"/>
  <c r="Q2834" i="2"/>
  <c r="P2834" i="2"/>
  <c r="S2833" i="2"/>
  <c r="R2833" i="2"/>
  <c r="Q2833" i="2"/>
  <c r="P2833" i="2"/>
  <c r="S2832" i="2"/>
  <c r="R2832" i="2"/>
  <c r="Q2832" i="2"/>
  <c r="P2832" i="2"/>
  <c r="S2831" i="2"/>
  <c r="R2831" i="2"/>
  <c r="Q2831" i="2"/>
  <c r="P2831" i="2"/>
  <c r="S2830" i="2"/>
  <c r="R2830" i="2"/>
  <c r="Q2830" i="2"/>
  <c r="P2830" i="2"/>
  <c r="S2829" i="2"/>
  <c r="R2829" i="2"/>
  <c r="Q2829" i="2"/>
  <c r="P2829" i="2"/>
  <c r="S2828" i="2"/>
  <c r="R2828" i="2"/>
  <c r="Q2828" i="2"/>
  <c r="P2828" i="2"/>
  <c r="S2827" i="2"/>
  <c r="R2827" i="2"/>
  <c r="Q2827" i="2"/>
  <c r="P2827" i="2"/>
  <c r="S2826" i="2"/>
  <c r="R2826" i="2"/>
  <c r="Q2826" i="2"/>
  <c r="P2826" i="2"/>
  <c r="S2825" i="2"/>
  <c r="R2825" i="2"/>
  <c r="Q2825" i="2"/>
  <c r="P2825" i="2"/>
  <c r="S2824" i="2"/>
  <c r="R2824" i="2"/>
  <c r="Q2824" i="2"/>
  <c r="P2824" i="2"/>
  <c r="S2823" i="2"/>
  <c r="R2823" i="2"/>
  <c r="Q2823" i="2"/>
  <c r="P2823" i="2"/>
  <c r="S2822" i="2"/>
  <c r="R2822" i="2"/>
  <c r="Q2822" i="2"/>
  <c r="P2822" i="2"/>
  <c r="S2821" i="2"/>
  <c r="R2821" i="2"/>
  <c r="Q2821" i="2"/>
  <c r="P2821" i="2"/>
  <c r="S2820" i="2"/>
  <c r="R2820" i="2"/>
  <c r="Q2820" i="2"/>
  <c r="P2820" i="2"/>
  <c r="S2819" i="2"/>
  <c r="R2819" i="2"/>
  <c r="Q2819" i="2"/>
  <c r="P2819" i="2"/>
  <c r="S2818" i="2"/>
  <c r="R2818" i="2"/>
  <c r="Q2818" i="2"/>
  <c r="P2818" i="2"/>
  <c r="S2817" i="2"/>
  <c r="R2817" i="2"/>
  <c r="Q2817" i="2"/>
  <c r="P2817" i="2"/>
  <c r="S2816" i="2"/>
  <c r="R2816" i="2"/>
  <c r="Q2816" i="2"/>
  <c r="P2816" i="2"/>
  <c r="S2815" i="2"/>
  <c r="R2815" i="2"/>
  <c r="Q2815" i="2"/>
  <c r="P2815" i="2"/>
  <c r="S2814" i="2"/>
  <c r="R2814" i="2"/>
  <c r="Q2814" i="2"/>
  <c r="P2814" i="2"/>
  <c r="S2813" i="2"/>
  <c r="R2813" i="2"/>
  <c r="Q2813" i="2"/>
  <c r="P2813" i="2"/>
  <c r="S2812" i="2"/>
  <c r="R2812" i="2"/>
  <c r="Q2812" i="2"/>
  <c r="P2812" i="2"/>
  <c r="S2811" i="2"/>
  <c r="R2811" i="2"/>
  <c r="Q2811" i="2"/>
  <c r="P2811" i="2"/>
  <c r="S2810" i="2"/>
  <c r="R2810" i="2"/>
  <c r="Q2810" i="2"/>
  <c r="P2810" i="2"/>
  <c r="S2809" i="2"/>
  <c r="R2809" i="2"/>
  <c r="Q2809" i="2"/>
  <c r="P2809" i="2"/>
  <c r="S2808" i="2"/>
  <c r="R2808" i="2"/>
  <c r="Q2808" i="2"/>
  <c r="P2808" i="2"/>
  <c r="S2807" i="2"/>
  <c r="R2807" i="2"/>
  <c r="Q2807" i="2"/>
  <c r="P2807" i="2"/>
  <c r="S2806" i="2"/>
  <c r="R2806" i="2"/>
  <c r="Q2806" i="2"/>
  <c r="P2806" i="2"/>
  <c r="S2805" i="2"/>
  <c r="R2805" i="2"/>
  <c r="Q2805" i="2"/>
  <c r="P2805" i="2"/>
  <c r="S2804" i="2"/>
  <c r="R2804" i="2"/>
  <c r="Q2804" i="2"/>
  <c r="P2804" i="2"/>
  <c r="S2803" i="2"/>
  <c r="R2803" i="2"/>
  <c r="Q2803" i="2"/>
  <c r="P2803" i="2"/>
  <c r="S2802" i="2"/>
  <c r="R2802" i="2"/>
  <c r="Q2802" i="2"/>
  <c r="P2802" i="2"/>
  <c r="S2801" i="2"/>
  <c r="R2801" i="2"/>
  <c r="Q2801" i="2"/>
  <c r="P2801" i="2"/>
  <c r="S2800" i="2"/>
  <c r="R2800" i="2"/>
  <c r="Q2800" i="2"/>
  <c r="P2800" i="2"/>
  <c r="S2799" i="2"/>
  <c r="R2799" i="2"/>
  <c r="Q2799" i="2"/>
  <c r="P2799" i="2"/>
  <c r="S2798" i="2"/>
  <c r="R2798" i="2"/>
  <c r="Q2798" i="2"/>
  <c r="P2798" i="2"/>
  <c r="S2797" i="2"/>
  <c r="R2797" i="2"/>
  <c r="Q2797" i="2"/>
  <c r="P2797" i="2"/>
  <c r="S2796" i="2"/>
  <c r="R2796" i="2"/>
  <c r="Q2796" i="2"/>
  <c r="P2796" i="2"/>
  <c r="S2795" i="2"/>
  <c r="R2795" i="2"/>
  <c r="Q2795" i="2"/>
  <c r="P2795" i="2"/>
  <c r="S2794" i="2"/>
  <c r="R2794" i="2"/>
  <c r="Q2794" i="2"/>
  <c r="P2794" i="2"/>
  <c r="S2793" i="2"/>
  <c r="R2793" i="2"/>
  <c r="Q2793" i="2"/>
  <c r="P2793" i="2"/>
  <c r="S2792" i="2"/>
  <c r="R2792" i="2"/>
  <c r="Q2792" i="2"/>
  <c r="P2792" i="2"/>
  <c r="S2791" i="2"/>
  <c r="R2791" i="2"/>
  <c r="Q2791" i="2"/>
  <c r="P2791" i="2"/>
  <c r="S2790" i="2"/>
  <c r="R2790" i="2"/>
  <c r="Q2790" i="2"/>
  <c r="P2790" i="2"/>
  <c r="S2789" i="2"/>
  <c r="R2789" i="2"/>
  <c r="Q2789" i="2"/>
  <c r="P2789" i="2"/>
  <c r="S2788" i="2"/>
  <c r="R2788" i="2"/>
  <c r="Q2788" i="2"/>
  <c r="P2788" i="2"/>
  <c r="S2787" i="2"/>
  <c r="R2787" i="2"/>
  <c r="Q2787" i="2"/>
  <c r="P2787" i="2"/>
  <c r="S2786" i="2"/>
  <c r="R2786" i="2"/>
  <c r="Q2786" i="2"/>
  <c r="P2786" i="2"/>
  <c r="S2785" i="2"/>
  <c r="R2785" i="2"/>
  <c r="Q2785" i="2"/>
  <c r="P2785" i="2"/>
  <c r="S2784" i="2"/>
  <c r="R2784" i="2"/>
  <c r="Q2784" i="2"/>
  <c r="P2784" i="2"/>
  <c r="S2783" i="2"/>
  <c r="R2783" i="2"/>
  <c r="Q2783" i="2"/>
  <c r="P2783" i="2"/>
  <c r="S2782" i="2"/>
  <c r="R2782" i="2"/>
  <c r="Q2782" i="2"/>
  <c r="P2782" i="2"/>
  <c r="S2781" i="2"/>
  <c r="R2781" i="2"/>
  <c r="Q2781" i="2"/>
  <c r="P2781" i="2"/>
  <c r="S2780" i="2"/>
  <c r="R2780" i="2"/>
  <c r="Q2780" i="2"/>
  <c r="P2780" i="2"/>
  <c r="S2779" i="2"/>
  <c r="R2779" i="2"/>
  <c r="Q2779" i="2"/>
  <c r="P2779" i="2"/>
  <c r="S2778" i="2"/>
  <c r="R2778" i="2"/>
  <c r="Q2778" i="2"/>
  <c r="P2778" i="2"/>
  <c r="S2777" i="2"/>
  <c r="R2777" i="2"/>
  <c r="Q2777" i="2"/>
  <c r="P2777" i="2"/>
  <c r="S2776" i="2"/>
  <c r="R2776" i="2"/>
  <c r="Q2776" i="2"/>
  <c r="P2776" i="2"/>
  <c r="S2775" i="2"/>
  <c r="R2775" i="2"/>
  <c r="Q2775" i="2"/>
  <c r="P2775" i="2"/>
  <c r="S2774" i="2"/>
  <c r="R2774" i="2"/>
  <c r="Q2774" i="2"/>
  <c r="P2774" i="2"/>
  <c r="S2773" i="2"/>
  <c r="R2773" i="2"/>
  <c r="Q2773" i="2"/>
  <c r="P2773" i="2"/>
  <c r="S2772" i="2"/>
  <c r="R2772" i="2"/>
  <c r="Q2772" i="2"/>
  <c r="P2772" i="2"/>
  <c r="S2771" i="2"/>
  <c r="R2771" i="2"/>
  <c r="Q2771" i="2"/>
  <c r="P2771" i="2"/>
  <c r="S2770" i="2"/>
  <c r="R2770" i="2"/>
  <c r="Q2770" i="2"/>
  <c r="P2770" i="2"/>
  <c r="S2769" i="2"/>
  <c r="R2769" i="2"/>
  <c r="Q2769" i="2"/>
  <c r="P2769" i="2"/>
  <c r="S2768" i="2"/>
  <c r="R2768" i="2"/>
  <c r="Q2768" i="2"/>
  <c r="P2768" i="2"/>
  <c r="S2767" i="2"/>
  <c r="R2767" i="2"/>
  <c r="Q2767" i="2"/>
  <c r="P2767" i="2"/>
  <c r="S2766" i="2"/>
  <c r="R2766" i="2"/>
  <c r="Q2766" i="2"/>
  <c r="P2766" i="2"/>
  <c r="S2765" i="2"/>
  <c r="R2765" i="2"/>
  <c r="Q2765" i="2"/>
  <c r="P2765" i="2"/>
  <c r="S2764" i="2"/>
  <c r="R2764" i="2"/>
  <c r="Q2764" i="2"/>
  <c r="P2764" i="2"/>
  <c r="S2763" i="2"/>
  <c r="R2763" i="2"/>
  <c r="Q2763" i="2"/>
  <c r="P2763" i="2"/>
  <c r="S2762" i="2"/>
  <c r="R2762" i="2"/>
  <c r="Q2762" i="2"/>
  <c r="P2762" i="2"/>
  <c r="S2761" i="2"/>
  <c r="R2761" i="2"/>
  <c r="Q2761" i="2"/>
  <c r="P2761" i="2"/>
  <c r="S2760" i="2"/>
  <c r="R2760" i="2"/>
  <c r="Q2760" i="2"/>
  <c r="P2760" i="2"/>
  <c r="S2759" i="2"/>
  <c r="R2759" i="2"/>
  <c r="Q2759" i="2"/>
  <c r="P2759" i="2"/>
  <c r="S2758" i="2"/>
  <c r="R2758" i="2"/>
  <c r="Q2758" i="2"/>
  <c r="P2758" i="2"/>
  <c r="S2757" i="2"/>
  <c r="R2757" i="2"/>
  <c r="Q2757" i="2"/>
  <c r="P2757" i="2"/>
  <c r="S2756" i="2"/>
  <c r="R2756" i="2"/>
  <c r="Q2756" i="2"/>
  <c r="P2756" i="2"/>
  <c r="S2755" i="2"/>
  <c r="R2755" i="2"/>
  <c r="Q2755" i="2"/>
  <c r="P2755" i="2"/>
  <c r="S2754" i="2"/>
  <c r="R2754" i="2"/>
  <c r="Q2754" i="2"/>
  <c r="P2754" i="2"/>
  <c r="S2753" i="2"/>
  <c r="R2753" i="2"/>
  <c r="Q2753" i="2"/>
  <c r="P2753" i="2"/>
  <c r="S2752" i="2"/>
  <c r="R2752" i="2"/>
  <c r="Q2752" i="2"/>
  <c r="P2752" i="2"/>
  <c r="S2751" i="2"/>
  <c r="R2751" i="2"/>
  <c r="Q2751" i="2"/>
  <c r="P2751" i="2"/>
  <c r="S2750" i="2"/>
  <c r="R2750" i="2"/>
  <c r="Q2750" i="2"/>
  <c r="P2750" i="2"/>
  <c r="S2749" i="2"/>
  <c r="R2749" i="2"/>
  <c r="Q2749" i="2"/>
  <c r="P2749" i="2"/>
  <c r="S2748" i="2"/>
  <c r="R2748" i="2"/>
  <c r="Q2748" i="2"/>
  <c r="P2748" i="2"/>
  <c r="S2747" i="2"/>
  <c r="R2747" i="2"/>
  <c r="Q2747" i="2"/>
  <c r="P2747" i="2"/>
  <c r="S2746" i="2"/>
  <c r="R2746" i="2"/>
  <c r="Q2746" i="2"/>
  <c r="P2746" i="2"/>
  <c r="S2745" i="2"/>
  <c r="R2745" i="2"/>
  <c r="Q2745" i="2"/>
  <c r="P2745" i="2"/>
  <c r="S2744" i="2"/>
  <c r="R2744" i="2"/>
  <c r="Q2744" i="2"/>
  <c r="P2744" i="2"/>
  <c r="S2743" i="2"/>
  <c r="R2743" i="2"/>
  <c r="Q2743" i="2"/>
  <c r="P2743" i="2"/>
  <c r="S2742" i="2"/>
  <c r="R2742" i="2"/>
  <c r="Q2742" i="2"/>
  <c r="P2742" i="2"/>
  <c r="S2741" i="2"/>
  <c r="R2741" i="2"/>
  <c r="Q2741" i="2"/>
  <c r="P2741" i="2"/>
  <c r="S2740" i="2"/>
  <c r="R2740" i="2"/>
  <c r="Q2740" i="2"/>
  <c r="P2740" i="2"/>
  <c r="S2739" i="2"/>
  <c r="R2739" i="2"/>
  <c r="Q2739" i="2"/>
  <c r="P2739" i="2"/>
  <c r="S2738" i="2"/>
  <c r="R2738" i="2"/>
  <c r="Q2738" i="2"/>
  <c r="P2738" i="2"/>
  <c r="S2737" i="2"/>
  <c r="R2737" i="2"/>
  <c r="Q2737" i="2"/>
  <c r="P2737" i="2"/>
  <c r="S2736" i="2"/>
  <c r="R2736" i="2"/>
  <c r="Q2736" i="2"/>
  <c r="P2736" i="2"/>
  <c r="S2735" i="2"/>
  <c r="R2735" i="2"/>
  <c r="Q2735" i="2"/>
  <c r="P2735" i="2"/>
  <c r="S2734" i="2"/>
  <c r="R2734" i="2"/>
  <c r="Q2734" i="2"/>
  <c r="P2734" i="2"/>
  <c r="S2733" i="2"/>
  <c r="R2733" i="2"/>
  <c r="Q2733" i="2"/>
  <c r="P2733" i="2"/>
  <c r="S2732" i="2"/>
  <c r="R2732" i="2"/>
  <c r="Q2732" i="2"/>
  <c r="P2732" i="2"/>
  <c r="S2731" i="2"/>
  <c r="R2731" i="2"/>
  <c r="Q2731" i="2"/>
  <c r="P2731" i="2"/>
  <c r="S2730" i="2"/>
  <c r="R2730" i="2"/>
  <c r="Q2730" i="2"/>
  <c r="P2730" i="2"/>
  <c r="S2729" i="2"/>
  <c r="R2729" i="2"/>
  <c r="Q2729" i="2"/>
  <c r="P2729" i="2"/>
  <c r="S2728" i="2"/>
  <c r="R2728" i="2"/>
  <c r="Q2728" i="2"/>
  <c r="P2728" i="2"/>
  <c r="S2727" i="2"/>
  <c r="R2727" i="2"/>
  <c r="Q2727" i="2"/>
  <c r="P2727" i="2"/>
  <c r="S2726" i="2"/>
  <c r="R2726" i="2"/>
  <c r="Q2726" i="2"/>
  <c r="P2726" i="2"/>
  <c r="S2725" i="2"/>
  <c r="R2725" i="2"/>
  <c r="Q2725" i="2"/>
  <c r="P2725" i="2"/>
  <c r="S2724" i="2"/>
  <c r="R2724" i="2"/>
  <c r="Q2724" i="2"/>
  <c r="P2724" i="2"/>
  <c r="S2723" i="2"/>
  <c r="R2723" i="2"/>
  <c r="Q2723" i="2"/>
  <c r="P2723" i="2"/>
  <c r="S2722" i="2"/>
  <c r="R2722" i="2"/>
  <c r="Q2722" i="2"/>
  <c r="P2722" i="2"/>
  <c r="S2721" i="2"/>
  <c r="R2721" i="2"/>
  <c r="Q2721" i="2"/>
  <c r="P2721" i="2"/>
  <c r="S2720" i="2"/>
  <c r="R2720" i="2"/>
  <c r="Q2720" i="2"/>
  <c r="P2720" i="2"/>
  <c r="S2719" i="2"/>
  <c r="R2719" i="2"/>
  <c r="Q2719" i="2"/>
  <c r="P2719" i="2"/>
  <c r="S2718" i="2"/>
  <c r="R2718" i="2"/>
  <c r="Q2718" i="2"/>
  <c r="P2718" i="2"/>
  <c r="S2717" i="2"/>
  <c r="R2717" i="2"/>
  <c r="Q2717" i="2"/>
  <c r="P2717" i="2"/>
  <c r="S2716" i="2"/>
  <c r="R2716" i="2"/>
  <c r="Q2716" i="2"/>
  <c r="P2716" i="2"/>
  <c r="S2715" i="2"/>
  <c r="R2715" i="2"/>
  <c r="Q2715" i="2"/>
  <c r="P2715" i="2"/>
  <c r="S2714" i="2"/>
  <c r="R2714" i="2"/>
  <c r="Q2714" i="2"/>
  <c r="P2714" i="2"/>
  <c r="S2713" i="2"/>
  <c r="R2713" i="2"/>
  <c r="Q2713" i="2"/>
  <c r="P2713" i="2"/>
  <c r="S2712" i="2"/>
  <c r="R2712" i="2"/>
  <c r="Q2712" i="2"/>
  <c r="P2712" i="2"/>
  <c r="S2711" i="2"/>
  <c r="R2711" i="2"/>
  <c r="Q2711" i="2"/>
  <c r="P2711" i="2"/>
  <c r="S2710" i="2"/>
  <c r="R2710" i="2"/>
  <c r="Q2710" i="2"/>
  <c r="P2710" i="2"/>
  <c r="S2709" i="2"/>
  <c r="R2709" i="2"/>
  <c r="Q2709" i="2"/>
  <c r="P2709" i="2"/>
  <c r="S2708" i="2"/>
  <c r="R2708" i="2"/>
  <c r="Q2708" i="2"/>
  <c r="P2708" i="2"/>
  <c r="S2707" i="2"/>
  <c r="R2707" i="2"/>
  <c r="Q2707" i="2"/>
  <c r="P2707" i="2"/>
  <c r="S2706" i="2"/>
  <c r="R2706" i="2"/>
  <c r="Q2706" i="2"/>
  <c r="P2706" i="2"/>
  <c r="S2705" i="2"/>
  <c r="R2705" i="2"/>
  <c r="Q2705" i="2"/>
  <c r="P2705" i="2"/>
  <c r="S2704" i="2"/>
  <c r="R2704" i="2"/>
  <c r="Q2704" i="2"/>
  <c r="P2704" i="2"/>
  <c r="S2703" i="2"/>
  <c r="R2703" i="2"/>
  <c r="Q2703" i="2"/>
  <c r="P2703" i="2"/>
  <c r="S2702" i="2"/>
  <c r="R2702" i="2"/>
  <c r="Q2702" i="2"/>
  <c r="P2702" i="2"/>
  <c r="S2701" i="2"/>
  <c r="R2701" i="2"/>
  <c r="Q2701" i="2"/>
  <c r="P2701" i="2"/>
  <c r="S2700" i="2"/>
  <c r="R2700" i="2"/>
  <c r="Q2700" i="2"/>
  <c r="P2700" i="2"/>
  <c r="S2699" i="2"/>
  <c r="R2699" i="2"/>
  <c r="Q2699" i="2"/>
  <c r="P2699" i="2"/>
  <c r="S2698" i="2"/>
  <c r="R2698" i="2"/>
  <c r="Q2698" i="2"/>
  <c r="P2698" i="2"/>
  <c r="S2697" i="2"/>
  <c r="R2697" i="2"/>
  <c r="Q2697" i="2"/>
  <c r="P2697" i="2"/>
  <c r="S2696" i="2"/>
  <c r="R2696" i="2"/>
  <c r="Q2696" i="2"/>
  <c r="P2696" i="2"/>
  <c r="S2695" i="2"/>
  <c r="R2695" i="2"/>
  <c r="Q2695" i="2"/>
  <c r="P2695" i="2"/>
  <c r="S2694" i="2"/>
  <c r="R2694" i="2"/>
  <c r="Q2694" i="2"/>
  <c r="P2694" i="2"/>
  <c r="S2693" i="2"/>
  <c r="R2693" i="2"/>
  <c r="Q2693" i="2"/>
  <c r="P2693" i="2"/>
  <c r="S2692" i="2"/>
  <c r="R2692" i="2"/>
  <c r="Q2692" i="2"/>
  <c r="P2692" i="2"/>
  <c r="S2691" i="2"/>
  <c r="R2691" i="2"/>
  <c r="Q2691" i="2"/>
  <c r="P2691" i="2"/>
  <c r="S2690" i="2"/>
  <c r="R2690" i="2"/>
  <c r="Q2690" i="2"/>
  <c r="P2690" i="2"/>
  <c r="S2689" i="2"/>
  <c r="R2689" i="2"/>
  <c r="Q2689" i="2"/>
  <c r="P2689" i="2"/>
  <c r="S2688" i="2"/>
  <c r="R2688" i="2"/>
  <c r="Q2688" i="2"/>
  <c r="P2688" i="2"/>
  <c r="S2687" i="2"/>
  <c r="R2687" i="2"/>
  <c r="Q2687" i="2"/>
  <c r="P2687" i="2"/>
  <c r="S2686" i="2"/>
  <c r="R2686" i="2"/>
  <c r="Q2686" i="2"/>
  <c r="P2686" i="2"/>
  <c r="S2685" i="2"/>
  <c r="R2685" i="2"/>
  <c r="Q2685" i="2"/>
  <c r="P2685" i="2"/>
  <c r="S2684" i="2"/>
  <c r="R2684" i="2"/>
  <c r="Q2684" i="2"/>
  <c r="P2684" i="2"/>
  <c r="S2683" i="2"/>
  <c r="R2683" i="2"/>
  <c r="Q2683" i="2"/>
  <c r="P2683" i="2"/>
  <c r="S2682" i="2"/>
  <c r="R2682" i="2"/>
  <c r="Q2682" i="2"/>
  <c r="P2682" i="2"/>
  <c r="S2681" i="2"/>
  <c r="R2681" i="2"/>
  <c r="Q2681" i="2"/>
  <c r="P2681" i="2"/>
  <c r="S2680" i="2"/>
  <c r="R2680" i="2"/>
  <c r="Q2680" i="2"/>
  <c r="P2680" i="2"/>
  <c r="S2679" i="2"/>
  <c r="R2679" i="2"/>
  <c r="Q2679" i="2"/>
  <c r="P2679" i="2"/>
  <c r="S2678" i="2"/>
  <c r="R2678" i="2"/>
  <c r="Q2678" i="2"/>
  <c r="P2678" i="2"/>
  <c r="S2677" i="2"/>
  <c r="R2677" i="2"/>
  <c r="Q2677" i="2"/>
  <c r="P2677" i="2"/>
  <c r="S2676" i="2"/>
  <c r="R2676" i="2"/>
  <c r="Q2676" i="2"/>
  <c r="P2676" i="2"/>
  <c r="S2675" i="2"/>
  <c r="R2675" i="2"/>
  <c r="Q2675" i="2"/>
  <c r="P2675" i="2"/>
  <c r="S2674" i="2"/>
  <c r="R2674" i="2"/>
  <c r="Q2674" i="2"/>
  <c r="P2674" i="2"/>
  <c r="S2673" i="2"/>
  <c r="R2673" i="2"/>
  <c r="Q2673" i="2"/>
  <c r="P2673" i="2"/>
  <c r="S2672" i="2"/>
  <c r="R2672" i="2"/>
  <c r="Q2672" i="2"/>
  <c r="P2672" i="2"/>
  <c r="S2671" i="2"/>
  <c r="R2671" i="2"/>
  <c r="Q2671" i="2"/>
  <c r="P2671" i="2"/>
  <c r="S2670" i="2"/>
  <c r="R2670" i="2"/>
  <c r="Q2670" i="2"/>
  <c r="P2670" i="2"/>
  <c r="S2669" i="2"/>
  <c r="R2669" i="2"/>
  <c r="Q2669" i="2"/>
  <c r="P2669" i="2"/>
  <c r="S2668" i="2"/>
  <c r="R2668" i="2"/>
  <c r="Q2668" i="2"/>
  <c r="P2668" i="2"/>
  <c r="S2667" i="2"/>
  <c r="R2667" i="2"/>
  <c r="Q2667" i="2"/>
  <c r="P2667" i="2"/>
  <c r="S2666" i="2"/>
  <c r="R2666" i="2"/>
  <c r="Q2666" i="2"/>
  <c r="P2666" i="2"/>
  <c r="S2665" i="2"/>
  <c r="R2665" i="2"/>
  <c r="Q2665" i="2"/>
  <c r="P2665" i="2"/>
  <c r="S2664" i="2"/>
  <c r="R2664" i="2"/>
  <c r="Q2664" i="2"/>
  <c r="P2664" i="2"/>
  <c r="S2663" i="2"/>
  <c r="R2663" i="2"/>
  <c r="Q2663" i="2"/>
  <c r="P2663" i="2"/>
  <c r="S2662" i="2"/>
  <c r="R2662" i="2"/>
  <c r="Q2662" i="2"/>
  <c r="P2662" i="2"/>
  <c r="S2661" i="2"/>
  <c r="R2661" i="2"/>
  <c r="Q2661" i="2"/>
  <c r="P2661" i="2"/>
  <c r="S2660" i="2"/>
  <c r="R2660" i="2"/>
  <c r="Q2660" i="2"/>
  <c r="P2660" i="2"/>
  <c r="S2659" i="2"/>
  <c r="R2659" i="2"/>
  <c r="Q2659" i="2"/>
  <c r="P2659" i="2"/>
  <c r="S2658" i="2"/>
  <c r="R2658" i="2"/>
  <c r="Q2658" i="2"/>
  <c r="P2658" i="2"/>
  <c r="S2657" i="2"/>
  <c r="R2657" i="2"/>
  <c r="Q2657" i="2"/>
  <c r="P2657" i="2"/>
  <c r="S2656" i="2"/>
  <c r="R2656" i="2"/>
  <c r="Q2656" i="2"/>
  <c r="P2656" i="2"/>
  <c r="S2655" i="2"/>
  <c r="R2655" i="2"/>
  <c r="Q2655" i="2"/>
  <c r="P2655" i="2"/>
  <c r="S2654" i="2"/>
  <c r="R2654" i="2"/>
  <c r="Q2654" i="2"/>
  <c r="P2654" i="2"/>
  <c r="S2653" i="2"/>
  <c r="R2653" i="2"/>
  <c r="Q2653" i="2"/>
  <c r="P2653" i="2"/>
  <c r="S2652" i="2"/>
  <c r="R2652" i="2"/>
  <c r="Q2652" i="2"/>
  <c r="P2652" i="2"/>
  <c r="S2651" i="2"/>
  <c r="R2651" i="2"/>
  <c r="Q2651" i="2"/>
  <c r="P2651" i="2"/>
  <c r="S2650" i="2"/>
  <c r="R2650" i="2"/>
  <c r="Q2650" i="2"/>
  <c r="P2650" i="2"/>
  <c r="S2649" i="2"/>
  <c r="R2649" i="2"/>
  <c r="Q2649" i="2"/>
  <c r="P2649" i="2"/>
  <c r="S2648" i="2"/>
  <c r="R2648" i="2"/>
  <c r="Q2648" i="2"/>
  <c r="P2648" i="2"/>
  <c r="S2647" i="2"/>
  <c r="R2647" i="2"/>
  <c r="Q2647" i="2"/>
  <c r="P2647" i="2"/>
  <c r="S2646" i="2"/>
  <c r="R2646" i="2"/>
  <c r="Q2646" i="2"/>
  <c r="P2646" i="2"/>
  <c r="S2645" i="2"/>
  <c r="R2645" i="2"/>
  <c r="Q2645" i="2"/>
  <c r="P2645" i="2"/>
  <c r="S2644" i="2"/>
  <c r="R2644" i="2"/>
  <c r="Q2644" i="2"/>
  <c r="P2644" i="2"/>
  <c r="S2643" i="2"/>
  <c r="R2643" i="2"/>
  <c r="Q2643" i="2"/>
  <c r="P2643" i="2"/>
  <c r="S2642" i="2"/>
  <c r="R2642" i="2"/>
  <c r="Q2642" i="2"/>
  <c r="P2642" i="2"/>
  <c r="S2641" i="2"/>
  <c r="R2641" i="2"/>
  <c r="Q2641" i="2"/>
  <c r="P2641" i="2"/>
  <c r="S2640" i="2"/>
  <c r="R2640" i="2"/>
  <c r="Q2640" i="2"/>
  <c r="P2640" i="2"/>
  <c r="S2639" i="2"/>
  <c r="R2639" i="2"/>
  <c r="Q2639" i="2"/>
  <c r="P2639" i="2"/>
  <c r="S2638" i="2"/>
  <c r="R2638" i="2"/>
  <c r="Q2638" i="2"/>
  <c r="P2638" i="2"/>
  <c r="S2637" i="2"/>
  <c r="R2637" i="2"/>
  <c r="Q2637" i="2"/>
  <c r="P2637" i="2"/>
  <c r="S2636" i="2"/>
  <c r="R2636" i="2"/>
  <c r="Q2636" i="2"/>
  <c r="P2636" i="2"/>
  <c r="S2635" i="2"/>
  <c r="R2635" i="2"/>
  <c r="Q2635" i="2"/>
  <c r="P2635" i="2"/>
  <c r="S2634" i="2"/>
  <c r="R2634" i="2"/>
  <c r="Q2634" i="2"/>
  <c r="P2634" i="2"/>
  <c r="S2633" i="2"/>
  <c r="R2633" i="2"/>
  <c r="Q2633" i="2"/>
  <c r="P2633" i="2"/>
  <c r="S2632" i="2"/>
  <c r="R2632" i="2"/>
  <c r="Q2632" i="2"/>
  <c r="P2632" i="2"/>
  <c r="S2631" i="2"/>
  <c r="R2631" i="2"/>
  <c r="Q2631" i="2"/>
  <c r="P2631" i="2"/>
  <c r="S2630" i="2"/>
  <c r="R2630" i="2"/>
  <c r="Q2630" i="2"/>
  <c r="P2630" i="2"/>
  <c r="S2629" i="2"/>
  <c r="R2629" i="2"/>
  <c r="Q2629" i="2"/>
  <c r="P2629" i="2"/>
  <c r="S2628" i="2"/>
  <c r="R2628" i="2"/>
  <c r="Q2628" i="2"/>
  <c r="P2628" i="2"/>
  <c r="S2627" i="2"/>
  <c r="R2627" i="2"/>
  <c r="Q2627" i="2"/>
  <c r="P2627" i="2"/>
  <c r="S2626" i="2"/>
  <c r="R2626" i="2"/>
  <c r="Q2626" i="2"/>
  <c r="P2626" i="2"/>
  <c r="S2625" i="2"/>
  <c r="R2625" i="2"/>
  <c r="Q2625" i="2"/>
  <c r="P2625" i="2"/>
  <c r="S2624" i="2"/>
  <c r="R2624" i="2"/>
  <c r="Q2624" i="2"/>
  <c r="P2624" i="2"/>
  <c r="S2623" i="2"/>
  <c r="R2623" i="2"/>
  <c r="Q2623" i="2"/>
  <c r="P2623" i="2"/>
  <c r="S2622" i="2"/>
  <c r="R2622" i="2"/>
  <c r="Q2622" i="2"/>
  <c r="P2622" i="2"/>
  <c r="S2621" i="2"/>
  <c r="R2621" i="2"/>
  <c r="Q2621" i="2"/>
  <c r="P2621" i="2"/>
  <c r="S2620" i="2"/>
  <c r="R2620" i="2"/>
  <c r="Q2620" i="2"/>
  <c r="P2620" i="2"/>
  <c r="S2619" i="2"/>
  <c r="R2619" i="2"/>
  <c r="Q2619" i="2"/>
  <c r="P2619" i="2"/>
  <c r="S2618" i="2"/>
  <c r="R2618" i="2"/>
  <c r="Q2618" i="2"/>
  <c r="P2618" i="2"/>
  <c r="S2617" i="2"/>
  <c r="R2617" i="2"/>
  <c r="Q2617" i="2"/>
  <c r="P2617" i="2"/>
  <c r="S2616" i="2"/>
  <c r="R2616" i="2"/>
  <c r="Q2616" i="2"/>
  <c r="P2616" i="2"/>
  <c r="S2615" i="2"/>
  <c r="R2615" i="2"/>
  <c r="Q2615" i="2"/>
  <c r="P2615" i="2"/>
  <c r="S2614" i="2"/>
  <c r="R2614" i="2"/>
  <c r="Q2614" i="2"/>
  <c r="P2614" i="2"/>
  <c r="S2613" i="2"/>
  <c r="R2613" i="2"/>
  <c r="Q2613" i="2"/>
  <c r="P2613" i="2"/>
  <c r="S2612" i="2"/>
  <c r="R2612" i="2"/>
  <c r="Q2612" i="2"/>
  <c r="P2612" i="2"/>
  <c r="S2611" i="2"/>
  <c r="R2611" i="2"/>
  <c r="Q2611" i="2"/>
  <c r="P2611" i="2"/>
  <c r="S2610" i="2"/>
  <c r="R2610" i="2"/>
  <c r="Q2610" i="2"/>
  <c r="P2610" i="2"/>
  <c r="S2609" i="2"/>
  <c r="R2609" i="2"/>
  <c r="Q2609" i="2"/>
  <c r="P2609" i="2"/>
  <c r="S2608" i="2"/>
  <c r="R2608" i="2"/>
  <c r="Q2608" i="2"/>
  <c r="P2608" i="2"/>
  <c r="S2607" i="2"/>
  <c r="R2607" i="2"/>
  <c r="Q2607" i="2"/>
  <c r="P2607" i="2"/>
  <c r="S2606" i="2"/>
  <c r="R2606" i="2"/>
  <c r="Q2606" i="2"/>
  <c r="P2606" i="2"/>
  <c r="S2605" i="2"/>
  <c r="R2605" i="2"/>
  <c r="Q2605" i="2"/>
  <c r="P2605" i="2"/>
  <c r="S2604" i="2"/>
  <c r="R2604" i="2"/>
  <c r="Q2604" i="2"/>
  <c r="P2604" i="2"/>
  <c r="S2603" i="2"/>
  <c r="R2603" i="2"/>
  <c r="Q2603" i="2"/>
  <c r="P2603" i="2"/>
  <c r="S2602" i="2"/>
  <c r="R2602" i="2"/>
  <c r="Q2602" i="2"/>
  <c r="P2602" i="2"/>
  <c r="S2601" i="2"/>
  <c r="R2601" i="2"/>
  <c r="Q2601" i="2"/>
  <c r="P2601" i="2"/>
  <c r="S2600" i="2"/>
  <c r="R2600" i="2"/>
  <c r="Q2600" i="2"/>
  <c r="P2600" i="2"/>
  <c r="S2599" i="2"/>
  <c r="R2599" i="2"/>
  <c r="Q2599" i="2"/>
  <c r="P2599" i="2"/>
  <c r="S2598" i="2"/>
  <c r="R2598" i="2"/>
  <c r="Q2598" i="2"/>
  <c r="P2598" i="2"/>
  <c r="S2597" i="2"/>
  <c r="R2597" i="2"/>
  <c r="Q2597" i="2"/>
  <c r="P2597" i="2"/>
  <c r="S2596" i="2"/>
  <c r="R2596" i="2"/>
  <c r="Q2596" i="2"/>
  <c r="P2596" i="2"/>
  <c r="S2595" i="2"/>
  <c r="R2595" i="2"/>
  <c r="Q2595" i="2"/>
  <c r="P2595" i="2"/>
  <c r="S2594" i="2"/>
  <c r="R2594" i="2"/>
  <c r="Q2594" i="2"/>
  <c r="P2594" i="2"/>
  <c r="S2593" i="2"/>
  <c r="R2593" i="2"/>
  <c r="Q2593" i="2"/>
  <c r="P2593" i="2"/>
  <c r="S2592" i="2"/>
  <c r="R2592" i="2"/>
  <c r="Q2592" i="2"/>
  <c r="P2592" i="2"/>
  <c r="S2591" i="2"/>
  <c r="R2591" i="2"/>
  <c r="Q2591" i="2"/>
  <c r="P2591" i="2"/>
  <c r="S2590" i="2"/>
  <c r="R2590" i="2"/>
  <c r="Q2590" i="2"/>
  <c r="P2590" i="2"/>
  <c r="S2589" i="2"/>
  <c r="R2589" i="2"/>
  <c r="Q2589" i="2"/>
  <c r="P2589" i="2"/>
  <c r="S2588" i="2"/>
  <c r="R2588" i="2"/>
  <c r="Q2588" i="2"/>
  <c r="P2588" i="2"/>
  <c r="S2587" i="2"/>
  <c r="R2587" i="2"/>
  <c r="Q2587" i="2"/>
  <c r="P2587" i="2"/>
  <c r="S2586" i="2"/>
  <c r="R2586" i="2"/>
  <c r="Q2586" i="2"/>
  <c r="P2586" i="2"/>
  <c r="S2585" i="2"/>
  <c r="R2585" i="2"/>
  <c r="Q2585" i="2"/>
  <c r="P2585" i="2"/>
  <c r="S2584" i="2"/>
  <c r="R2584" i="2"/>
  <c r="Q2584" i="2"/>
  <c r="P2584" i="2"/>
  <c r="S2583" i="2"/>
  <c r="R2583" i="2"/>
  <c r="Q2583" i="2"/>
  <c r="P2583" i="2"/>
  <c r="S2582" i="2"/>
  <c r="R2582" i="2"/>
  <c r="Q2582" i="2"/>
  <c r="P2582" i="2"/>
  <c r="S2581" i="2"/>
  <c r="R2581" i="2"/>
  <c r="Q2581" i="2"/>
  <c r="P2581" i="2"/>
  <c r="S2580" i="2"/>
  <c r="R2580" i="2"/>
  <c r="Q2580" i="2"/>
  <c r="P2580" i="2"/>
  <c r="S2579" i="2"/>
  <c r="R2579" i="2"/>
  <c r="Q2579" i="2"/>
  <c r="P2579" i="2"/>
  <c r="S2578" i="2"/>
  <c r="R2578" i="2"/>
  <c r="Q2578" i="2"/>
  <c r="P2578" i="2"/>
  <c r="S2577" i="2"/>
  <c r="R2577" i="2"/>
  <c r="Q2577" i="2"/>
  <c r="P2577" i="2"/>
  <c r="S2576" i="2"/>
  <c r="R2576" i="2"/>
  <c r="Q2576" i="2"/>
  <c r="P2576" i="2"/>
  <c r="S2575" i="2"/>
  <c r="R2575" i="2"/>
  <c r="Q2575" i="2"/>
  <c r="P2575" i="2"/>
  <c r="S2574" i="2"/>
  <c r="R2574" i="2"/>
  <c r="Q2574" i="2"/>
  <c r="P2574" i="2"/>
  <c r="S2573" i="2"/>
  <c r="R2573" i="2"/>
  <c r="Q2573" i="2"/>
  <c r="P2573" i="2"/>
  <c r="S2572" i="2"/>
  <c r="R2572" i="2"/>
  <c r="Q2572" i="2"/>
  <c r="P2572" i="2"/>
  <c r="S2571" i="2"/>
  <c r="R2571" i="2"/>
  <c r="Q2571" i="2"/>
  <c r="P2571" i="2"/>
  <c r="S2570" i="2"/>
  <c r="R2570" i="2"/>
  <c r="Q2570" i="2"/>
  <c r="P2570" i="2"/>
  <c r="S2569" i="2"/>
  <c r="R2569" i="2"/>
  <c r="Q2569" i="2"/>
  <c r="P2569" i="2"/>
  <c r="S2568" i="2"/>
  <c r="R2568" i="2"/>
  <c r="Q2568" i="2"/>
  <c r="P2568" i="2"/>
  <c r="S2567" i="2"/>
  <c r="R2567" i="2"/>
  <c r="Q2567" i="2"/>
  <c r="P2567" i="2"/>
  <c r="S2566" i="2"/>
  <c r="R2566" i="2"/>
  <c r="Q2566" i="2"/>
  <c r="P2566" i="2"/>
  <c r="S2565" i="2"/>
  <c r="R2565" i="2"/>
  <c r="Q2565" i="2"/>
  <c r="P2565" i="2"/>
  <c r="S2564" i="2"/>
  <c r="R2564" i="2"/>
  <c r="Q2564" i="2"/>
  <c r="P2564" i="2"/>
  <c r="S2563" i="2"/>
  <c r="R2563" i="2"/>
  <c r="Q2563" i="2"/>
  <c r="P2563" i="2"/>
  <c r="S2562" i="2"/>
  <c r="R2562" i="2"/>
  <c r="Q2562" i="2"/>
  <c r="P2562" i="2"/>
  <c r="S2561" i="2"/>
  <c r="R2561" i="2"/>
  <c r="Q2561" i="2"/>
  <c r="P2561" i="2"/>
  <c r="S2560" i="2"/>
  <c r="R2560" i="2"/>
  <c r="Q2560" i="2"/>
  <c r="P2560" i="2"/>
  <c r="S2559" i="2"/>
  <c r="R2559" i="2"/>
  <c r="Q2559" i="2"/>
  <c r="P2559" i="2"/>
  <c r="S2558" i="2"/>
  <c r="R2558" i="2"/>
  <c r="Q2558" i="2"/>
  <c r="P2558" i="2"/>
  <c r="S2557" i="2"/>
  <c r="R2557" i="2"/>
  <c r="Q2557" i="2"/>
  <c r="P2557" i="2"/>
  <c r="S2556" i="2"/>
  <c r="R2556" i="2"/>
  <c r="Q2556" i="2"/>
  <c r="P2556" i="2"/>
  <c r="S2555" i="2"/>
  <c r="R2555" i="2"/>
  <c r="Q2555" i="2"/>
  <c r="P2555" i="2"/>
  <c r="S2554" i="2"/>
  <c r="R2554" i="2"/>
  <c r="Q2554" i="2"/>
  <c r="P2554" i="2"/>
  <c r="S2553" i="2"/>
  <c r="R2553" i="2"/>
  <c r="Q2553" i="2"/>
  <c r="P2553" i="2"/>
  <c r="S2552" i="2"/>
  <c r="R2552" i="2"/>
  <c r="Q2552" i="2"/>
  <c r="P2552" i="2"/>
  <c r="S2551" i="2"/>
  <c r="R2551" i="2"/>
  <c r="Q2551" i="2"/>
  <c r="P2551" i="2"/>
  <c r="S2550" i="2"/>
  <c r="R2550" i="2"/>
  <c r="Q2550" i="2"/>
  <c r="P2550" i="2"/>
  <c r="S2549" i="2"/>
  <c r="R2549" i="2"/>
  <c r="Q2549" i="2"/>
  <c r="P2549" i="2"/>
  <c r="S2548" i="2"/>
  <c r="R2548" i="2"/>
  <c r="Q2548" i="2"/>
  <c r="P2548" i="2"/>
  <c r="S2547" i="2"/>
  <c r="R2547" i="2"/>
  <c r="Q2547" i="2"/>
  <c r="P2547" i="2"/>
  <c r="S2546" i="2"/>
  <c r="R2546" i="2"/>
  <c r="Q2546" i="2"/>
  <c r="P2546" i="2"/>
  <c r="S2545" i="2"/>
  <c r="R2545" i="2"/>
  <c r="Q2545" i="2"/>
  <c r="P2545" i="2"/>
  <c r="S2544" i="2"/>
  <c r="R2544" i="2"/>
  <c r="Q2544" i="2"/>
  <c r="P2544" i="2"/>
  <c r="S2543" i="2"/>
  <c r="R2543" i="2"/>
  <c r="Q2543" i="2"/>
  <c r="P2543" i="2"/>
  <c r="S2542" i="2"/>
  <c r="R2542" i="2"/>
  <c r="Q2542" i="2"/>
  <c r="P2542" i="2"/>
  <c r="S2541" i="2"/>
  <c r="R2541" i="2"/>
  <c r="Q2541" i="2"/>
  <c r="P2541" i="2"/>
  <c r="S2540" i="2"/>
  <c r="R2540" i="2"/>
  <c r="Q2540" i="2"/>
  <c r="P2540" i="2"/>
  <c r="S2539" i="2"/>
  <c r="R2539" i="2"/>
  <c r="Q2539" i="2"/>
  <c r="P2539" i="2"/>
  <c r="S2538" i="2"/>
  <c r="R2538" i="2"/>
  <c r="Q2538" i="2"/>
  <c r="P2538" i="2"/>
  <c r="S2537" i="2"/>
  <c r="R2537" i="2"/>
  <c r="Q2537" i="2"/>
  <c r="P2537" i="2"/>
  <c r="S2536" i="2"/>
  <c r="R2536" i="2"/>
  <c r="Q2536" i="2"/>
  <c r="P2536" i="2"/>
  <c r="S2535" i="2"/>
  <c r="R2535" i="2"/>
  <c r="Q2535" i="2"/>
  <c r="P2535" i="2"/>
  <c r="S2534" i="2"/>
  <c r="R2534" i="2"/>
  <c r="Q2534" i="2"/>
  <c r="P2534" i="2"/>
  <c r="S2533" i="2"/>
  <c r="R2533" i="2"/>
  <c r="Q2533" i="2"/>
  <c r="P2533" i="2"/>
  <c r="S2532" i="2"/>
  <c r="R2532" i="2"/>
  <c r="Q2532" i="2"/>
  <c r="P2532" i="2"/>
  <c r="S2531" i="2"/>
  <c r="R2531" i="2"/>
  <c r="Q2531" i="2"/>
  <c r="P2531" i="2"/>
  <c r="S2530" i="2"/>
  <c r="R2530" i="2"/>
  <c r="Q2530" i="2"/>
  <c r="P2530" i="2"/>
  <c r="S2529" i="2"/>
  <c r="R2529" i="2"/>
  <c r="Q2529" i="2"/>
  <c r="P2529" i="2"/>
  <c r="S2528" i="2"/>
  <c r="R2528" i="2"/>
  <c r="Q2528" i="2"/>
  <c r="P2528" i="2"/>
  <c r="S2527" i="2"/>
  <c r="R2527" i="2"/>
  <c r="Q2527" i="2"/>
  <c r="P2527" i="2"/>
  <c r="S2526" i="2"/>
  <c r="R2526" i="2"/>
  <c r="Q2526" i="2"/>
  <c r="P2526" i="2"/>
  <c r="S2525" i="2"/>
  <c r="R2525" i="2"/>
  <c r="Q2525" i="2"/>
  <c r="P2525" i="2"/>
  <c r="S2524" i="2"/>
  <c r="R2524" i="2"/>
  <c r="Q2524" i="2"/>
  <c r="P2524" i="2"/>
  <c r="S2523" i="2"/>
  <c r="R2523" i="2"/>
  <c r="Q2523" i="2"/>
  <c r="P2523" i="2"/>
  <c r="S2522" i="2"/>
  <c r="R2522" i="2"/>
  <c r="Q2522" i="2"/>
  <c r="P2522" i="2"/>
  <c r="S2521" i="2"/>
  <c r="R2521" i="2"/>
  <c r="Q2521" i="2"/>
  <c r="P2521" i="2"/>
  <c r="S2520" i="2"/>
  <c r="R2520" i="2"/>
  <c r="Q2520" i="2"/>
  <c r="P2520" i="2"/>
  <c r="S2519" i="2"/>
  <c r="R2519" i="2"/>
  <c r="Q2519" i="2"/>
  <c r="P2519" i="2"/>
  <c r="S2518" i="2"/>
  <c r="R2518" i="2"/>
  <c r="Q2518" i="2"/>
  <c r="P2518" i="2"/>
  <c r="S2517" i="2"/>
  <c r="R2517" i="2"/>
  <c r="Q2517" i="2"/>
  <c r="P2517" i="2"/>
  <c r="S2516" i="2"/>
  <c r="R2516" i="2"/>
  <c r="Q2516" i="2"/>
  <c r="P2516" i="2"/>
  <c r="S2515" i="2"/>
  <c r="R2515" i="2"/>
  <c r="Q2515" i="2"/>
  <c r="P2515" i="2"/>
  <c r="S2514" i="2"/>
  <c r="R2514" i="2"/>
  <c r="Q2514" i="2"/>
  <c r="P2514" i="2"/>
  <c r="S2513" i="2"/>
  <c r="R2513" i="2"/>
  <c r="Q2513" i="2"/>
  <c r="P2513" i="2"/>
  <c r="S2512" i="2"/>
  <c r="R2512" i="2"/>
  <c r="Q2512" i="2"/>
  <c r="P2512" i="2"/>
  <c r="S2511" i="2"/>
  <c r="R2511" i="2"/>
  <c r="Q2511" i="2"/>
  <c r="P2511" i="2"/>
  <c r="S2510" i="2"/>
  <c r="R2510" i="2"/>
  <c r="Q2510" i="2"/>
  <c r="P2510" i="2"/>
  <c r="S2509" i="2"/>
  <c r="R2509" i="2"/>
  <c r="Q2509" i="2"/>
  <c r="P2509" i="2"/>
  <c r="S2508" i="2"/>
  <c r="R2508" i="2"/>
  <c r="Q2508" i="2"/>
  <c r="P2508" i="2"/>
  <c r="S2507" i="2"/>
  <c r="R2507" i="2"/>
  <c r="Q2507" i="2"/>
  <c r="P2507" i="2"/>
  <c r="S2506" i="2"/>
  <c r="R2506" i="2"/>
  <c r="Q2506" i="2"/>
  <c r="P2506" i="2"/>
  <c r="S2505" i="2"/>
  <c r="R2505" i="2"/>
  <c r="Q2505" i="2"/>
  <c r="P2505" i="2"/>
  <c r="S2504" i="2"/>
  <c r="R2504" i="2"/>
  <c r="Q2504" i="2"/>
  <c r="P2504" i="2"/>
  <c r="S2503" i="2"/>
  <c r="R2503" i="2"/>
  <c r="Q2503" i="2"/>
  <c r="P2503" i="2"/>
  <c r="S2502" i="2"/>
  <c r="R2502" i="2"/>
  <c r="Q2502" i="2"/>
  <c r="P2502" i="2"/>
  <c r="S2501" i="2"/>
  <c r="R2501" i="2"/>
  <c r="Q2501" i="2"/>
  <c r="P2501" i="2"/>
  <c r="S2500" i="2"/>
  <c r="R2500" i="2"/>
  <c r="Q2500" i="2"/>
  <c r="P2500" i="2"/>
  <c r="S2499" i="2"/>
  <c r="R2499" i="2"/>
  <c r="Q2499" i="2"/>
  <c r="P2499" i="2"/>
  <c r="S2498" i="2"/>
  <c r="R2498" i="2"/>
  <c r="Q2498" i="2"/>
  <c r="P2498" i="2"/>
  <c r="S2497" i="2"/>
  <c r="R2497" i="2"/>
  <c r="Q2497" i="2"/>
  <c r="P2497" i="2"/>
  <c r="S2496" i="2"/>
  <c r="R2496" i="2"/>
  <c r="Q2496" i="2"/>
  <c r="P2496" i="2"/>
  <c r="S2495" i="2"/>
  <c r="R2495" i="2"/>
  <c r="Q2495" i="2"/>
  <c r="P2495" i="2"/>
  <c r="S2494" i="2"/>
  <c r="R2494" i="2"/>
  <c r="Q2494" i="2"/>
  <c r="P2494" i="2"/>
  <c r="S2493" i="2"/>
  <c r="R2493" i="2"/>
  <c r="Q2493" i="2"/>
  <c r="P2493" i="2"/>
  <c r="S2492" i="2"/>
  <c r="R2492" i="2"/>
  <c r="Q2492" i="2"/>
  <c r="P2492" i="2"/>
  <c r="S2491" i="2"/>
  <c r="R2491" i="2"/>
  <c r="Q2491" i="2"/>
  <c r="P2491" i="2"/>
  <c r="S2490" i="2"/>
  <c r="R2490" i="2"/>
  <c r="Q2490" i="2"/>
  <c r="P2490" i="2"/>
  <c r="S2489" i="2"/>
  <c r="R2489" i="2"/>
  <c r="Q2489" i="2"/>
  <c r="P2489" i="2"/>
  <c r="S2488" i="2"/>
  <c r="R2488" i="2"/>
  <c r="Q2488" i="2"/>
  <c r="P2488" i="2"/>
  <c r="S2487" i="2"/>
  <c r="R2487" i="2"/>
  <c r="Q2487" i="2"/>
  <c r="P2487" i="2"/>
  <c r="S2486" i="2"/>
  <c r="R2486" i="2"/>
  <c r="Q2486" i="2"/>
  <c r="P2486" i="2"/>
  <c r="S2485" i="2"/>
  <c r="R2485" i="2"/>
  <c r="Q2485" i="2"/>
  <c r="P2485" i="2"/>
  <c r="S2484" i="2"/>
  <c r="R2484" i="2"/>
  <c r="Q2484" i="2"/>
  <c r="P2484" i="2"/>
  <c r="S2483" i="2"/>
  <c r="R2483" i="2"/>
  <c r="Q2483" i="2"/>
  <c r="P2483" i="2"/>
  <c r="S2482" i="2"/>
  <c r="R2482" i="2"/>
  <c r="Q2482" i="2"/>
  <c r="P2482" i="2"/>
  <c r="S2481" i="2"/>
  <c r="R2481" i="2"/>
  <c r="Q2481" i="2"/>
  <c r="P2481" i="2"/>
  <c r="S2480" i="2"/>
  <c r="R2480" i="2"/>
  <c r="Q2480" i="2"/>
  <c r="P2480" i="2"/>
  <c r="S2479" i="2"/>
  <c r="R2479" i="2"/>
  <c r="Q2479" i="2"/>
  <c r="P2479" i="2"/>
  <c r="S2478" i="2"/>
  <c r="R2478" i="2"/>
  <c r="Q2478" i="2"/>
  <c r="P2478" i="2"/>
  <c r="S2477" i="2"/>
  <c r="R2477" i="2"/>
  <c r="Q2477" i="2"/>
  <c r="P2477" i="2"/>
  <c r="S2476" i="2"/>
  <c r="R2476" i="2"/>
  <c r="Q2476" i="2"/>
  <c r="P2476" i="2"/>
  <c r="S2475" i="2"/>
  <c r="R2475" i="2"/>
  <c r="Q2475" i="2"/>
  <c r="P2475" i="2"/>
  <c r="S2474" i="2"/>
  <c r="R2474" i="2"/>
  <c r="Q2474" i="2"/>
  <c r="P2474" i="2"/>
  <c r="S2473" i="2"/>
  <c r="R2473" i="2"/>
  <c r="Q2473" i="2"/>
  <c r="P2473" i="2"/>
  <c r="S2472" i="2"/>
  <c r="R2472" i="2"/>
  <c r="Q2472" i="2"/>
  <c r="P2472" i="2"/>
  <c r="S2471" i="2"/>
  <c r="R2471" i="2"/>
  <c r="Q2471" i="2"/>
  <c r="P2471" i="2"/>
  <c r="S2470" i="2"/>
  <c r="R2470" i="2"/>
  <c r="Q2470" i="2"/>
  <c r="P2470" i="2"/>
  <c r="S2469" i="2"/>
  <c r="R2469" i="2"/>
  <c r="Q2469" i="2"/>
  <c r="P2469" i="2"/>
  <c r="S2468" i="2"/>
  <c r="R2468" i="2"/>
  <c r="Q2468" i="2"/>
  <c r="P2468" i="2"/>
  <c r="S2467" i="2"/>
  <c r="R2467" i="2"/>
  <c r="Q2467" i="2"/>
  <c r="P2467" i="2"/>
  <c r="S2466" i="2"/>
  <c r="R2466" i="2"/>
  <c r="Q2466" i="2"/>
  <c r="P2466" i="2"/>
  <c r="S2465" i="2"/>
  <c r="R2465" i="2"/>
  <c r="Q2465" i="2"/>
  <c r="P2465" i="2"/>
  <c r="S2464" i="2"/>
  <c r="R2464" i="2"/>
  <c r="Q2464" i="2"/>
  <c r="P2464" i="2"/>
  <c r="S2463" i="2"/>
  <c r="R2463" i="2"/>
  <c r="Q2463" i="2"/>
  <c r="P2463" i="2"/>
  <c r="S2462" i="2"/>
  <c r="R2462" i="2"/>
  <c r="Q2462" i="2"/>
  <c r="P2462" i="2"/>
  <c r="S2461" i="2"/>
  <c r="R2461" i="2"/>
  <c r="Q2461" i="2"/>
  <c r="P2461" i="2"/>
  <c r="S2460" i="2"/>
  <c r="R2460" i="2"/>
  <c r="Q2460" i="2"/>
  <c r="P2460" i="2"/>
  <c r="S2459" i="2"/>
  <c r="R2459" i="2"/>
  <c r="Q2459" i="2"/>
  <c r="P2459" i="2"/>
  <c r="S2458" i="2"/>
  <c r="R2458" i="2"/>
  <c r="Q2458" i="2"/>
  <c r="P2458" i="2"/>
  <c r="S2457" i="2"/>
  <c r="R2457" i="2"/>
  <c r="Q2457" i="2"/>
  <c r="P2457" i="2"/>
  <c r="S2456" i="2"/>
  <c r="R2456" i="2"/>
  <c r="Q2456" i="2"/>
  <c r="P2456" i="2"/>
  <c r="S2455" i="2"/>
  <c r="R2455" i="2"/>
  <c r="Q2455" i="2"/>
  <c r="P2455" i="2"/>
  <c r="S2454" i="2"/>
  <c r="R2454" i="2"/>
  <c r="Q2454" i="2"/>
  <c r="P2454" i="2"/>
  <c r="S2453" i="2"/>
  <c r="R2453" i="2"/>
  <c r="Q2453" i="2"/>
  <c r="P2453" i="2"/>
  <c r="S2452" i="2"/>
  <c r="R2452" i="2"/>
  <c r="Q2452" i="2"/>
  <c r="P2452" i="2"/>
  <c r="S2451" i="2"/>
  <c r="R2451" i="2"/>
  <c r="Q2451" i="2"/>
  <c r="P2451" i="2"/>
  <c r="S2450" i="2"/>
  <c r="R2450" i="2"/>
  <c r="Q2450" i="2"/>
  <c r="P2450" i="2"/>
  <c r="S2449" i="2"/>
  <c r="R2449" i="2"/>
  <c r="Q2449" i="2"/>
  <c r="P2449" i="2"/>
  <c r="S2448" i="2"/>
  <c r="R2448" i="2"/>
  <c r="Q2448" i="2"/>
  <c r="P2448" i="2"/>
  <c r="S2447" i="2"/>
  <c r="R2447" i="2"/>
  <c r="Q2447" i="2"/>
  <c r="P2447" i="2"/>
  <c r="S2446" i="2"/>
  <c r="R2446" i="2"/>
  <c r="Q2446" i="2"/>
  <c r="P2446" i="2"/>
  <c r="S2445" i="2"/>
  <c r="R2445" i="2"/>
  <c r="Q2445" i="2"/>
  <c r="P2445" i="2"/>
  <c r="S2444" i="2"/>
  <c r="R2444" i="2"/>
  <c r="Q2444" i="2"/>
  <c r="P2444" i="2"/>
  <c r="S2443" i="2"/>
  <c r="R2443" i="2"/>
  <c r="Q2443" i="2"/>
  <c r="P2443" i="2"/>
  <c r="S2442" i="2"/>
  <c r="R2442" i="2"/>
  <c r="Q2442" i="2"/>
  <c r="P2442" i="2"/>
  <c r="S2441" i="2"/>
  <c r="R2441" i="2"/>
  <c r="Q2441" i="2"/>
  <c r="P2441" i="2"/>
  <c r="S2440" i="2"/>
  <c r="R2440" i="2"/>
  <c r="Q2440" i="2"/>
  <c r="P2440" i="2"/>
  <c r="S2439" i="2"/>
  <c r="R2439" i="2"/>
  <c r="Q2439" i="2"/>
  <c r="P2439" i="2"/>
  <c r="S2438" i="2"/>
  <c r="R2438" i="2"/>
  <c r="Q2438" i="2"/>
  <c r="P2438" i="2"/>
  <c r="S2437" i="2"/>
  <c r="R2437" i="2"/>
  <c r="Q2437" i="2"/>
  <c r="P2437" i="2"/>
  <c r="S2436" i="2"/>
  <c r="R2436" i="2"/>
  <c r="Q2436" i="2"/>
  <c r="P2436" i="2"/>
  <c r="S2435" i="2"/>
  <c r="R2435" i="2"/>
  <c r="Q2435" i="2"/>
  <c r="P2435" i="2"/>
  <c r="S2434" i="2"/>
  <c r="R2434" i="2"/>
  <c r="Q2434" i="2"/>
  <c r="P2434" i="2"/>
  <c r="S2433" i="2"/>
  <c r="R2433" i="2"/>
  <c r="Q2433" i="2"/>
  <c r="P2433" i="2"/>
  <c r="S2432" i="2"/>
  <c r="R2432" i="2"/>
  <c r="Q2432" i="2"/>
  <c r="P2432" i="2"/>
  <c r="S2431" i="2"/>
  <c r="R2431" i="2"/>
  <c r="Q2431" i="2"/>
  <c r="P2431" i="2"/>
  <c r="S2430" i="2"/>
  <c r="R2430" i="2"/>
  <c r="Q2430" i="2"/>
  <c r="P2430" i="2"/>
  <c r="S2429" i="2"/>
  <c r="R2429" i="2"/>
  <c r="Q2429" i="2"/>
  <c r="P2429" i="2"/>
  <c r="S2428" i="2"/>
  <c r="R2428" i="2"/>
  <c r="Q2428" i="2"/>
  <c r="P2428" i="2"/>
  <c r="S2427" i="2"/>
  <c r="R2427" i="2"/>
  <c r="Q2427" i="2"/>
  <c r="P2427" i="2"/>
  <c r="S2426" i="2"/>
  <c r="R2426" i="2"/>
  <c r="Q2426" i="2"/>
  <c r="P2426" i="2"/>
  <c r="S2425" i="2"/>
  <c r="R2425" i="2"/>
  <c r="Q2425" i="2"/>
  <c r="P2425" i="2"/>
  <c r="S2424" i="2"/>
  <c r="R2424" i="2"/>
  <c r="Q2424" i="2"/>
  <c r="P2424" i="2"/>
  <c r="S2423" i="2"/>
  <c r="R2423" i="2"/>
  <c r="Q2423" i="2"/>
  <c r="P2423" i="2"/>
  <c r="S2422" i="2"/>
  <c r="R2422" i="2"/>
  <c r="Q2422" i="2"/>
  <c r="P2422" i="2"/>
  <c r="S2421" i="2"/>
  <c r="R2421" i="2"/>
  <c r="Q2421" i="2"/>
  <c r="P2421" i="2"/>
  <c r="S2420" i="2"/>
  <c r="R2420" i="2"/>
  <c r="Q2420" i="2"/>
  <c r="P2420" i="2"/>
  <c r="S2419" i="2"/>
  <c r="R2419" i="2"/>
  <c r="Q2419" i="2"/>
  <c r="P2419" i="2"/>
  <c r="S2418" i="2"/>
  <c r="R2418" i="2"/>
  <c r="Q2418" i="2"/>
  <c r="P2418" i="2"/>
  <c r="S2417" i="2"/>
  <c r="R2417" i="2"/>
  <c r="Q2417" i="2"/>
  <c r="P2417" i="2"/>
  <c r="S2416" i="2"/>
  <c r="R2416" i="2"/>
  <c r="Q2416" i="2"/>
  <c r="P2416" i="2"/>
  <c r="S2415" i="2"/>
  <c r="R2415" i="2"/>
  <c r="Q2415" i="2"/>
  <c r="P2415" i="2"/>
  <c r="S2414" i="2"/>
  <c r="R2414" i="2"/>
  <c r="Q2414" i="2"/>
  <c r="P2414" i="2"/>
  <c r="S2413" i="2"/>
  <c r="R2413" i="2"/>
  <c r="Q2413" i="2"/>
  <c r="P2413" i="2"/>
  <c r="S2412" i="2"/>
  <c r="R2412" i="2"/>
  <c r="Q2412" i="2"/>
  <c r="P2412" i="2"/>
  <c r="S2411" i="2"/>
  <c r="R2411" i="2"/>
  <c r="Q2411" i="2"/>
  <c r="P2411" i="2"/>
  <c r="S2410" i="2"/>
  <c r="R2410" i="2"/>
  <c r="Q2410" i="2"/>
  <c r="P2410" i="2"/>
  <c r="S2409" i="2"/>
  <c r="R2409" i="2"/>
  <c r="Q2409" i="2"/>
  <c r="P2409" i="2"/>
  <c r="S2408" i="2"/>
  <c r="R2408" i="2"/>
  <c r="Q2408" i="2"/>
  <c r="P2408" i="2"/>
  <c r="S2407" i="2"/>
  <c r="R2407" i="2"/>
  <c r="Q2407" i="2"/>
  <c r="P2407" i="2"/>
  <c r="S2406" i="2"/>
  <c r="R2406" i="2"/>
  <c r="Q2406" i="2"/>
  <c r="P2406" i="2"/>
  <c r="S2405" i="2"/>
  <c r="R2405" i="2"/>
  <c r="Q2405" i="2"/>
  <c r="P2405" i="2"/>
  <c r="S2404" i="2"/>
  <c r="R2404" i="2"/>
  <c r="Q2404" i="2"/>
  <c r="P2404" i="2"/>
  <c r="S2403" i="2"/>
  <c r="R2403" i="2"/>
  <c r="Q2403" i="2"/>
  <c r="P2403" i="2"/>
  <c r="S2402" i="2"/>
  <c r="R2402" i="2"/>
  <c r="Q2402" i="2"/>
  <c r="P2402" i="2"/>
  <c r="S2401" i="2"/>
  <c r="R2401" i="2"/>
  <c r="Q2401" i="2"/>
  <c r="P2401" i="2"/>
  <c r="S2400" i="2"/>
  <c r="R2400" i="2"/>
  <c r="Q2400" i="2"/>
  <c r="P2400" i="2"/>
  <c r="S2399" i="2"/>
  <c r="R2399" i="2"/>
  <c r="Q2399" i="2"/>
  <c r="P2399" i="2"/>
  <c r="S2398" i="2"/>
  <c r="R2398" i="2"/>
  <c r="Q2398" i="2"/>
  <c r="P2398" i="2"/>
  <c r="S2397" i="2"/>
  <c r="R2397" i="2"/>
  <c r="Q2397" i="2"/>
  <c r="P2397" i="2"/>
  <c r="S2396" i="2"/>
  <c r="R2396" i="2"/>
  <c r="Q2396" i="2"/>
  <c r="P2396" i="2"/>
  <c r="S2395" i="2"/>
  <c r="R2395" i="2"/>
  <c r="Q2395" i="2"/>
  <c r="P2395" i="2"/>
  <c r="S2394" i="2"/>
  <c r="R2394" i="2"/>
  <c r="Q2394" i="2"/>
  <c r="P2394" i="2"/>
  <c r="S2393" i="2"/>
  <c r="R2393" i="2"/>
  <c r="Q2393" i="2"/>
  <c r="P2393" i="2"/>
  <c r="S2392" i="2"/>
  <c r="R2392" i="2"/>
  <c r="Q2392" i="2"/>
  <c r="P2392" i="2"/>
  <c r="S2391" i="2"/>
  <c r="R2391" i="2"/>
  <c r="Q2391" i="2"/>
  <c r="P2391" i="2"/>
  <c r="S2390" i="2"/>
  <c r="R2390" i="2"/>
  <c r="Q2390" i="2"/>
  <c r="P2390" i="2"/>
  <c r="S2389" i="2"/>
  <c r="R2389" i="2"/>
  <c r="Q2389" i="2"/>
  <c r="P2389" i="2"/>
  <c r="S2388" i="2"/>
  <c r="R2388" i="2"/>
  <c r="Q2388" i="2"/>
  <c r="P2388" i="2"/>
  <c r="S2387" i="2"/>
  <c r="R2387" i="2"/>
  <c r="Q2387" i="2"/>
  <c r="P2387" i="2"/>
  <c r="S2386" i="2"/>
  <c r="R2386" i="2"/>
  <c r="Q2386" i="2"/>
  <c r="P2386" i="2"/>
  <c r="S2385" i="2"/>
  <c r="R2385" i="2"/>
  <c r="Q2385" i="2"/>
  <c r="P2385" i="2"/>
  <c r="S2384" i="2"/>
  <c r="R2384" i="2"/>
  <c r="Q2384" i="2"/>
  <c r="P2384" i="2"/>
  <c r="S2383" i="2"/>
  <c r="R2383" i="2"/>
  <c r="Q2383" i="2"/>
  <c r="P2383" i="2"/>
  <c r="S2382" i="2"/>
  <c r="R2382" i="2"/>
  <c r="Q2382" i="2"/>
  <c r="P2382" i="2"/>
  <c r="S2381" i="2"/>
  <c r="R2381" i="2"/>
  <c r="Q2381" i="2"/>
  <c r="P2381" i="2"/>
  <c r="S2380" i="2"/>
  <c r="R2380" i="2"/>
  <c r="Q2380" i="2"/>
  <c r="P2380" i="2"/>
  <c r="S2379" i="2"/>
  <c r="R2379" i="2"/>
  <c r="Q2379" i="2"/>
  <c r="P2379" i="2"/>
  <c r="S2378" i="2"/>
  <c r="R2378" i="2"/>
  <c r="Q2378" i="2"/>
  <c r="P2378" i="2"/>
  <c r="S2377" i="2"/>
  <c r="R2377" i="2"/>
  <c r="Q2377" i="2"/>
  <c r="P2377" i="2"/>
  <c r="S2376" i="2"/>
  <c r="R2376" i="2"/>
  <c r="Q2376" i="2"/>
  <c r="P2376" i="2"/>
  <c r="S2375" i="2"/>
  <c r="R2375" i="2"/>
  <c r="Q2375" i="2"/>
  <c r="P2375" i="2"/>
  <c r="S2374" i="2"/>
  <c r="R2374" i="2"/>
  <c r="Q2374" i="2"/>
  <c r="P2374" i="2"/>
  <c r="S2373" i="2"/>
  <c r="R2373" i="2"/>
  <c r="Q2373" i="2"/>
  <c r="P2373" i="2"/>
  <c r="S2372" i="2"/>
  <c r="R2372" i="2"/>
  <c r="Q2372" i="2"/>
  <c r="P2372" i="2"/>
  <c r="S2371" i="2"/>
  <c r="R2371" i="2"/>
  <c r="Q2371" i="2"/>
  <c r="P2371" i="2"/>
  <c r="S2370" i="2"/>
  <c r="R2370" i="2"/>
  <c r="Q2370" i="2"/>
  <c r="P2370" i="2"/>
  <c r="S2369" i="2"/>
  <c r="R2369" i="2"/>
  <c r="Q2369" i="2"/>
  <c r="P2369" i="2"/>
  <c r="S2368" i="2"/>
  <c r="R2368" i="2"/>
  <c r="Q2368" i="2"/>
  <c r="P2368" i="2"/>
  <c r="S2367" i="2"/>
  <c r="R2367" i="2"/>
  <c r="Q2367" i="2"/>
  <c r="P2367" i="2"/>
  <c r="S2366" i="2"/>
  <c r="R2366" i="2"/>
  <c r="Q2366" i="2"/>
  <c r="P2366" i="2"/>
  <c r="S2365" i="2"/>
  <c r="R2365" i="2"/>
  <c r="Q2365" i="2"/>
  <c r="P2365" i="2"/>
  <c r="S2364" i="2"/>
  <c r="R2364" i="2"/>
  <c r="Q2364" i="2"/>
  <c r="P2364" i="2"/>
  <c r="S2363" i="2"/>
  <c r="R2363" i="2"/>
  <c r="Q2363" i="2"/>
  <c r="P2363" i="2"/>
  <c r="S2362" i="2"/>
  <c r="R2362" i="2"/>
  <c r="Q2362" i="2"/>
  <c r="P2362" i="2"/>
  <c r="S2361" i="2"/>
  <c r="R2361" i="2"/>
  <c r="Q2361" i="2"/>
  <c r="P2361" i="2"/>
  <c r="S2360" i="2"/>
  <c r="R2360" i="2"/>
  <c r="Q2360" i="2"/>
  <c r="P2360" i="2"/>
  <c r="S2359" i="2"/>
  <c r="R2359" i="2"/>
  <c r="Q2359" i="2"/>
  <c r="P2359" i="2"/>
  <c r="S2358" i="2"/>
  <c r="R2358" i="2"/>
  <c r="Q2358" i="2"/>
  <c r="P2358" i="2"/>
  <c r="S2357" i="2"/>
  <c r="R2357" i="2"/>
  <c r="Q2357" i="2"/>
  <c r="P2357" i="2"/>
  <c r="S2356" i="2"/>
  <c r="R2356" i="2"/>
  <c r="Q2356" i="2"/>
  <c r="P2356" i="2"/>
  <c r="S2355" i="2"/>
  <c r="R2355" i="2"/>
  <c r="Q2355" i="2"/>
  <c r="P2355" i="2"/>
  <c r="S2354" i="2"/>
  <c r="R2354" i="2"/>
  <c r="Q2354" i="2"/>
  <c r="P2354" i="2"/>
  <c r="S2353" i="2"/>
  <c r="R2353" i="2"/>
  <c r="Q2353" i="2"/>
  <c r="P2353" i="2"/>
  <c r="S2352" i="2"/>
  <c r="R2352" i="2"/>
  <c r="Q2352" i="2"/>
  <c r="P2352" i="2"/>
  <c r="S2351" i="2"/>
  <c r="R2351" i="2"/>
  <c r="Q2351" i="2"/>
  <c r="P2351" i="2"/>
  <c r="S2350" i="2"/>
  <c r="R2350" i="2"/>
  <c r="Q2350" i="2"/>
  <c r="P2350" i="2"/>
  <c r="S2349" i="2"/>
  <c r="R2349" i="2"/>
  <c r="Q2349" i="2"/>
  <c r="P2349" i="2"/>
  <c r="S2348" i="2"/>
  <c r="R2348" i="2"/>
  <c r="Q2348" i="2"/>
  <c r="P2348" i="2"/>
  <c r="S2347" i="2"/>
  <c r="R2347" i="2"/>
  <c r="Q2347" i="2"/>
  <c r="P2347" i="2"/>
  <c r="S2346" i="2"/>
  <c r="R2346" i="2"/>
  <c r="Q2346" i="2"/>
  <c r="P2346" i="2"/>
  <c r="S2345" i="2"/>
  <c r="R2345" i="2"/>
  <c r="Q2345" i="2"/>
  <c r="P2345" i="2"/>
  <c r="S2344" i="2"/>
  <c r="R2344" i="2"/>
  <c r="Q2344" i="2"/>
  <c r="P2344" i="2"/>
  <c r="S2343" i="2"/>
  <c r="R2343" i="2"/>
  <c r="Q2343" i="2"/>
  <c r="P2343" i="2"/>
  <c r="S2342" i="2"/>
  <c r="R2342" i="2"/>
  <c r="Q2342" i="2"/>
  <c r="P2342" i="2"/>
  <c r="S2341" i="2"/>
  <c r="R2341" i="2"/>
  <c r="Q2341" i="2"/>
  <c r="P2341" i="2"/>
  <c r="S2340" i="2"/>
  <c r="R2340" i="2"/>
  <c r="Q2340" i="2"/>
  <c r="P2340" i="2"/>
  <c r="S2339" i="2"/>
  <c r="R2339" i="2"/>
  <c r="Q2339" i="2"/>
  <c r="P2339" i="2"/>
  <c r="S2338" i="2"/>
  <c r="R2338" i="2"/>
  <c r="Q2338" i="2"/>
  <c r="P2338" i="2"/>
  <c r="S2337" i="2"/>
  <c r="R2337" i="2"/>
  <c r="Q2337" i="2"/>
  <c r="P2337" i="2"/>
  <c r="S2336" i="2"/>
  <c r="R2336" i="2"/>
  <c r="Q2336" i="2"/>
  <c r="P2336" i="2"/>
  <c r="S2335" i="2"/>
  <c r="R2335" i="2"/>
  <c r="Q2335" i="2"/>
  <c r="P2335" i="2"/>
  <c r="S2334" i="2"/>
  <c r="R2334" i="2"/>
  <c r="Q2334" i="2"/>
  <c r="P2334" i="2"/>
  <c r="S2333" i="2"/>
  <c r="R2333" i="2"/>
  <c r="Q2333" i="2"/>
  <c r="P2333" i="2"/>
  <c r="S2332" i="2"/>
  <c r="R2332" i="2"/>
  <c r="Q2332" i="2"/>
  <c r="P2332" i="2"/>
  <c r="S2331" i="2"/>
  <c r="R2331" i="2"/>
  <c r="Q2331" i="2"/>
  <c r="P2331" i="2"/>
  <c r="S2330" i="2"/>
  <c r="R2330" i="2"/>
  <c r="Q2330" i="2"/>
  <c r="P2330" i="2"/>
  <c r="S2329" i="2"/>
  <c r="R2329" i="2"/>
  <c r="Q2329" i="2"/>
  <c r="P2329" i="2"/>
  <c r="S2328" i="2"/>
  <c r="R2328" i="2"/>
  <c r="Q2328" i="2"/>
  <c r="P2328" i="2"/>
  <c r="S2327" i="2"/>
  <c r="R2327" i="2"/>
  <c r="Q2327" i="2"/>
  <c r="P2327" i="2"/>
  <c r="S2326" i="2"/>
  <c r="R2326" i="2"/>
  <c r="Q2326" i="2"/>
  <c r="P2326" i="2"/>
  <c r="S2325" i="2"/>
  <c r="R2325" i="2"/>
  <c r="Q2325" i="2"/>
  <c r="P2325" i="2"/>
  <c r="S2324" i="2"/>
  <c r="R2324" i="2"/>
  <c r="Q2324" i="2"/>
  <c r="P2324" i="2"/>
  <c r="S2323" i="2"/>
  <c r="R2323" i="2"/>
  <c r="Q2323" i="2"/>
  <c r="P2323" i="2"/>
  <c r="S2322" i="2"/>
  <c r="R2322" i="2"/>
  <c r="Q2322" i="2"/>
  <c r="P2322" i="2"/>
  <c r="S2321" i="2"/>
  <c r="R2321" i="2"/>
  <c r="Q2321" i="2"/>
  <c r="P2321" i="2"/>
  <c r="S2320" i="2"/>
  <c r="R2320" i="2"/>
  <c r="Q2320" i="2"/>
  <c r="P2320" i="2"/>
  <c r="S2319" i="2"/>
  <c r="R2319" i="2"/>
  <c r="Q2319" i="2"/>
  <c r="P2319" i="2"/>
  <c r="S2318" i="2"/>
  <c r="R2318" i="2"/>
  <c r="Q2318" i="2"/>
  <c r="P2318" i="2"/>
  <c r="S2317" i="2"/>
  <c r="R2317" i="2"/>
  <c r="Q2317" i="2"/>
  <c r="P2317" i="2"/>
  <c r="S2316" i="2"/>
  <c r="R2316" i="2"/>
  <c r="Q2316" i="2"/>
  <c r="P2316" i="2"/>
  <c r="S2315" i="2"/>
  <c r="R2315" i="2"/>
  <c r="Q2315" i="2"/>
  <c r="P2315" i="2"/>
  <c r="S2314" i="2"/>
  <c r="R2314" i="2"/>
  <c r="Q2314" i="2"/>
  <c r="P2314" i="2"/>
  <c r="S2313" i="2"/>
  <c r="R2313" i="2"/>
  <c r="Q2313" i="2"/>
  <c r="P2313" i="2"/>
  <c r="S2312" i="2"/>
  <c r="R2312" i="2"/>
  <c r="Q2312" i="2"/>
  <c r="P2312" i="2"/>
  <c r="S2311" i="2"/>
  <c r="R2311" i="2"/>
  <c r="Q2311" i="2"/>
  <c r="P2311" i="2"/>
  <c r="S2310" i="2"/>
  <c r="R2310" i="2"/>
  <c r="Q2310" i="2"/>
  <c r="P2310" i="2"/>
  <c r="S2309" i="2"/>
  <c r="R2309" i="2"/>
  <c r="Q2309" i="2"/>
  <c r="P2309" i="2"/>
  <c r="S2308" i="2"/>
  <c r="R2308" i="2"/>
  <c r="Q2308" i="2"/>
  <c r="P2308" i="2"/>
  <c r="S2307" i="2"/>
  <c r="R2307" i="2"/>
  <c r="Q2307" i="2"/>
  <c r="P2307" i="2"/>
  <c r="S2306" i="2"/>
  <c r="R2306" i="2"/>
  <c r="Q2306" i="2"/>
  <c r="P2306" i="2"/>
  <c r="S2305" i="2"/>
  <c r="R2305" i="2"/>
  <c r="Q2305" i="2"/>
  <c r="P2305" i="2"/>
  <c r="S2304" i="2"/>
  <c r="R2304" i="2"/>
  <c r="Q2304" i="2"/>
  <c r="P2304" i="2"/>
  <c r="S2303" i="2"/>
  <c r="R2303" i="2"/>
  <c r="Q2303" i="2"/>
  <c r="P2303" i="2"/>
  <c r="S2302" i="2"/>
  <c r="R2302" i="2"/>
  <c r="Q2302" i="2"/>
  <c r="P2302" i="2"/>
  <c r="S2301" i="2"/>
  <c r="R2301" i="2"/>
  <c r="Q2301" i="2"/>
  <c r="P2301" i="2"/>
  <c r="S2300" i="2"/>
  <c r="R2300" i="2"/>
  <c r="Q2300" i="2"/>
  <c r="P2300" i="2"/>
  <c r="S2299" i="2"/>
  <c r="R2299" i="2"/>
  <c r="Q2299" i="2"/>
  <c r="P2299" i="2"/>
  <c r="S2298" i="2"/>
  <c r="R2298" i="2"/>
  <c r="Q2298" i="2"/>
  <c r="P2298" i="2"/>
  <c r="S2297" i="2"/>
  <c r="R2297" i="2"/>
  <c r="Q2297" i="2"/>
  <c r="P2297" i="2"/>
  <c r="S2296" i="2"/>
  <c r="R2296" i="2"/>
  <c r="Q2296" i="2"/>
  <c r="P2296" i="2"/>
  <c r="S2295" i="2"/>
  <c r="R2295" i="2"/>
  <c r="Q2295" i="2"/>
  <c r="P2295" i="2"/>
  <c r="S2294" i="2"/>
  <c r="R2294" i="2"/>
  <c r="Q2294" i="2"/>
  <c r="P2294" i="2"/>
  <c r="S2293" i="2"/>
  <c r="R2293" i="2"/>
  <c r="Q2293" i="2"/>
  <c r="P2293" i="2"/>
  <c r="S2292" i="2"/>
  <c r="R2292" i="2"/>
  <c r="Q2292" i="2"/>
  <c r="P2292" i="2"/>
  <c r="S2291" i="2"/>
  <c r="R2291" i="2"/>
  <c r="Q2291" i="2"/>
  <c r="P2291" i="2"/>
  <c r="S2290" i="2"/>
  <c r="R2290" i="2"/>
  <c r="Q2290" i="2"/>
  <c r="P2290" i="2"/>
  <c r="S2289" i="2"/>
  <c r="R2289" i="2"/>
  <c r="Q2289" i="2"/>
  <c r="P2289" i="2"/>
  <c r="S2288" i="2"/>
  <c r="R2288" i="2"/>
  <c r="Q2288" i="2"/>
  <c r="P2288" i="2"/>
  <c r="S2287" i="2"/>
  <c r="R2287" i="2"/>
  <c r="Q2287" i="2"/>
  <c r="P2287" i="2"/>
  <c r="S2286" i="2"/>
  <c r="R2286" i="2"/>
  <c r="Q2286" i="2"/>
  <c r="P2286" i="2"/>
  <c r="S2285" i="2"/>
  <c r="R2285" i="2"/>
  <c r="Q2285" i="2"/>
  <c r="P2285" i="2"/>
  <c r="S2284" i="2"/>
  <c r="R2284" i="2"/>
  <c r="Q2284" i="2"/>
  <c r="P2284" i="2"/>
  <c r="S2283" i="2"/>
  <c r="R2283" i="2"/>
  <c r="Q2283" i="2"/>
  <c r="P2283" i="2"/>
  <c r="S2282" i="2"/>
  <c r="R2282" i="2"/>
  <c r="Q2282" i="2"/>
  <c r="P2282" i="2"/>
  <c r="S2281" i="2"/>
  <c r="R2281" i="2"/>
  <c r="Q2281" i="2"/>
  <c r="P2281" i="2"/>
  <c r="S2280" i="2"/>
  <c r="R2280" i="2"/>
  <c r="Q2280" i="2"/>
  <c r="P2280" i="2"/>
  <c r="S2279" i="2"/>
  <c r="R2279" i="2"/>
  <c r="Q2279" i="2"/>
  <c r="P2279" i="2"/>
  <c r="S2278" i="2"/>
  <c r="R2278" i="2"/>
  <c r="Q2278" i="2"/>
  <c r="P2278" i="2"/>
  <c r="S2277" i="2"/>
  <c r="R2277" i="2"/>
  <c r="Q2277" i="2"/>
  <c r="P2277" i="2"/>
  <c r="S2276" i="2"/>
  <c r="R2276" i="2"/>
  <c r="Q2276" i="2"/>
  <c r="P2276" i="2"/>
  <c r="S2275" i="2"/>
  <c r="R2275" i="2"/>
  <c r="Q2275" i="2"/>
  <c r="P2275" i="2"/>
  <c r="S2274" i="2"/>
  <c r="R2274" i="2"/>
  <c r="Q2274" i="2"/>
  <c r="P2274" i="2"/>
  <c r="S2273" i="2"/>
  <c r="R2273" i="2"/>
  <c r="Q2273" i="2"/>
  <c r="P2273" i="2"/>
  <c r="S2272" i="2"/>
  <c r="R2272" i="2"/>
  <c r="Q2272" i="2"/>
  <c r="P2272" i="2"/>
  <c r="S2271" i="2"/>
  <c r="R2271" i="2"/>
  <c r="Q2271" i="2"/>
  <c r="P2271" i="2"/>
  <c r="S2270" i="2"/>
  <c r="R2270" i="2"/>
  <c r="Q2270" i="2"/>
  <c r="P2270" i="2"/>
  <c r="S2269" i="2"/>
  <c r="R2269" i="2"/>
  <c r="Q2269" i="2"/>
  <c r="P2269" i="2"/>
  <c r="S2268" i="2"/>
  <c r="R2268" i="2"/>
  <c r="Q2268" i="2"/>
  <c r="P2268" i="2"/>
  <c r="S2267" i="2"/>
  <c r="R2267" i="2"/>
  <c r="Q2267" i="2"/>
  <c r="P2267" i="2"/>
  <c r="S2266" i="2"/>
  <c r="R2266" i="2"/>
  <c r="Q2266" i="2"/>
  <c r="P2266" i="2"/>
  <c r="S2265" i="2"/>
  <c r="R2265" i="2"/>
  <c r="Q2265" i="2"/>
  <c r="P2265" i="2"/>
  <c r="S2264" i="2"/>
  <c r="R2264" i="2"/>
  <c r="Q2264" i="2"/>
  <c r="P2264" i="2"/>
  <c r="S2263" i="2"/>
  <c r="R2263" i="2"/>
  <c r="Q2263" i="2"/>
  <c r="P2263" i="2"/>
  <c r="S2262" i="2"/>
  <c r="R2262" i="2"/>
  <c r="Q2262" i="2"/>
  <c r="P2262" i="2"/>
  <c r="S2261" i="2"/>
  <c r="R2261" i="2"/>
  <c r="Q2261" i="2"/>
  <c r="P2261" i="2"/>
  <c r="S2260" i="2"/>
  <c r="R2260" i="2"/>
  <c r="Q2260" i="2"/>
  <c r="P2260" i="2"/>
  <c r="S2259" i="2"/>
  <c r="R2259" i="2"/>
  <c r="Q2259" i="2"/>
  <c r="P2259" i="2"/>
  <c r="S2258" i="2"/>
  <c r="R2258" i="2"/>
  <c r="Q2258" i="2"/>
  <c r="P2258" i="2"/>
  <c r="S2257" i="2"/>
  <c r="R2257" i="2"/>
  <c r="Q2257" i="2"/>
  <c r="P2257" i="2"/>
  <c r="S2256" i="2"/>
  <c r="R2256" i="2"/>
  <c r="Q2256" i="2"/>
  <c r="P2256" i="2"/>
  <c r="S2255" i="2"/>
  <c r="R2255" i="2"/>
  <c r="Q2255" i="2"/>
  <c r="P2255" i="2"/>
  <c r="S2254" i="2"/>
  <c r="R2254" i="2"/>
  <c r="Q2254" i="2"/>
  <c r="P2254" i="2"/>
  <c r="S2253" i="2"/>
  <c r="R2253" i="2"/>
  <c r="Q2253" i="2"/>
  <c r="P2253" i="2"/>
  <c r="S2252" i="2"/>
  <c r="R2252" i="2"/>
  <c r="Q2252" i="2"/>
  <c r="P2252" i="2"/>
  <c r="S2251" i="2"/>
  <c r="R2251" i="2"/>
  <c r="Q2251" i="2"/>
  <c r="P2251" i="2"/>
  <c r="S2250" i="2"/>
  <c r="R2250" i="2"/>
  <c r="Q2250" i="2"/>
  <c r="P2250" i="2"/>
  <c r="S2249" i="2"/>
  <c r="R2249" i="2"/>
  <c r="Q2249" i="2"/>
  <c r="P2249" i="2"/>
  <c r="S2248" i="2"/>
  <c r="R2248" i="2"/>
  <c r="Q2248" i="2"/>
  <c r="P2248" i="2"/>
  <c r="S2247" i="2"/>
  <c r="R2247" i="2"/>
  <c r="Q2247" i="2"/>
  <c r="P2247" i="2"/>
  <c r="S2246" i="2"/>
  <c r="R2246" i="2"/>
  <c r="Q2246" i="2"/>
  <c r="P2246" i="2"/>
  <c r="S2245" i="2"/>
  <c r="R2245" i="2"/>
  <c r="Q2245" i="2"/>
  <c r="P2245" i="2"/>
  <c r="S2244" i="2"/>
  <c r="R2244" i="2"/>
  <c r="Q2244" i="2"/>
  <c r="P2244" i="2"/>
  <c r="S2243" i="2"/>
  <c r="R2243" i="2"/>
  <c r="Q2243" i="2"/>
  <c r="P2243" i="2"/>
  <c r="S2242" i="2"/>
  <c r="R2242" i="2"/>
  <c r="Q2242" i="2"/>
  <c r="P2242" i="2"/>
  <c r="S2241" i="2"/>
  <c r="R2241" i="2"/>
  <c r="Q2241" i="2"/>
  <c r="P2241" i="2"/>
  <c r="S2240" i="2"/>
  <c r="R2240" i="2"/>
  <c r="Q2240" i="2"/>
  <c r="P2240" i="2"/>
  <c r="S2239" i="2"/>
  <c r="R2239" i="2"/>
  <c r="Q2239" i="2"/>
  <c r="P2239" i="2"/>
  <c r="S2238" i="2"/>
  <c r="R2238" i="2"/>
  <c r="Q2238" i="2"/>
  <c r="P2238" i="2"/>
  <c r="S2237" i="2"/>
  <c r="R2237" i="2"/>
  <c r="Q2237" i="2"/>
  <c r="P2237" i="2"/>
  <c r="S2236" i="2"/>
  <c r="R2236" i="2"/>
  <c r="Q2236" i="2"/>
  <c r="P2236" i="2"/>
  <c r="S2235" i="2"/>
  <c r="R2235" i="2"/>
  <c r="Q2235" i="2"/>
  <c r="P2235" i="2"/>
  <c r="S2234" i="2"/>
  <c r="R2234" i="2"/>
  <c r="Q2234" i="2"/>
  <c r="P2234" i="2"/>
  <c r="S2233" i="2"/>
  <c r="R2233" i="2"/>
  <c r="Q2233" i="2"/>
  <c r="P2233" i="2"/>
  <c r="S2232" i="2"/>
  <c r="R2232" i="2"/>
  <c r="Q2232" i="2"/>
  <c r="P2232" i="2"/>
  <c r="S2231" i="2"/>
  <c r="R2231" i="2"/>
  <c r="Q2231" i="2"/>
  <c r="P2231" i="2"/>
  <c r="S2230" i="2"/>
  <c r="R2230" i="2"/>
  <c r="Q2230" i="2"/>
  <c r="P2230" i="2"/>
  <c r="S2229" i="2"/>
  <c r="R2229" i="2"/>
  <c r="Q2229" i="2"/>
  <c r="P2229" i="2"/>
  <c r="S2228" i="2"/>
  <c r="R2228" i="2"/>
  <c r="Q2228" i="2"/>
  <c r="P2228" i="2"/>
  <c r="S2227" i="2"/>
  <c r="R2227" i="2"/>
  <c r="Q2227" i="2"/>
  <c r="P2227" i="2"/>
  <c r="S2226" i="2"/>
  <c r="R2226" i="2"/>
  <c r="Q2226" i="2"/>
  <c r="P2226" i="2"/>
  <c r="S2225" i="2"/>
  <c r="R2225" i="2"/>
  <c r="Q2225" i="2"/>
  <c r="P2225" i="2"/>
  <c r="S2224" i="2"/>
  <c r="R2224" i="2"/>
  <c r="Q2224" i="2"/>
  <c r="P2224" i="2"/>
  <c r="S2223" i="2"/>
  <c r="R2223" i="2"/>
  <c r="Q2223" i="2"/>
  <c r="P2223" i="2"/>
  <c r="S2222" i="2"/>
  <c r="R2222" i="2"/>
  <c r="Q2222" i="2"/>
  <c r="P2222" i="2"/>
  <c r="S2221" i="2"/>
  <c r="R2221" i="2"/>
  <c r="Q2221" i="2"/>
  <c r="P2221" i="2"/>
  <c r="S2220" i="2"/>
  <c r="R2220" i="2"/>
  <c r="Q2220" i="2"/>
  <c r="P2220" i="2"/>
  <c r="S2219" i="2"/>
  <c r="R2219" i="2"/>
  <c r="Q2219" i="2"/>
  <c r="P2219" i="2"/>
  <c r="S2218" i="2"/>
  <c r="R2218" i="2"/>
  <c r="Q2218" i="2"/>
  <c r="P2218" i="2"/>
  <c r="S2217" i="2"/>
  <c r="R2217" i="2"/>
  <c r="Q2217" i="2"/>
  <c r="P2217" i="2"/>
  <c r="S2216" i="2"/>
  <c r="R2216" i="2"/>
  <c r="Q2216" i="2"/>
  <c r="P2216" i="2"/>
  <c r="S2215" i="2"/>
  <c r="R2215" i="2"/>
  <c r="Q2215" i="2"/>
  <c r="P2215" i="2"/>
  <c r="S2214" i="2"/>
  <c r="R2214" i="2"/>
  <c r="Q2214" i="2"/>
  <c r="P2214" i="2"/>
  <c r="S2213" i="2"/>
  <c r="R2213" i="2"/>
  <c r="Q2213" i="2"/>
  <c r="P2213" i="2"/>
  <c r="S2212" i="2"/>
  <c r="R2212" i="2"/>
  <c r="Q2212" i="2"/>
  <c r="P2212" i="2"/>
  <c r="S2211" i="2"/>
  <c r="R2211" i="2"/>
  <c r="Q2211" i="2"/>
  <c r="P2211" i="2"/>
  <c r="S2210" i="2"/>
  <c r="R2210" i="2"/>
  <c r="Q2210" i="2"/>
  <c r="P2210" i="2"/>
  <c r="S2209" i="2"/>
  <c r="R2209" i="2"/>
  <c r="Q2209" i="2"/>
  <c r="P2209" i="2"/>
  <c r="S2208" i="2"/>
  <c r="R2208" i="2"/>
  <c r="Q2208" i="2"/>
  <c r="P2208" i="2"/>
  <c r="S2207" i="2"/>
  <c r="R2207" i="2"/>
  <c r="Q2207" i="2"/>
  <c r="P2207" i="2"/>
  <c r="S2206" i="2"/>
  <c r="R2206" i="2"/>
  <c r="Q2206" i="2"/>
  <c r="P2206" i="2"/>
  <c r="S2205" i="2"/>
  <c r="R2205" i="2"/>
  <c r="Q2205" i="2"/>
  <c r="P2205" i="2"/>
  <c r="S2204" i="2"/>
  <c r="R2204" i="2"/>
  <c r="Q2204" i="2"/>
  <c r="P2204" i="2"/>
  <c r="S2203" i="2"/>
  <c r="R2203" i="2"/>
  <c r="Q2203" i="2"/>
  <c r="P2203" i="2"/>
  <c r="S2202" i="2"/>
  <c r="R2202" i="2"/>
  <c r="Q2202" i="2"/>
  <c r="P2202" i="2"/>
  <c r="S2201" i="2"/>
  <c r="R2201" i="2"/>
  <c r="Q2201" i="2"/>
  <c r="P2201" i="2"/>
  <c r="S2200" i="2"/>
  <c r="R2200" i="2"/>
  <c r="Q2200" i="2"/>
  <c r="P2200" i="2"/>
  <c r="S2199" i="2"/>
  <c r="R2199" i="2"/>
  <c r="Q2199" i="2"/>
  <c r="P2199" i="2"/>
  <c r="S2198" i="2"/>
  <c r="R2198" i="2"/>
  <c r="Q2198" i="2"/>
  <c r="P2198" i="2"/>
  <c r="S2197" i="2"/>
  <c r="R2197" i="2"/>
  <c r="Q2197" i="2"/>
  <c r="P2197" i="2"/>
  <c r="S2196" i="2"/>
  <c r="R2196" i="2"/>
  <c r="Q2196" i="2"/>
  <c r="P2196" i="2"/>
  <c r="S2195" i="2"/>
  <c r="R2195" i="2"/>
  <c r="Q2195" i="2"/>
  <c r="P2195" i="2"/>
  <c r="S2194" i="2"/>
  <c r="R2194" i="2"/>
  <c r="Q2194" i="2"/>
  <c r="P2194" i="2"/>
  <c r="S2193" i="2"/>
  <c r="R2193" i="2"/>
  <c r="Q2193" i="2"/>
  <c r="P2193" i="2"/>
  <c r="S2192" i="2"/>
  <c r="R2192" i="2"/>
  <c r="Q2192" i="2"/>
  <c r="P2192" i="2"/>
  <c r="S2191" i="2"/>
  <c r="R2191" i="2"/>
  <c r="Q2191" i="2"/>
  <c r="P2191" i="2"/>
  <c r="S2190" i="2"/>
  <c r="R2190" i="2"/>
  <c r="Q2190" i="2"/>
  <c r="P2190" i="2"/>
  <c r="S2189" i="2"/>
  <c r="R2189" i="2"/>
  <c r="Q2189" i="2"/>
  <c r="P2189" i="2"/>
  <c r="S2188" i="2"/>
  <c r="R2188" i="2"/>
  <c r="Q2188" i="2"/>
  <c r="P2188" i="2"/>
  <c r="S2187" i="2"/>
  <c r="R2187" i="2"/>
  <c r="Q2187" i="2"/>
  <c r="P2187" i="2"/>
  <c r="S2186" i="2"/>
  <c r="R2186" i="2"/>
  <c r="Q2186" i="2"/>
  <c r="P2186" i="2"/>
  <c r="S2185" i="2"/>
  <c r="R2185" i="2"/>
  <c r="Q2185" i="2"/>
  <c r="P2185" i="2"/>
  <c r="S2184" i="2"/>
  <c r="R2184" i="2"/>
  <c r="Q2184" i="2"/>
  <c r="P2184" i="2"/>
  <c r="S2183" i="2"/>
  <c r="R2183" i="2"/>
  <c r="Q2183" i="2"/>
  <c r="P2183" i="2"/>
  <c r="S2182" i="2"/>
  <c r="R2182" i="2"/>
  <c r="Q2182" i="2"/>
  <c r="P2182" i="2"/>
  <c r="S2181" i="2"/>
  <c r="R2181" i="2"/>
  <c r="Q2181" i="2"/>
  <c r="P2181" i="2"/>
  <c r="S2180" i="2"/>
  <c r="R2180" i="2"/>
  <c r="Q2180" i="2"/>
  <c r="P2180" i="2"/>
  <c r="S2179" i="2"/>
  <c r="R2179" i="2"/>
  <c r="Q2179" i="2"/>
  <c r="P2179" i="2"/>
  <c r="S2178" i="2"/>
  <c r="R2178" i="2"/>
  <c r="Q2178" i="2"/>
  <c r="P2178" i="2"/>
  <c r="S2177" i="2"/>
  <c r="R2177" i="2"/>
  <c r="Q2177" i="2"/>
  <c r="P2177" i="2"/>
  <c r="S2176" i="2"/>
  <c r="R2176" i="2"/>
  <c r="Q2176" i="2"/>
  <c r="P2176" i="2"/>
  <c r="S2175" i="2"/>
  <c r="R2175" i="2"/>
  <c r="Q2175" i="2"/>
  <c r="P2175" i="2"/>
  <c r="S2174" i="2"/>
  <c r="R2174" i="2"/>
  <c r="Q2174" i="2"/>
  <c r="P2174" i="2"/>
  <c r="S2173" i="2"/>
  <c r="R2173" i="2"/>
  <c r="Q2173" i="2"/>
  <c r="P2173" i="2"/>
  <c r="S2172" i="2"/>
  <c r="R2172" i="2"/>
  <c r="Q2172" i="2"/>
  <c r="P2172" i="2"/>
  <c r="S2171" i="2"/>
  <c r="R2171" i="2"/>
  <c r="Q2171" i="2"/>
  <c r="P2171" i="2"/>
  <c r="S2170" i="2"/>
  <c r="R2170" i="2"/>
  <c r="Q2170" i="2"/>
  <c r="P2170" i="2"/>
  <c r="S2169" i="2"/>
  <c r="R2169" i="2"/>
  <c r="Q2169" i="2"/>
  <c r="P2169" i="2"/>
  <c r="S2168" i="2"/>
  <c r="R2168" i="2"/>
  <c r="Q2168" i="2"/>
  <c r="P2168" i="2"/>
  <c r="S2167" i="2"/>
  <c r="R2167" i="2"/>
  <c r="Q2167" i="2"/>
  <c r="P2167" i="2"/>
  <c r="S2166" i="2"/>
  <c r="R2166" i="2"/>
  <c r="Q2166" i="2"/>
  <c r="P2166" i="2"/>
  <c r="S2165" i="2"/>
  <c r="R2165" i="2"/>
  <c r="Q2165" i="2"/>
  <c r="P2165" i="2"/>
  <c r="S2164" i="2"/>
  <c r="R2164" i="2"/>
  <c r="Q2164" i="2"/>
  <c r="P2164" i="2"/>
  <c r="S2163" i="2"/>
  <c r="R2163" i="2"/>
  <c r="Q2163" i="2"/>
  <c r="P2163" i="2"/>
  <c r="S2162" i="2"/>
  <c r="R2162" i="2"/>
  <c r="Q2162" i="2"/>
  <c r="P2162" i="2"/>
  <c r="S2161" i="2"/>
  <c r="R2161" i="2"/>
  <c r="Q2161" i="2"/>
  <c r="P2161" i="2"/>
  <c r="S2160" i="2"/>
  <c r="R2160" i="2"/>
  <c r="Q2160" i="2"/>
  <c r="P2160" i="2"/>
  <c r="S2159" i="2"/>
  <c r="R2159" i="2"/>
  <c r="Q2159" i="2"/>
  <c r="P2159" i="2"/>
  <c r="S2158" i="2"/>
  <c r="R2158" i="2"/>
  <c r="Q2158" i="2"/>
  <c r="P2158" i="2"/>
  <c r="S2157" i="2"/>
  <c r="R2157" i="2"/>
  <c r="Q2157" i="2"/>
  <c r="P2157" i="2"/>
  <c r="S2156" i="2"/>
  <c r="R2156" i="2"/>
  <c r="Q2156" i="2"/>
  <c r="P2156" i="2"/>
  <c r="S2155" i="2"/>
  <c r="R2155" i="2"/>
  <c r="Q2155" i="2"/>
  <c r="P2155" i="2"/>
  <c r="S2154" i="2"/>
  <c r="R2154" i="2"/>
  <c r="Q2154" i="2"/>
  <c r="P2154" i="2"/>
  <c r="S2153" i="2"/>
  <c r="R2153" i="2"/>
  <c r="Q2153" i="2"/>
  <c r="P2153" i="2"/>
  <c r="S2152" i="2"/>
  <c r="R2152" i="2"/>
  <c r="Q2152" i="2"/>
  <c r="P2152" i="2"/>
  <c r="S2151" i="2"/>
  <c r="R2151" i="2"/>
  <c r="Q2151" i="2"/>
  <c r="P2151" i="2"/>
  <c r="S2150" i="2"/>
  <c r="R2150" i="2"/>
  <c r="Q2150" i="2"/>
  <c r="P2150" i="2"/>
  <c r="S2149" i="2"/>
  <c r="R2149" i="2"/>
  <c r="Q2149" i="2"/>
  <c r="P2149" i="2"/>
  <c r="S2148" i="2"/>
  <c r="R2148" i="2"/>
  <c r="Q2148" i="2"/>
  <c r="P2148" i="2"/>
  <c r="S2147" i="2"/>
  <c r="R2147" i="2"/>
  <c r="Q2147" i="2"/>
  <c r="P2147" i="2"/>
  <c r="S2146" i="2"/>
  <c r="R2146" i="2"/>
  <c r="Q2146" i="2"/>
  <c r="P2146" i="2"/>
  <c r="S2145" i="2"/>
  <c r="R2145" i="2"/>
  <c r="Q2145" i="2"/>
  <c r="P2145" i="2"/>
  <c r="S2144" i="2"/>
  <c r="R2144" i="2"/>
  <c r="Q2144" i="2"/>
  <c r="P2144" i="2"/>
  <c r="S2143" i="2"/>
  <c r="R2143" i="2"/>
  <c r="Q2143" i="2"/>
  <c r="P2143" i="2"/>
  <c r="S2142" i="2"/>
  <c r="R2142" i="2"/>
  <c r="Q2142" i="2"/>
  <c r="P2142" i="2"/>
  <c r="S2141" i="2"/>
  <c r="R2141" i="2"/>
  <c r="Q2141" i="2"/>
  <c r="P2141" i="2"/>
  <c r="S2140" i="2"/>
  <c r="R2140" i="2"/>
  <c r="Q2140" i="2"/>
  <c r="P2140" i="2"/>
  <c r="S2139" i="2"/>
  <c r="R2139" i="2"/>
  <c r="Q2139" i="2"/>
  <c r="P2139" i="2"/>
  <c r="S2138" i="2"/>
  <c r="R2138" i="2"/>
  <c r="Q2138" i="2"/>
  <c r="P2138" i="2"/>
  <c r="S2137" i="2"/>
  <c r="R2137" i="2"/>
  <c r="Q2137" i="2"/>
  <c r="P2137" i="2"/>
  <c r="S2136" i="2"/>
  <c r="R2136" i="2"/>
  <c r="Q2136" i="2"/>
  <c r="P2136" i="2"/>
  <c r="S2135" i="2"/>
  <c r="R2135" i="2"/>
  <c r="Q2135" i="2"/>
  <c r="P2135" i="2"/>
  <c r="S2134" i="2"/>
  <c r="R2134" i="2"/>
  <c r="Q2134" i="2"/>
  <c r="P2134" i="2"/>
  <c r="S2133" i="2"/>
  <c r="R2133" i="2"/>
  <c r="Q2133" i="2"/>
  <c r="P2133" i="2"/>
  <c r="S2132" i="2"/>
  <c r="R2132" i="2"/>
  <c r="Q2132" i="2"/>
  <c r="P2132" i="2"/>
  <c r="S2131" i="2"/>
  <c r="R2131" i="2"/>
  <c r="Q2131" i="2"/>
  <c r="P2131" i="2"/>
  <c r="S2130" i="2"/>
  <c r="R2130" i="2"/>
  <c r="Q2130" i="2"/>
  <c r="P2130" i="2"/>
  <c r="S2129" i="2"/>
  <c r="R2129" i="2"/>
  <c r="Q2129" i="2"/>
  <c r="P2129" i="2"/>
  <c r="S2128" i="2"/>
  <c r="R2128" i="2"/>
  <c r="Q2128" i="2"/>
  <c r="P2128" i="2"/>
  <c r="S2127" i="2"/>
  <c r="R2127" i="2"/>
  <c r="Q2127" i="2"/>
  <c r="P2127" i="2"/>
  <c r="S2126" i="2"/>
  <c r="R2126" i="2"/>
  <c r="Q2126" i="2"/>
  <c r="P2126" i="2"/>
  <c r="S2125" i="2"/>
  <c r="R2125" i="2"/>
  <c r="Q2125" i="2"/>
  <c r="P2125" i="2"/>
  <c r="S2124" i="2"/>
  <c r="R2124" i="2"/>
  <c r="Q2124" i="2"/>
  <c r="P2124" i="2"/>
  <c r="S2123" i="2"/>
  <c r="R2123" i="2"/>
  <c r="Q2123" i="2"/>
  <c r="P2123" i="2"/>
  <c r="S2122" i="2"/>
  <c r="R2122" i="2"/>
  <c r="Q2122" i="2"/>
  <c r="P2122" i="2"/>
  <c r="S2121" i="2"/>
  <c r="R2121" i="2"/>
  <c r="Q2121" i="2"/>
  <c r="P2121" i="2"/>
  <c r="S2120" i="2"/>
  <c r="R2120" i="2"/>
  <c r="Q2120" i="2"/>
  <c r="P2120" i="2"/>
  <c r="S2119" i="2"/>
  <c r="R2119" i="2"/>
  <c r="Q2119" i="2"/>
  <c r="P2119" i="2"/>
  <c r="S2118" i="2"/>
  <c r="R2118" i="2"/>
  <c r="Q2118" i="2"/>
  <c r="P2118" i="2"/>
  <c r="S2117" i="2"/>
  <c r="R2117" i="2"/>
  <c r="Q2117" i="2"/>
  <c r="P2117" i="2"/>
  <c r="S2116" i="2"/>
  <c r="R2116" i="2"/>
  <c r="Q2116" i="2"/>
  <c r="P2116" i="2"/>
  <c r="S2115" i="2"/>
  <c r="R2115" i="2"/>
  <c r="Q2115" i="2"/>
  <c r="P2115" i="2"/>
  <c r="S2114" i="2"/>
  <c r="R2114" i="2"/>
  <c r="Q2114" i="2"/>
  <c r="P2114" i="2"/>
  <c r="S2113" i="2"/>
  <c r="R2113" i="2"/>
  <c r="Q2113" i="2"/>
  <c r="P2113" i="2"/>
  <c r="S2112" i="2"/>
  <c r="R2112" i="2"/>
  <c r="Q2112" i="2"/>
  <c r="P2112" i="2"/>
  <c r="S2111" i="2"/>
  <c r="R2111" i="2"/>
  <c r="Q2111" i="2"/>
  <c r="P2111" i="2"/>
  <c r="S2110" i="2"/>
  <c r="R2110" i="2"/>
  <c r="Q2110" i="2"/>
  <c r="P2110" i="2"/>
  <c r="S2109" i="2"/>
  <c r="R2109" i="2"/>
  <c r="Q2109" i="2"/>
  <c r="P2109" i="2"/>
  <c r="S2108" i="2"/>
  <c r="R2108" i="2"/>
  <c r="Q2108" i="2"/>
  <c r="P2108" i="2"/>
  <c r="S2107" i="2"/>
  <c r="R2107" i="2"/>
  <c r="Q2107" i="2"/>
  <c r="P2107" i="2"/>
  <c r="S2106" i="2"/>
  <c r="R2106" i="2"/>
  <c r="Q2106" i="2"/>
  <c r="P2106" i="2"/>
  <c r="S2105" i="2"/>
  <c r="R2105" i="2"/>
  <c r="Q2105" i="2"/>
  <c r="P2105" i="2"/>
  <c r="S2104" i="2"/>
  <c r="R2104" i="2"/>
  <c r="Q2104" i="2"/>
  <c r="P2104" i="2"/>
  <c r="S2103" i="2"/>
  <c r="R2103" i="2"/>
  <c r="Q2103" i="2"/>
  <c r="P2103" i="2"/>
  <c r="S2102" i="2"/>
  <c r="R2102" i="2"/>
  <c r="Q2102" i="2"/>
  <c r="P2102" i="2"/>
  <c r="S2101" i="2"/>
  <c r="R2101" i="2"/>
  <c r="Q2101" i="2"/>
  <c r="P2101" i="2"/>
  <c r="S2100" i="2"/>
  <c r="R2100" i="2"/>
  <c r="Q2100" i="2"/>
  <c r="P2100" i="2"/>
  <c r="S2099" i="2"/>
  <c r="R2099" i="2"/>
  <c r="Q2099" i="2"/>
  <c r="P2099" i="2"/>
  <c r="S2098" i="2"/>
  <c r="R2098" i="2"/>
  <c r="Q2098" i="2"/>
  <c r="P2098" i="2"/>
  <c r="S2097" i="2"/>
  <c r="R2097" i="2"/>
  <c r="Q2097" i="2"/>
  <c r="P2097" i="2"/>
  <c r="S2096" i="2"/>
  <c r="R2096" i="2"/>
  <c r="Q2096" i="2"/>
  <c r="P2096" i="2"/>
  <c r="S2095" i="2"/>
  <c r="R2095" i="2"/>
  <c r="Q2095" i="2"/>
  <c r="P2095" i="2"/>
  <c r="S2094" i="2"/>
  <c r="R2094" i="2"/>
  <c r="Q2094" i="2"/>
  <c r="P2094" i="2"/>
  <c r="S2093" i="2"/>
  <c r="R2093" i="2"/>
  <c r="Q2093" i="2"/>
  <c r="P2093" i="2"/>
  <c r="S2092" i="2"/>
  <c r="R2092" i="2"/>
  <c r="Q2092" i="2"/>
  <c r="P2092" i="2"/>
  <c r="S2091" i="2"/>
  <c r="R2091" i="2"/>
  <c r="Q2091" i="2"/>
  <c r="P2091" i="2"/>
  <c r="S2090" i="2"/>
  <c r="R2090" i="2"/>
  <c r="Q2090" i="2"/>
  <c r="P2090" i="2"/>
  <c r="S2089" i="2"/>
  <c r="R2089" i="2"/>
  <c r="Q2089" i="2"/>
  <c r="P2089" i="2"/>
  <c r="S2088" i="2"/>
  <c r="R2088" i="2"/>
  <c r="Q2088" i="2"/>
  <c r="P2088" i="2"/>
  <c r="S2087" i="2"/>
  <c r="R2087" i="2"/>
  <c r="Q2087" i="2"/>
  <c r="P2087" i="2"/>
  <c r="S2086" i="2"/>
  <c r="R2086" i="2"/>
  <c r="Q2086" i="2"/>
  <c r="P2086" i="2"/>
  <c r="S2085" i="2"/>
  <c r="R2085" i="2"/>
  <c r="Q2085" i="2"/>
  <c r="P2085" i="2"/>
  <c r="S2084" i="2"/>
  <c r="R2084" i="2"/>
  <c r="Q2084" i="2"/>
  <c r="P2084" i="2"/>
  <c r="S2083" i="2"/>
  <c r="R2083" i="2"/>
  <c r="Q2083" i="2"/>
  <c r="P2083" i="2"/>
  <c r="S2082" i="2"/>
  <c r="R2082" i="2"/>
  <c r="Q2082" i="2"/>
  <c r="P2082" i="2"/>
  <c r="S2081" i="2"/>
  <c r="R2081" i="2"/>
  <c r="Q2081" i="2"/>
  <c r="P2081" i="2"/>
  <c r="S2080" i="2"/>
  <c r="R2080" i="2"/>
  <c r="Q2080" i="2"/>
  <c r="P2080" i="2"/>
  <c r="S2079" i="2"/>
  <c r="R2079" i="2"/>
  <c r="Q2079" i="2"/>
  <c r="P2079" i="2"/>
  <c r="S2078" i="2"/>
  <c r="R2078" i="2"/>
  <c r="Q2078" i="2"/>
  <c r="P2078" i="2"/>
  <c r="S2077" i="2"/>
  <c r="R2077" i="2"/>
  <c r="Q2077" i="2"/>
  <c r="P2077" i="2"/>
  <c r="S2076" i="2"/>
  <c r="R2076" i="2"/>
  <c r="Q2076" i="2"/>
  <c r="P2076" i="2"/>
  <c r="S2075" i="2"/>
  <c r="R2075" i="2"/>
  <c r="Q2075" i="2"/>
  <c r="P2075" i="2"/>
  <c r="S2074" i="2"/>
  <c r="R2074" i="2"/>
  <c r="Q2074" i="2"/>
  <c r="P2074" i="2"/>
  <c r="S2073" i="2"/>
  <c r="R2073" i="2"/>
  <c r="Q2073" i="2"/>
  <c r="P2073" i="2"/>
  <c r="S2072" i="2"/>
  <c r="R2072" i="2"/>
  <c r="Q2072" i="2"/>
  <c r="P2072" i="2"/>
  <c r="S2071" i="2"/>
  <c r="R2071" i="2"/>
  <c r="Q2071" i="2"/>
  <c r="P2071" i="2"/>
  <c r="S2070" i="2"/>
  <c r="R2070" i="2"/>
  <c r="Q2070" i="2"/>
  <c r="P2070" i="2"/>
  <c r="S2069" i="2"/>
  <c r="R2069" i="2"/>
  <c r="Q2069" i="2"/>
  <c r="P2069" i="2"/>
  <c r="S2068" i="2"/>
  <c r="R2068" i="2"/>
  <c r="Q2068" i="2"/>
  <c r="P2068" i="2"/>
  <c r="S2067" i="2"/>
  <c r="R2067" i="2"/>
  <c r="Q2067" i="2"/>
  <c r="P2067" i="2"/>
  <c r="S2066" i="2"/>
  <c r="R2066" i="2"/>
  <c r="Q2066" i="2"/>
  <c r="P2066" i="2"/>
  <c r="S2065" i="2"/>
  <c r="R2065" i="2"/>
  <c r="Q2065" i="2"/>
  <c r="P2065" i="2"/>
  <c r="S2064" i="2"/>
  <c r="R2064" i="2"/>
  <c r="Q2064" i="2"/>
  <c r="P2064" i="2"/>
  <c r="S2063" i="2"/>
  <c r="R2063" i="2"/>
  <c r="Q2063" i="2"/>
  <c r="P2063" i="2"/>
  <c r="S2062" i="2"/>
  <c r="R2062" i="2"/>
  <c r="Q2062" i="2"/>
  <c r="P2062" i="2"/>
  <c r="S2061" i="2"/>
  <c r="R2061" i="2"/>
  <c r="Q2061" i="2"/>
  <c r="P2061" i="2"/>
  <c r="S2060" i="2"/>
  <c r="R2060" i="2"/>
  <c r="Q2060" i="2"/>
  <c r="P2060" i="2"/>
  <c r="S2059" i="2"/>
  <c r="R2059" i="2"/>
  <c r="Q2059" i="2"/>
  <c r="P2059" i="2"/>
  <c r="S2058" i="2"/>
  <c r="R2058" i="2"/>
  <c r="Q2058" i="2"/>
  <c r="P2058" i="2"/>
  <c r="S2057" i="2"/>
  <c r="R2057" i="2"/>
  <c r="Q2057" i="2"/>
  <c r="P2057" i="2"/>
  <c r="S2056" i="2"/>
  <c r="R2056" i="2"/>
  <c r="Q2056" i="2"/>
  <c r="P2056" i="2"/>
  <c r="S2055" i="2"/>
  <c r="R2055" i="2"/>
  <c r="Q2055" i="2"/>
  <c r="P2055" i="2"/>
  <c r="S2054" i="2"/>
  <c r="R2054" i="2"/>
  <c r="Q2054" i="2"/>
  <c r="P2054" i="2"/>
  <c r="S2053" i="2"/>
  <c r="R2053" i="2"/>
  <c r="Q2053" i="2"/>
  <c r="P2053" i="2"/>
  <c r="S2052" i="2"/>
  <c r="R2052" i="2"/>
  <c r="Q2052" i="2"/>
  <c r="P2052" i="2"/>
  <c r="S2051" i="2"/>
  <c r="R2051" i="2"/>
  <c r="Q2051" i="2"/>
  <c r="P2051" i="2"/>
  <c r="S2050" i="2"/>
  <c r="R2050" i="2"/>
  <c r="Q2050" i="2"/>
  <c r="P2050" i="2"/>
  <c r="S2049" i="2"/>
  <c r="R2049" i="2"/>
  <c r="Q2049" i="2"/>
  <c r="P2049" i="2"/>
  <c r="S2048" i="2"/>
  <c r="R2048" i="2"/>
  <c r="Q2048" i="2"/>
  <c r="P2048" i="2"/>
  <c r="S2047" i="2"/>
  <c r="R2047" i="2"/>
  <c r="Q2047" i="2"/>
  <c r="P2047" i="2"/>
  <c r="S2046" i="2"/>
  <c r="R2046" i="2"/>
  <c r="Q2046" i="2"/>
  <c r="P2046" i="2"/>
  <c r="S2045" i="2"/>
  <c r="R2045" i="2"/>
  <c r="Q2045" i="2"/>
  <c r="P2045" i="2"/>
  <c r="S2044" i="2"/>
  <c r="R2044" i="2"/>
  <c r="Q2044" i="2"/>
  <c r="P2044" i="2"/>
  <c r="S2043" i="2"/>
  <c r="R2043" i="2"/>
  <c r="Q2043" i="2"/>
  <c r="P2043" i="2"/>
  <c r="S2042" i="2"/>
  <c r="R2042" i="2"/>
  <c r="Q2042" i="2"/>
  <c r="P2042" i="2"/>
  <c r="S2041" i="2"/>
  <c r="R2041" i="2"/>
  <c r="Q2041" i="2"/>
  <c r="P2041" i="2"/>
  <c r="S2040" i="2"/>
  <c r="R2040" i="2"/>
  <c r="Q2040" i="2"/>
  <c r="P2040" i="2"/>
  <c r="S2039" i="2"/>
  <c r="R2039" i="2"/>
  <c r="Q2039" i="2"/>
  <c r="P2039" i="2"/>
  <c r="S2038" i="2"/>
  <c r="R2038" i="2"/>
  <c r="Q2038" i="2"/>
  <c r="P2038" i="2"/>
  <c r="S2037" i="2"/>
  <c r="R2037" i="2"/>
  <c r="Q2037" i="2"/>
  <c r="P2037" i="2"/>
  <c r="S2036" i="2"/>
  <c r="R2036" i="2"/>
  <c r="Q2036" i="2"/>
  <c r="P2036" i="2"/>
  <c r="S2035" i="2"/>
  <c r="R2035" i="2"/>
  <c r="Q2035" i="2"/>
  <c r="P2035" i="2"/>
  <c r="S2034" i="2"/>
  <c r="R2034" i="2"/>
  <c r="Q2034" i="2"/>
  <c r="P2034" i="2"/>
  <c r="S2033" i="2"/>
  <c r="R2033" i="2"/>
  <c r="Q2033" i="2"/>
  <c r="P2033" i="2"/>
  <c r="S2032" i="2"/>
  <c r="R2032" i="2"/>
  <c r="Q2032" i="2"/>
  <c r="P2032" i="2"/>
  <c r="S2031" i="2"/>
  <c r="R2031" i="2"/>
  <c r="Q2031" i="2"/>
  <c r="P2031" i="2"/>
  <c r="S2030" i="2"/>
  <c r="R2030" i="2"/>
  <c r="Q2030" i="2"/>
  <c r="P2030" i="2"/>
  <c r="S2029" i="2"/>
  <c r="R2029" i="2"/>
  <c r="Q2029" i="2"/>
  <c r="P2029" i="2"/>
  <c r="S2028" i="2"/>
  <c r="R2028" i="2"/>
  <c r="Q2028" i="2"/>
  <c r="P2028" i="2"/>
  <c r="S2027" i="2"/>
  <c r="R2027" i="2"/>
  <c r="Q2027" i="2"/>
  <c r="P2027" i="2"/>
  <c r="S2026" i="2"/>
  <c r="R2026" i="2"/>
  <c r="Q2026" i="2"/>
  <c r="P2026" i="2"/>
  <c r="S2025" i="2"/>
  <c r="R2025" i="2"/>
  <c r="Q2025" i="2"/>
  <c r="P2025" i="2"/>
  <c r="S2024" i="2"/>
  <c r="R2024" i="2"/>
  <c r="Q2024" i="2"/>
  <c r="P2024" i="2"/>
  <c r="S2023" i="2"/>
  <c r="R2023" i="2"/>
  <c r="Q2023" i="2"/>
  <c r="P2023" i="2"/>
  <c r="S2022" i="2"/>
  <c r="R2022" i="2"/>
  <c r="Q2022" i="2"/>
  <c r="P2022" i="2"/>
  <c r="S2021" i="2"/>
  <c r="R2021" i="2"/>
  <c r="Q2021" i="2"/>
  <c r="P2021" i="2"/>
  <c r="S2020" i="2"/>
  <c r="R2020" i="2"/>
  <c r="Q2020" i="2"/>
  <c r="P2020" i="2"/>
  <c r="S2019" i="2"/>
  <c r="R2019" i="2"/>
  <c r="Q2019" i="2"/>
  <c r="P2019" i="2"/>
  <c r="S2018" i="2"/>
  <c r="R2018" i="2"/>
  <c r="Q2018" i="2"/>
  <c r="P2018" i="2"/>
  <c r="S2017" i="2"/>
  <c r="R2017" i="2"/>
  <c r="Q2017" i="2"/>
  <c r="P2017" i="2"/>
  <c r="S2016" i="2"/>
  <c r="R2016" i="2"/>
  <c r="Q2016" i="2"/>
  <c r="P2016" i="2"/>
  <c r="S2015" i="2"/>
  <c r="R2015" i="2"/>
  <c r="Q2015" i="2"/>
  <c r="P2015" i="2"/>
  <c r="S2014" i="2"/>
  <c r="R2014" i="2"/>
  <c r="Q2014" i="2"/>
  <c r="P2014" i="2"/>
  <c r="S2013" i="2"/>
  <c r="R2013" i="2"/>
  <c r="Q2013" i="2"/>
  <c r="P2013" i="2"/>
  <c r="S2012" i="2"/>
  <c r="R2012" i="2"/>
  <c r="Q2012" i="2"/>
  <c r="P2012" i="2"/>
  <c r="S2011" i="2"/>
  <c r="R2011" i="2"/>
  <c r="Q2011" i="2"/>
  <c r="P2011" i="2"/>
  <c r="S2010" i="2"/>
  <c r="R2010" i="2"/>
  <c r="Q2010" i="2"/>
  <c r="P2010" i="2"/>
  <c r="S2009" i="2"/>
  <c r="R2009" i="2"/>
  <c r="Q2009" i="2"/>
  <c r="P2009" i="2"/>
  <c r="S2008" i="2"/>
  <c r="R2008" i="2"/>
  <c r="Q2008" i="2"/>
  <c r="P2008" i="2"/>
  <c r="S2007" i="2"/>
  <c r="R2007" i="2"/>
  <c r="Q2007" i="2"/>
  <c r="P2007" i="2"/>
  <c r="S2006" i="2"/>
  <c r="R2006" i="2"/>
  <c r="Q2006" i="2"/>
  <c r="P2006" i="2"/>
  <c r="S2005" i="2"/>
  <c r="R2005" i="2"/>
  <c r="Q2005" i="2"/>
  <c r="P2005" i="2"/>
  <c r="S2004" i="2"/>
  <c r="R2004" i="2"/>
  <c r="Q2004" i="2"/>
  <c r="P2004" i="2"/>
  <c r="S2003" i="2"/>
  <c r="R2003" i="2"/>
  <c r="Q2003" i="2"/>
  <c r="P2003" i="2"/>
  <c r="S2002" i="2"/>
  <c r="R2002" i="2"/>
  <c r="Q2002" i="2"/>
  <c r="P2002" i="2"/>
  <c r="S2001" i="2"/>
  <c r="R2001" i="2"/>
  <c r="Q2001" i="2"/>
  <c r="P2001" i="2"/>
  <c r="S2000" i="2"/>
  <c r="R2000" i="2"/>
  <c r="Q2000" i="2"/>
  <c r="P2000" i="2"/>
  <c r="S1999" i="2"/>
  <c r="R1999" i="2"/>
  <c r="Q1999" i="2"/>
  <c r="P1999" i="2"/>
  <c r="S1998" i="2"/>
  <c r="R1998" i="2"/>
  <c r="Q1998" i="2"/>
  <c r="P1998" i="2"/>
  <c r="S1997" i="2"/>
  <c r="R1997" i="2"/>
  <c r="Q1997" i="2"/>
  <c r="P1997" i="2"/>
  <c r="S1996" i="2"/>
  <c r="R1996" i="2"/>
  <c r="Q1996" i="2"/>
  <c r="P1996" i="2"/>
  <c r="S1995" i="2"/>
  <c r="R1995" i="2"/>
  <c r="Q1995" i="2"/>
  <c r="P1995" i="2"/>
  <c r="S1994" i="2"/>
  <c r="R1994" i="2"/>
  <c r="Q1994" i="2"/>
  <c r="P1994" i="2"/>
  <c r="S1993" i="2"/>
  <c r="R1993" i="2"/>
  <c r="Q1993" i="2"/>
  <c r="P1993" i="2"/>
  <c r="S1992" i="2"/>
  <c r="R1992" i="2"/>
  <c r="Q1992" i="2"/>
  <c r="P1992" i="2"/>
  <c r="S1991" i="2"/>
  <c r="R1991" i="2"/>
  <c r="Q1991" i="2"/>
  <c r="P1991" i="2"/>
  <c r="S1990" i="2"/>
  <c r="R1990" i="2"/>
  <c r="Q1990" i="2"/>
  <c r="P1990" i="2"/>
  <c r="S1989" i="2"/>
  <c r="R1989" i="2"/>
  <c r="Q1989" i="2"/>
  <c r="P1989" i="2"/>
  <c r="S1988" i="2"/>
  <c r="R1988" i="2"/>
  <c r="Q1988" i="2"/>
  <c r="P1988" i="2"/>
  <c r="S1987" i="2"/>
  <c r="R1987" i="2"/>
  <c r="Q1987" i="2"/>
  <c r="P1987" i="2"/>
  <c r="S1986" i="2"/>
  <c r="R1986" i="2"/>
  <c r="Q1986" i="2"/>
  <c r="P1986" i="2"/>
  <c r="S1985" i="2"/>
  <c r="R1985" i="2"/>
  <c r="Q1985" i="2"/>
  <c r="P1985" i="2"/>
  <c r="S1984" i="2"/>
  <c r="R1984" i="2"/>
  <c r="Q1984" i="2"/>
  <c r="P1984" i="2"/>
  <c r="S1983" i="2"/>
  <c r="R1983" i="2"/>
  <c r="Q1983" i="2"/>
  <c r="P1983" i="2"/>
  <c r="S1982" i="2"/>
  <c r="R1982" i="2"/>
  <c r="Q1982" i="2"/>
  <c r="P1982" i="2"/>
  <c r="S1981" i="2"/>
  <c r="R1981" i="2"/>
  <c r="Q1981" i="2"/>
  <c r="P1981" i="2"/>
  <c r="S1980" i="2"/>
  <c r="R1980" i="2"/>
  <c r="Q1980" i="2"/>
  <c r="P1980" i="2"/>
  <c r="S1979" i="2"/>
  <c r="R1979" i="2"/>
  <c r="Q1979" i="2"/>
  <c r="P1979" i="2"/>
  <c r="S1978" i="2"/>
  <c r="R1978" i="2"/>
  <c r="Q1978" i="2"/>
  <c r="P1978" i="2"/>
  <c r="S1977" i="2"/>
  <c r="R1977" i="2"/>
  <c r="Q1977" i="2"/>
  <c r="P1977" i="2"/>
  <c r="S1976" i="2"/>
  <c r="R1976" i="2"/>
  <c r="Q1976" i="2"/>
  <c r="P1976" i="2"/>
  <c r="S1975" i="2"/>
  <c r="R1975" i="2"/>
  <c r="Q1975" i="2"/>
  <c r="P1975" i="2"/>
  <c r="S1974" i="2"/>
  <c r="R1974" i="2"/>
  <c r="Q1974" i="2"/>
  <c r="P1974" i="2"/>
  <c r="S1973" i="2"/>
  <c r="R1973" i="2"/>
  <c r="Q1973" i="2"/>
  <c r="P1973" i="2"/>
  <c r="S1972" i="2"/>
  <c r="R1972" i="2"/>
  <c r="Q1972" i="2"/>
  <c r="P1972" i="2"/>
  <c r="S1971" i="2"/>
  <c r="R1971" i="2"/>
  <c r="Q1971" i="2"/>
  <c r="P1971" i="2"/>
  <c r="S1970" i="2"/>
  <c r="R1970" i="2"/>
  <c r="Q1970" i="2"/>
  <c r="P1970" i="2"/>
  <c r="S1969" i="2"/>
  <c r="R1969" i="2"/>
  <c r="Q1969" i="2"/>
  <c r="P1969" i="2"/>
  <c r="S1968" i="2"/>
  <c r="R1968" i="2"/>
  <c r="Q1968" i="2"/>
  <c r="P1968" i="2"/>
  <c r="S1967" i="2"/>
  <c r="R1967" i="2"/>
  <c r="Q1967" i="2"/>
  <c r="P1967" i="2"/>
  <c r="S1966" i="2"/>
  <c r="R1966" i="2"/>
  <c r="Q1966" i="2"/>
  <c r="P1966" i="2"/>
  <c r="S1965" i="2"/>
  <c r="R1965" i="2"/>
  <c r="Q1965" i="2"/>
  <c r="P1965" i="2"/>
  <c r="S1964" i="2"/>
  <c r="R1964" i="2"/>
  <c r="Q1964" i="2"/>
  <c r="P1964" i="2"/>
  <c r="S1963" i="2"/>
  <c r="R1963" i="2"/>
  <c r="Q1963" i="2"/>
  <c r="P1963" i="2"/>
  <c r="S1962" i="2"/>
  <c r="R1962" i="2"/>
  <c r="Q1962" i="2"/>
  <c r="P1962" i="2"/>
  <c r="S1961" i="2"/>
  <c r="R1961" i="2"/>
  <c r="Q1961" i="2"/>
  <c r="P1961" i="2"/>
  <c r="S1960" i="2"/>
  <c r="R1960" i="2"/>
  <c r="Q1960" i="2"/>
  <c r="P1960" i="2"/>
  <c r="S1959" i="2"/>
  <c r="R1959" i="2"/>
  <c r="Q1959" i="2"/>
  <c r="P1959" i="2"/>
  <c r="S1958" i="2"/>
  <c r="R1958" i="2"/>
  <c r="Q1958" i="2"/>
  <c r="P1958" i="2"/>
  <c r="S1957" i="2"/>
  <c r="R1957" i="2"/>
  <c r="Q1957" i="2"/>
  <c r="P1957" i="2"/>
  <c r="S1956" i="2"/>
  <c r="R1956" i="2"/>
  <c r="Q1956" i="2"/>
  <c r="P1956" i="2"/>
  <c r="S1955" i="2"/>
  <c r="R1955" i="2"/>
  <c r="Q1955" i="2"/>
  <c r="P1955" i="2"/>
  <c r="S1954" i="2"/>
  <c r="R1954" i="2"/>
  <c r="Q1954" i="2"/>
  <c r="P1954" i="2"/>
  <c r="S1953" i="2"/>
  <c r="R1953" i="2"/>
  <c r="Q1953" i="2"/>
  <c r="P1953" i="2"/>
  <c r="S1952" i="2"/>
  <c r="R1952" i="2"/>
  <c r="Q1952" i="2"/>
  <c r="P1952" i="2"/>
  <c r="S1951" i="2"/>
  <c r="R1951" i="2"/>
  <c r="Q1951" i="2"/>
  <c r="P1951" i="2"/>
  <c r="S1950" i="2"/>
  <c r="R1950" i="2"/>
  <c r="Q1950" i="2"/>
  <c r="P1950" i="2"/>
  <c r="S1949" i="2"/>
  <c r="R1949" i="2"/>
  <c r="Q1949" i="2"/>
  <c r="P1949" i="2"/>
  <c r="S1948" i="2"/>
  <c r="R1948" i="2"/>
  <c r="Q1948" i="2"/>
  <c r="P1948" i="2"/>
  <c r="S1947" i="2"/>
  <c r="R1947" i="2"/>
  <c r="Q1947" i="2"/>
  <c r="P1947" i="2"/>
  <c r="S1946" i="2"/>
  <c r="R1946" i="2"/>
  <c r="Q1946" i="2"/>
  <c r="P1946" i="2"/>
  <c r="S1945" i="2"/>
  <c r="R1945" i="2"/>
  <c r="Q1945" i="2"/>
  <c r="P1945" i="2"/>
  <c r="S1944" i="2"/>
  <c r="R1944" i="2"/>
  <c r="Q1944" i="2"/>
  <c r="P1944" i="2"/>
  <c r="S1943" i="2"/>
  <c r="R1943" i="2"/>
  <c r="Q1943" i="2"/>
  <c r="P1943" i="2"/>
  <c r="S1942" i="2"/>
  <c r="R1942" i="2"/>
  <c r="Q1942" i="2"/>
  <c r="P1942" i="2"/>
  <c r="S1941" i="2"/>
  <c r="R1941" i="2"/>
  <c r="Q1941" i="2"/>
  <c r="P1941" i="2"/>
  <c r="S1940" i="2"/>
  <c r="R1940" i="2"/>
  <c r="Q1940" i="2"/>
  <c r="P1940" i="2"/>
  <c r="S1939" i="2"/>
  <c r="R1939" i="2"/>
  <c r="Q1939" i="2"/>
  <c r="P1939" i="2"/>
  <c r="S1938" i="2"/>
  <c r="R1938" i="2"/>
  <c r="Q1938" i="2"/>
  <c r="P1938" i="2"/>
  <c r="S1937" i="2"/>
  <c r="R1937" i="2"/>
  <c r="Q1937" i="2"/>
  <c r="P1937" i="2"/>
  <c r="S1936" i="2"/>
  <c r="R1936" i="2"/>
  <c r="Q1936" i="2"/>
  <c r="P1936" i="2"/>
  <c r="S1935" i="2"/>
  <c r="R1935" i="2"/>
  <c r="Q1935" i="2"/>
  <c r="P1935" i="2"/>
  <c r="S1934" i="2"/>
  <c r="R1934" i="2"/>
  <c r="Q1934" i="2"/>
  <c r="P1934" i="2"/>
  <c r="S1933" i="2"/>
  <c r="R1933" i="2"/>
  <c r="Q1933" i="2"/>
  <c r="P1933" i="2"/>
  <c r="S1932" i="2"/>
  <c r="R1932" i="2"/>
  <c r="Q1932" i="2"/>
  <c r="P1932" i="2"/>
  <c r="S1931" i="2"/>
  <c r="R1931" i="2"/>
  <c r="Q1931" i="2"/>
  <c r="P1931" i="2"/>
  <c r="S1930" i="2"/>
  <c r="R1930" i="2"/>
  <c r="Q1930" i="2"/>
  <c r="P1930" i="2"/>
  <c r="S1929" i="2"/>
  <c r="R1929" i="2"/>
  <c r="Q1929" i="2"/>
  <c r="P1929" i="2"/>
  <c r="S1928" i="2"/>
  <c r="R1928" i="2"/>
  <c r="Q1928" i="2"/>
  <c r="P1928" i="2"/>
  <c r="S1927" i="2"/>
  <c r="R1927" i="2"/>
  <c r="Q1927" i="2"/>
  <c r="P1927" i="2"/>
  <c r="S1926" i="2"/>
  <c r="R1926" i="2"/>
  <c r="Q1926" i="2"/>
  <c r="P1926" i="2"/>
  <c r="S1925" i="2"/>
  <c r="R1925" i="2"/>
  <c r="Q1925" i="2"/>
  <c r="P1925" i="2"/>
  <c r="S1924" i="2"/>
  <c r="R1924" i="2"/>
  <c r="Q1924" i="2"/>
  <c r="P1924" i="2"/>
  <c r="S1923" i="2"/>
  <c r="R1923" i="2"/>
  <c r="Q1923" i="2"/>
  <c r="P1923" i="2"/>
  <c r="S1922" i="2"/>
  <c r="R1922" i="2"/>
  <c r="Q1922" i="2"/>
  <c r="P1922" i="2"/>
  <c r="S1921" i="2"/>
  <c r="R1921" i="2"/>
  <c r="Q1921" i="2"/>
  <c r="P1921" i="2"/>
  <c r="S1920" i="2"/>
  <c r="R1920" i="2"/>
  <c r="Q1920" i="2"/>
  <c r="P1920" i="2"/>
  <c r="S1919" i="2"/>
  <c r="R1919" i="2"/>
  <c r="Q1919" i="2"/>
  <c r="P1919" i="2"/>
  <c r="S1918" i="2"/>
  <c r="R1918" i="2"/>
  <c r="Q1918" i="2"/>
  <c r="P1918" i="2"/>
  <c r="S1917" i="2"/>
  <c r="R1917" i="2"/>
  <c r="Q1917" i="2"/>
  <c r="P1917" i="2"/>
  <c r="S1916" i="2"/>
  <c r="R1916" i="2"/>
  <c r="Q1916" i="2"/>
  <c r="P1916" i="2"/>
  <c r="S1915" i="2"/>
  <c r="R1915" i="2"/>
  <c r="Q1915" i="2"/>
  <c r="P1915" i="2"/>
  <c r="S1914" i="2"/>
  <c r="R1914" i="2"/>
  <c r="Q1914" i="2"/>
  <c r="P1914" i="2"/>
  <c r="S1913" i="2"/>
  <c r="R1913" i="2"/>
  <c r="Q1913" i="2"/>
  <c r="P1913" i="2"/>
  <c r="S1912" i="2"/>
  <c r="R1912" i="2"/>
  <c r="Q1912" i="2"/>
  <c r="P1912" i="2"/>
  <c r="S1911" i="2"/>
  <c r="R1911" i="2"/>
  <c r="Q1911" i="2"/>
  <c r="P1911" i="2"/>
  <c r="S1910" i="2"/>
  <c r="R1910" i="2"/>
  <c r="Q1910" i="2"/>
  <c r="P1910" i="2"/>
  <c r="S1909" i="2"/>
  <c r="R1909" i="2"/>
  <c r="Q1909" i="2"/>
  <c r="P1909" i="2"/>
  <c r="S1908" i="2"/>
  <c r="R1908" i="2"/>
  <c r="Q1908" i="2"/>
  <c r="P1908" i="2"/>
  <c r="S1907" i="2"/>
  <c r="R1907" i="2"/>
  <c r="Q1907" i="2"/>
  <c r="P1907" i="2"/>
  <c r="S1906" i="2"/>
  <c r="R1906" i="2"/>
  <c r="Q1906" i="2"/>
  <c r="P1906" i="2"/>
  <c r="S1905" i="2"/>
  <c r="R1905" i="2"/>
  <c r="Q1905" i="2"/>
  <c r="P1905" i="2"/>
  <c r="S1904" i="2"/>
  <c r="R1904" i="2"/>
  <c r="Q1904" i="2"/>
  <c r="P1904" i="2"/>
  <c r="S1903" i="2"/>
  <c r="R1903" i="2"/>
  <c r="Q1903" i="2"/>
  <c r="P1903" i="2"/>
  <c r="S1902" i="2"/>
  <c r="R1902" i="2"/>
  <c r="Q1902" i="2"/>
  <c r="P1902" i="2"/>
  <c r="S1901" i="2"/>
  <c r="R1901" i="2"/>
  <c r="Q1901" i="2"/>
  <c r="P1901" i="2"/>
  <c r="S1900" i="2"/>
  <c r="R1900" i="2"/>
  <c r="Q1900" i="2"/>
  <c r="P1900" i="2"/>
  <c r="S1899" i="2"/>
  <c r="R1899" i="2"/>
  <c r="Q1899" i="2"/>
  <c r="P1899" i="2"/>
  <c r="S1898" i="2"/>
  <c r="R1898" i="2"/>
  <c r="Q1898" i="2"/>
  <c r="P1898" i="2"/>
  <c r="S1897" i="2"/>
  <c r="R1897" i="2"/>
  <c r="Q1897" i="2"/>
  <c r="P1897" i="2"/>
  <c r="S1896" i="2"/>
  <c r="R1896" i="2"/>
  <c r="Q1896" i="2"/>
  <c r="P1896" i="2"/>
  <c r="S1895" i="2"/>
  <c r="R1895" i="2"/>
  <c r="Q1895" i="2"/>
  <c r="P1895" i="2"/>
  <c r="S1894" i="2"/>
  <c r="R1894" i="2"/>
  <c r="Q1894" i="2"/>
  <c r="P1894" i="2"/>
  <c r="S1893" i="2"/>
  <c r="R1893" i="2"/>
  <c r="Q1893" i="2"/>
  <c r="P1893" i="2"/>
  <c r="S1892" i="2"/>
  <c r="R1892" i="2"/>
  <c r="Q1892" i="2"/>
  <c r="P1892" i="2"/>
  <c r="S1891" i="2"/>
  <c r="R1891" i="2"/>
  <c r="Q1891" i="2"/>
  <c r="P1891" i="2"/>
  <c r="S1890" i="2"/>
  <c r="R1890" i="2"/>
  <c r="Q1890" i="2"/>
  <c r="P1890" i="2"/>
  <c r="S1889" i="2"/>
  <c r="R1889" i="2"/>
  <c r="Q1889" i="2"/>
  <c r="P1889" i="2"/>
  <c r="S1888" i="2"/>
  <c r="R1888" i="2"/>
  <c r="Q1888" i="2"/>
  <c r="P1888" i="2"/>
  <c r="S1887" i="2"/>
  <c r="R1887" i="2"/>
  <c r="Q1887" i="2"/>
  <c r="P1887" i="2"/>
  <c r="S1886" i="2"/>
  <c r="R1886" i="2"/>
  <c r="Q1886" i="2"/>
  <c r="P1886" i="2"/>
  <c r="S1885" i="2"/>
  <c r="R1885" i="2"/>
  <c r="Q1885" i="2"/>
  <c r="P1885" i="2"/>
  <c r="S1884" i="2"/>
  <c r="R1884" i="2"/>
  <c r="Q1884" i="2"/>
  <c r="P1884" i="2"/>
  <c r="S1883" i="2"/>
  <c r="R1883" i="2"/>
  <c r="Q1883" i="2"/>
  <c r="P1883" i="2"/>
  <c r="S1882" i="2"/>
  <c r="R1882" i="2"/>
  <c r="Q1882" i="2"/>
  <c r="P1882" i="2"/>
  <c r="S1881" i="2"/>
  <c r="R1881" i="2"/>
  <c r="Q1881" i="2"/>
  <c r="P1881" i="2"/>
  <c r="S1880" i="2"/>
  <c r="R1880" i="2"/>
  <c r="Q1880" i="2"/>
  <c r="P1880" i="2"/>
  <c r="S1879" i="2"/>
  <c r="R1879" i="2"/>
  <c r="Q1879" i="2"/>
  <c r="P1879" i="2"/>
  <c r="S1878" i="2"/>
  <c r="R1878" i="2"/>
  <c r="Q1878" i="2"/>
  <c r="P1878" i="2"/>
  <c r="S1877" i="2"/>
  <c r="R1877" i="2"/>
  <c r="Q1877" i="2"/>
  <c r="P1877" i="2"/>
  <c r="S1876" i="2"/>
  <c r="R1876" i="2"/>
  <c r="Q1876" i="2"/>
  <c r="P1876" i="2"/>
  <c r="S1875" i="2"/>
  <c r="R1875" i="2"/>
  <c r="Q1875" i="2"/>
  <c r="P1875" i="2"/>
  <c r="S1874" i="2"/>
  <c r="R1874" i="2"/>
  <c r="Q1874" i="2"/>
  <c r="P1874" i="2"/>
  <c r="S1873" i="2"/>
  <c r="R1873" i="2"/>
  <c r="Q1873" i="2"/>
  <c r="P1873" i="2"/>
  <c r="S1872" i="2"/>
  <c r="R1872" i="2"/>
  <c r="Q1872" i="2"/>
  <c r="P1872" i="2"/>
  <c r="S1871" i="2"/>
  <c r="R1871" i="2"/>
  <c r="Q1871" i="2"/>
  <c r="P1871" i="2"/>
  <c r="S1870" i="2"/>
  <c r="R1870" i="2"/>
  <c r="Q1870" i="2"/>
  <c r="P1870" i="2"/>
  <c r="S1869" i="2"/>
  <c r="R1869" i="2"/>
  <c r="Q1869" i="2"/>
  <c r="P1869" i="2"/>
  <c r="S1868" i="2"/>
  <c r="R1868" i="2"/>
  <c r="Q1868" i="2"/>
  <c r="P1868" i="2"/>
  <c r="S1867" i="2"/>
  <c r="R1867" i="2"/>
  <c r="Q1867" i="2"/>
  <c r="P1867" i="2"/>
  <c r="S1866" i="2"/>
  <c r="R1866" i="2"/>
  <c r="Q1866" i="2"/>
  <c r="P1866" i="2"/>
  <c r="S1865" i="2"/>
  <c r="R1865" i="2"/>
  <c r="Q1865" i="2"/>
  <c r="P1865" i="2"/>
  <c r="S1864" i="2"/>
  <c r="R1864" i="2"/>
  <c r="Q1864" i="2"/>
  <c r="P1864" i="2"/>
  <c r="S1863" i="2"/>
  <c r="R1863" i="2"/>
  <c r="Q1863" i="2"/>
  <c r="P1863" i="2"/>
  <c r="S1862" i="2"/>
  <c r="R1862" i="2"/>
  <c r="Q1862" i="2"/>
  <c r="P1862" i="2"/>
  <c r="S1861" i="2"/>
  <c r="R1861" i="2"/>
  <c r="Q1861" i="2"/>
  <c r="P1861" i="2"/>
  <c r="S1860" i="2"/>
  <c r="R1860" i="2"/>
  <c r="Q1860" i="2"/>
  <c r="P1860" i="2"/>
  <c r="S1859" i="2"/>
  <c r="R1859" i="2"/>
  <c r="Q1859" i="2"/>
  <c r="P1859" i="2"/>
  <c r="S1858" i="2"/>
  <c r="R1858" i="2"/>
  <c r="Q1858" i="2"/>
  <c r="P1858" i="2"/>
  <c r="S1857" i="2"/>
  <c r="R1857" i="2"/>
  <c r="Q1857" i="2"/>
  <c r="P1857" i="2"/>
  <c r="S1856" i="2"/>
  <c r="R1856" i="2"/>
  <c r="Q1856" i="2"/>
  <c r="P1856" i="2"/>
  <c r="S1855" i="2"/>
  <c r="R1855" i="2"/>
  <c r="Q1855" i="2"/>
  <c r="P1855" i="2"/>
  <c r="S1854" i="2"/>
  <c r="R1854" i="2"/>
  <c r="Q1854" i="2"/>
  <c r="P1854" i="2"/>
  <c r="S1853" i="2"/>
  <c r="R1853" i="2"/>
  <c r="Q1853" i="2"/>
  <c r="P1853" i="2"/>
  <c r="S1852" i="2"/>
  <c r="R1852" i="2"/>
  <c r="Q1852" i="2"/>
  <c r="P1852" i="2"/>
  <c r="S1851" i="2"/>
  <c r="R1851" i="2"/>
  <c r="Q1851" i="2"/>
  <c r="P1851" i="2"/>
  <c r="S1850" i="2"/>
  <c r="R1850" i="2"/>
  <c r="Q1850" i="2"/>
  <c r="P1850" i="2"/>
  <c r="S1849" i="2"/>
  <c r="R1849" i="2"/>
  <c r="Q1849" i="2"/>
  <c r="P1849" i="2"/>
  <c r="S1848" i="2"/>
  <c r="R1848" i="2"/>
  <c r="Q1848" i="2"/>
  <c r="P1848" i="2"/>
  <c r="S1847" i="2"/>
  <c r="R1847" i="2"/>
  <c r="Q1847" i="2"/>
  <c r="P1847" i="2"/>
  <c r="S1846" i="2"/>
  <c r="R1846" i="2"/>
  <c r="Q1846" i="2"/>
  <c r="P1846" i="2"/>
  <c r="S1845" i="2"/>
  <c r="R1845" i="2"/>
  <c r="Q1845" i="2"/>
  <c r="P1845" i="2"/>
  <c r="S1844" i="2"/>
  <c r="R1844" i="2"/>
  <c r="Q1844" i="2"/>
  <c r="P1844" i="2"/>
  <c r="S1843" i="2"/>
  <c r="R1843" i="2"/>
  <c r="Q1843" i="2"/>
  <c r="P1843" i="2"/>
  <c r="S1842" i="2"/>
  <c r="R1842" i="2"/>
  <c r="Q1842" i="2"/>
  <c r="P1842" i="2"/>
  <c r="S1841" i="2"/>
  <c r="R1841" i="2"/>
  <c r="Q1841" i="2"/>
  <c r="P1841" i="2"/>
  <c r="S1840" i="2"/>
  <c r="R1840" i="2"/>
  <c r="Q1840" i="2"/>
  <c r="P1840" i="2"/>
  <c r="S1839" i="2"/>
  <c r="R1839" i="2"/>
  <c r="Q1839" i="2"/>
  <c r="P1839" i="2"/>
  <c r="S1838" i="2"/>
  <c r="R1838" i="2"/>
  <c r="Q1838" i="2"/>
  <c r="P1838" i="2"/>
  <c r="S1837" i="2"/>
  <c r="R1837" i="2"/>
  <c r="Q1837" i="2"/>
  <c r="P1837" i="2"/>
  <c r="S1836" i="2"/>
  <c r="R1836" i="2"/>
  <c r="Q1836" i="2"/>
  <c r="P1836" i="2"/>
  <c r="S1835" i="2"/>
  <c r="R1835" i="2"/>
  <c r="Q1835" i="2"/>
  <c r="P1835" i="2"/>
  <c r="S1834" i="2"/>
  <c r="R1834" i="2"/>
  <c r="Q1834" i="2"/>
  <c r="P1834" i="2"/>
  <c r="S1833" i="2"/>
  <c r="R1833" i="2"/>
  <c r="Q1833" i="2"/>
  <c r="P1833" i="2"/>
  <c r="S1832" i="2"/>
  <c r="R1832" i="2"/>
  <c r="Q1832" i="2"/>
  <c r="P1832" i="2"/>
  <c r="S1831" i="2"/>
  <c r="R1831" i="2"/>
  <c r="Q1831" i="2"/>
  <c r="P1831" i="2"/>
  <c r="S1830" i="2"/>
  <c r="R1830" i="2"/>
  <c r="Q1830" i="2"/>
  <c r="P1830" i="2"/>
  <c r="S1829" i="2"/>
  <c r="R1829" i="2"/>
  <c r="Q1829" i="2"/>
  <c r="P1829" i="2"/>
  <c r="S1828" i="2"/>
  <c r="R1828" i="2"/>
  <c r="Q1828" i="2"/>
  <c r="P1828" i="2"/>
  <c r="S1827" i="2"/>
  <c r="R1827" i="2"/>
  <c r="Q1827" i="2"/>
  <c r="P1827" i="2"/>
  <c r="S1826" i="2"/>
  <c r="R1826" i="2"/>
  <c r="Q1826" i="2"/>
  <c r="P1826" i="2"/>
  <c r="S1825" i="2"/>
  <c r="R1825" i="2"/>
  <c r="Q1825" i="2"/>
  <c r="P1825" i="2"/>
  <c r="S1824" i="2"/>
  <c r="R1824" i="2"/>
  <c r="Q1824" i="2"/>
  <c r="P1824" i="2"/>
  <c r="S1823" i="2"/>
  <c r="R1823" i="2"/>
  <c r="Q1823" i="2"/>
  <c r="P1823" i="2"/>
  <c r="S1822" i="2"/>
  <c r="R1822" i="2"/>
  <c r="Q1822" i="2"/>
  <c r="P1822" i="2"/>
  <c r="S1821" i="2"/>
  <c r="R1821" i="2"/>
  <c r="Q1821" i="2"/>
  <c r="P1821" i="2"/>
  <c r="S1820" i="2"/>
  <c r="R1820" i="2"/>
  <c r="Q1820" i="2"/>
  <c r="P1820" i="2"/>
  <c r="S1819" i="2"/>
  <c r="R1819" i="2"/>
  <c r="Q1819" i="2"/>
  <c r="P1819" i="2"/>
  <c r="S1818" i="2"/>
  <c r="R1818" i="2"/>
  <c r="Q1818" i="2"/>
  <c r="P1818" i="2"/>
  <c r="S1817" i="2"/>
  <c r="R1817" i="2"/>
  <c r="Q1817" i="2"/>
  <c r="P1817" i="2"/>
  <c r="S1816" i="2"/>
  <c r="R1816" i="2"/>
  <c r="Q1816" i="2"/>
  <c r="P1816" i="2"/>
  <c r="S1815" i="2"/>
  <c r="R1815" i="2"/>
  <c r="Q1815" i="2"/>
  <c r="P1815" i="2"/>
  <c r="S1814" i="2"/>
  <c r="R1814" i="2"/>
  <c r="Q1814" i="2"/>
  <c r="P1814" i="2"/>
  <c r="S1813" i="2"/>
  <c r="R1813" i="2"/>
  <c r="Q1813" i="2"/>
  <c r="P1813" i="2"/>
  <c r="S1812" i="2"/>
  <c r="R1812" i="2"/>
  <c r="Q1812" i="2"/>
  <c r="P1812" i="2"/>
  <c r="S1811" i="2"/>
  <c r="R1811" i="2"/>
  <c r="Q1811" i="2"/>
  <c r="P1811" i="2"/>
  <c r="S1810" i="2"/>
  <c r="R1810" i="2"/>
  <c r="Q1810" i="2"/>
  <c r="P1810" i="2"/>
  <c r="S1809" i="2"/>
  <c r="R1809" i="2"/>
  <c r="Q1809" i="2"/>
  <c r="P1809" i="2"/>
  <c r="S1808" i="2"/>
  <c r="R1808" i="2"/>
  <c r="Q1808" i="2"/>
  <c r="P1808" i="2"/>
  <c r="S1807" i="2"/>
  <c r="R1807" i="2"/>
  <c r="Q1807" i="2"/>
  <c r="P1807" i="2"/>
  <c r="S1806" i="2"/>
  <c r="R1806" i="2"/>
  <c r="Q1806" i="2"/>
  <c r="P1806" i="2"/>
  <c r="S1805" i="2"/>
  <c r="R1805" i="2"/>
  <c r="Q1805" i="2"/>
  <c r="P1805" i="2"/>
  <c r="S1804" i="2"/>
  <c r="R1804" i="2"/>
  <c r="Q1804" i="2"/>
  <c r="P1804" i="2"/>
  <c r="S1803" i="2"/>
  <c r="R1803" i="2"/>
  <c r="Q1803" i="2"/>
  <c r="P1803" i="2"/>
  <c r="S1802" i="2"/>
  <c r="R1802" i="2"/>
  <c r="Q1802" i="2"/>
  <c r="P1802" i="2"/>
  <c r="S1801" i="2"/>
  <c r="R1801" i="2"/>
  <c r="Q1801" i="2"/>
  <c r="P1801" i="2"/>
  <c r="S1800" i="2"/>
  <c r="R1800" i="2"/>
  <c r="Q1800" i="2"/>
  <c r="P1800" i="2"/>
  <c r="S1799" i="2"/>
  <c r="R1799" i="2"/>
  <c r="Q1799" i="2"/>
  <c r="P1799" i="2"/>
  <c r="S1798" i="2"/>
  <c r="R1798" i="2"/>
  <c r="Q1798" i="2"/>
  <c r="P1798" i="2"/>
  <c r="S1797" i="2"/>
  <c r="R1797" i="2"/>
  <c r="Q1797" i="2"/>
  <c r="P1797" i="2"/>
  <c r="S1796" i="2"/>
  <c r="R1796" i="2"/>
  <c r="Q1796" i="2"/>
  <c r="P1796" i="2"/>
  <c r="S1795" i="2"/>
  <c r="R1795" i="2"/>
  <c r="Q1795" i="2"/>
  <c r="P1795" i="2"/>
  <c r="S1794" i="2"/>
  <c r="R1794" i="2"/>
  <c r="Q1794" i="2"/>
  <c r="P1794" i="2"/>
  <c r="S1793" i="2"/>
  <c r="R1793" i="2"/>
  <c r="Q1793" i="2"/>
  <c r="P1793" i="2"/>
  <c r="S1792" i="2"/>
  <c r="R1792" i="2"/>
  <c r="Q1792" i="2"/>
  <c r="P1792" i="2"/>
  <c r="S1791" i="2"/>
  <c r="R1791" i="2"/>
  <c r="Q1791" i="2"/>
  <c r="P1791" i="2"/>
  <c r="S1790" i="2"/>
  <c r="R1790" i="2"/>
  <c r="Q1790" i="2"/>
  <c r="P1790" i="2"/>
  <c r="S1789" i="2"/>
  <c r="R1789" i="2"/>
  <c r="Q1789" i="2"/>
  <c r="P1789" i="2"/>
  <c r="S1788" i="2"/>
  <c r="R1788" i="2"/>
  <c r="Q1788" i="2"/>
  <c r="P1788" i="2"/>
  <c r="S1787" i="2"/>
  <c r="R1787" i="2"/>
  <c r="Q1787" i="2"/>
  <c r="P1787" i="2"/>
  <c r="S1786" i="2"/>
  <c r="R1786" i="2"/>
  <c r="Q1786" i="2"/>
  <c r="P1786" i="2"/>
  <c r="S1785" i="2"/>
  <c r="R1785" i="2"/>
  <c r="Q1785" i="2"/>
  <c r="P1785" i="2"/>
  <c r="S1784" i="2"/>
  <c r="R1784" i="2"/>
  <c r="Q1784" i="2"/>
  <c r="P1784" i="2"/>
  <c r="S1783" i="2"/>
  <c r="R1783" i="2"/>
  <c r="Q1783" i="2"/>
  <c r="P1783" i="2"/>
  <c r="S1782" i="2"/>
  <c r="R1782" i="2"/>
  <c r="Q1782" i="2"/>
  <c r="P1782" i="2"/>
  <c r="S1781" i="2"/>
  <c r="R1781" i="2"/>
  <c r="Q1781" i="2"/>
  <c r="P1781" i="2"/>
  <c r="S1780" i="2"/>
  <c r="R1780" i="2"/>
  <c r="Q1780" i="2"/>
  <c r="P1780" i="2"/>
  <c r="S1779" i="2"/>
  <c r="R1779" i="2"/>
  <c r="Q1779" i="2"/>
  <c r="P1779" i="2"/>
  <c r="S1778" i="2"/>
  <c r="R1778" i="2"/>
  <c r="Q1778" i="2"/>
  <c r="P1778" i="2"/>
  <c r="S1777" i="2"/>
  <c r="R1777" i="2"/>
  <c r="Q1777" i="2"/>
  <c r="P1777" i="2"/>
  <c r="S1776" i="2"/>
  <c r="R1776" i="2"/>
  <c r="Q1776" i="2"/>
  <c r="P1776" i="2"/>
  <c r="S1775" i="2"/>
  <c r="R1775" i="2"/>
  <c r="Q1775" i="2"/>
  <c r="P1775" i="2"/>
  <c r="S1774" i="2"/>
  <c r="R1774" i="2"/>
  <c r="Q1774" i="2"/>
  <c r="P1774" i="2"/>
  <c r="S1773" i="2"/>
  <c r="R1773" i="2"/>
  <c r="Q1773" i="2"/>
  <c r="P1773" i="2"/>
  <c r="S1772" i="2"/>
  <c r="R1772" i="2"/>
  <c r="Q1772" i="2"/>
  <c r="P1772" i="2"/>
  <c r="S1771" i="2"/>
  <c r="R1771" i="2"/>
  <c r="Q1771" i="2"/>
  <c r="P1771" i="2"/>
  <c r="S1770" i="2"/>
  <c r="R1770" i="2"/>
  <c r="Q1770" i="2"/>
  <c r="P1770" i="2"/>
  <c r="S1769" i="2"/>
  <c r="R1769" i="2"/>
  <c r="Q1769" i="2"/>
  <c r="P1769" i="2"/>
  <c r="S1768" i="2"/>
  <c r="R1768" i="2"/>
  <c r="Q1768" i="2"/>
  <c r="P1768" i="2"/>
  <c r="S1767" i="2"/>
  <c r="R1767" i="2"/>
  <c r="Q1767" i="2"/>
  <c r="P1767" i="2"/>
  <c r="S1766" i="2"/>
  <c r="R1766" i="2"/>
  <c r="Q1766" i="2"/>
  <c r="P1766" i="2"/>
  <c r="S1765" i="2"/>
  <c r="R1765" i="2"/>
  <c r="Q1765" i="2"/>
  <c r="P1765" i="2"/>
  <c r="S1764" i="2"/>
  <c r="R1764" i="2"/>
  <c r="Q1764" i="2"/>
  <c r="P1764" i="2"/>
  <c r="S1763" i="2"/>
  <c r="R1763" i="2"/>
  <c r="Q1763" i="2"/>
  <c r="P1763" i="2"/>
  <c r="S1762" i="2"/>
  <c r="R1762" i="2"/>
  <c r="Q1762" i="2"/>
  <c r="P1762" i="2"/>
  <c r="S1761" i="2"/>
  <c r="R1761" i="2"/>
  <c r="Q1761" i="2"/>
  <c r="P1761" i="2"/>
  <c r="S1760" i="2"/>
  <c r="R1760" i="2"/>
  <c r="Q1760" i="2"/>
  <c r="P1760" i="2"/>
  <c r="S1759" i="2"/>
  <c r="R1759" i="2"/>
  <c r="Q1759" i="2"/>
  <c r="P1759" i="2"/>
  <c r="S1758" i="2"/>
  <c r="R1758" i="2"/>
  <c r="Q1758" i="2"/>
  <c r="P1758" i="2"/>
  <c r="S1757" i="2"/>
  <c r="R1757" i="2"/>
  <c r="Q1757" i="2"/>
  <c r="P1757" i="2"/>
  <c r="S1756" i="2"/>
  <c r="R1756" i="2"/>
  <c r="Q1756" i="2"/>
  <c r="P1756" i="2"/>
  <c r="S1755" i="2"/>
  <c r="R1755" i="2"/>
  <c r="Q1755" i="2"/>
  <c r="P1755" i="2"/>
  <c r="S1754" i="2"/>
  <c r="R1754" i="2"/>
  <c r="Q1754" i="2"/>
  <c r="P1754" i="2"/>
  <c r="S1753" i="2"/>
  <c r="R1753" i="2"/>
  <c r="Q1753" i="2"/>
  <c r="P1753" i="2"/>
  <c r="S1752" i="2"/>
  <c r="R1752" i="2"/>
  <c r="Q1752" i="2"/>
  <c r="P1752" i="2"/>
  <c r="S1751" i="2"/>
  <c r="R1751" i="2"/>
  <c r="Q1751" i="2"/>
  <c r="P1751" i="2"/>
  <c r="S1750" i="2"/>
  <c r="R1750" i="2"/>
  <c r="Q1750" i="2"/>
  <c r="P1750" i="2"/>
  <c r="S1749" i="2"/>
  <c r="R1749" i="2"/>
  <c r="Q1749" i="2"/>
  <c r="P1749" i="2"/>
  <c r="S1748" i="2"/>
  <c r="R1748" i="2"/>
  <c r="Q1748" i="2"/>
  <c r="P1748" i="2"/>
  <c r="S1747" i="2"/>
  <c r="R1747" i="2"/>
  <c r="Q1747" i="2"/>
  <c r="P1747" i="2"/>
  <c r="S1746" i="2"/>
  <c r="R1746" i="2"/>
  <c r="Q1746" i="2"/>
  <c r="P1746" i="2"/>
  <c r="S1745" i="2"/>
  <c r="R1745" i="2"/>
  <c r="Q1745" i="2"/>
  <c r="P1745" i="2"/>
  <c r="S1744" i="2"/>
  <c r="R1744" i="2"/>
  <c r="Q1744" i="2"/>
  <c r="P1744" i="2"/>
  <c r="S1743" i="2"/>
  <c r="R1743" i="2"/>
  <c r="Q1743" i="2"/>
  <c r="P1743" i="2"/>
  <c r="S1742" i="2"/>
  <c r="R1742" i="2"/>
  <c r="Q1742" i="2"/>
  <c r="P1742" i="2"/>
  <c r="S1741" i="2"/>
  <c r="R1741" i="2"/>
  <c r="Q1741" i="2"/>
  <c r="P1741" i="2"/>
  <c r="S1740" i="2"/>
  <c r="R1740" i="2"/>
  <c r="Q1740" i="2"/>
  <c r="P1740" i="2"/>
  <c r="S1739" i="2"/>
  <c r="R1739" i="2"/>
  <c r="Q1739" i="2"/>
  <c r="P1739" i="2"/>
  <c r="S1738" i="2"/>
  <c r="R1738" i="2"/>
  <c r="Q1738" i="2"/>
  <c r="P1738" i="2"/>
  <c r="S1737" i="2"/>
  <c r="R1737" i="2"/>
  <c r="Q1737" i="2"/>
  <c r="P1737" i="2"/>
  <c r="S1736" i="2"/>
  <c r="R1736" i="2"/>
  <c r="Q1736" i="2"/>
  <c r="P1736" i="2"/>
  <c r="S1735" i="2"/>
  <c r="R1735" i="2"/>
  <c r="Q1735" i="2"/>
  <c r="P1735" i="2"/>
  <c r="S1734" i="2"/>
  <c r="R1734" i="2"/>
  <c r="Q1734" i="2"/>
  <c r="P1734" i="2"/>
  <c r="S1733" i="2"/>
  <c r="R1733" i="2"/>
  <c r="Q1733" i="2"/>
  <c r="P1733" i="2"/>
  <c r="S1732" i="2"/>
  <c r="R1732" i="2"/>
  <c r="Q1732" i="2"/>
  <c r="P1732" i="2"/>
  <c r="S1731" i="2"/>
  <c r="R1731" i="2"/>
  <c r="Q1731" i="2"/>
  <c r="P1731" i="2"/>
  <c r="S1730" i="2"/>
  <c r="R1730" i="2"/>
  <c r="Q1730" i="2"/>
  <c r="P1730" i="2"/>
  <c r="S1729" i="2"/>
  <c r="R1729" i="2"/>
  <c r="Q1729" i="2"/>
  <c r="P1729" i="2"/>
  <c r="S1728" i="2"/>
  <c r="R1728" i="2"/>
  <c r="Q1728" i="2"/>
  <c r="P1728" i="2"/>
  <c r="S1727" i="2"/>
  <c r="R1727" i="2"/>
  <c r="Q1727" i="2"/>
  <c r="P1727" i="2"/>
  <c r="S1726" i="2"/>
  <c r="R1726" i="2"/>
  <c r="Q1726" i="2"/>
  <c r="P1726" i="2"/>
  <c r="S1725" i="2"/>
  <c r="R1725" i="2"/>
  <c r="Q1725" i="2"/>
  <c r="P1725" i="2"/>
  <c r="S1724" i="2"/>
  <c r="R1724" i="2"/>
  <c r="Q1724" i="2"/>
  <c r="P1724" i="2"/>
  <c r="S1723" i="2"/>
  <c r="R1723" i="2"/>
  <c r="Q1723" i="2"/>
  <c r="P1723" i="2"/>
  <c r="S1722" i="2"/>
  <c r="R1722" i="2"/>
  <c r="Q1722" i="2"/>
  <c r="P1722" i="2"/>
  <c r="S1721" i="2"/>
  <c r="R1721" i="2"/>
  <c r="Q1721" i="2"/>
  <c r="P1721" i="2"/>
  <c r="S1720" i="2"/>
  <c r="R1720" i="2"/>
  <c r="Q1720" i="2"/>
  <c r="P1720" i="2"/>
  <c r="S1719" i="2"/>
  <c r="R1719" i="2"/>
  <c r="Q1719" i="2"/>
  <c r="P1719" i="2"/>
  <c r="S1718" i="2"/>
  <c r="R1718" i="2"/>
  <c r="Q1718" i="2"/>
  <c r="P1718" i="2"/>
  <c r="S1717" i="2"/>
  <c r="R1717" i="2"/>
  <c r="Q1717" i="2"/>
  <c r="P1717" i="2"/>
  <c r="S1716" i="2"/>
  <c r="R1716" i="2"/>
  <c r="Q1716" i="2"/>
  <c r="P1716" i="2"/>
  <c r="S1715" i="2"/>
  <c r="R1715" i="2"/>
  <c r="Q1715" i="2"/>
  <c r="P1715" i="2"/>
  <c r="S1714" i="2"/>
  <c r="R1714" i="2"/>
  <c r="Q1714" i="2"/>
  <c r="P1714" i="2"/>
  <c r="S1713" i="2"/>
  <c r="R1713" i="2"/>
  <c r="Q1713" i="2"/>
  <c r="P1713" i="2"/>
  <c r="S1712" i="2"/>
  <c r="R1712" i="2"/>
  <c r="Q1712" i="2"/>
  <c r="P1712" i="2"/>
  <c r="S1711" i="2"/>
  <c r="R1711" i="2"/>
  <c r="Q1711" i="2"/>
  <c r="P1711" i="2"/>
  <c r="S1710" i="2"/>
  <c r="R1710" i="2"/>
  <c r="Q1710" i="2"/>
  <c r="P1710" i="2"/>
  <c r="S1709" i="2"/>
  <c r="R1709" i="2"/>
  <c r="Q1709" i="2"/>
  <c r="P1709" i="2"/>
  <c r="S1708" i="2"/>
  <c r="R1708" i="2"/>
  <c r="Q1708" i="2"/>
  <c r="P1708" i="2"/>
  <c r="S1707" i="2"/>
  <c r="R1707" i="2"/>
  <c r="Q1707" i="2"/>
  <c r="P1707" i="2"/>
  <c r="S1706" i="2"/>
  <c r="R1706" i="2"/>
  <c r="Q1706" i="2"/>
  <c r="P1706" i="2"/>
  <c r="S1705" i="2"/>
  <c r="R1705" i="2"/>
  <c r="Q1705" i="2"/>
  <c r="P1705" i="2"/>
  <c r="S1704" i="2"/>
  <c r="R1704" i="2"/>
  <c r="Q1704" i="2"/>
  <c r="P1704" i="2"/>
  <c r="S1703" i="2"/>
  <c r="R1703" i="2"/>
  <c r="Q1703" i="2"/>
  <c r="P1703" i="2"/>
  <c r="S1702" i="2"/>
  <c r="R1702" i="2"/>
  <c r="Q1702" i="2"/>
  <c r="P1702" i="2"/>
  <c r="S1701" i="2"/>
  <c r="R1701" i="2"/>
  <c r="Q1701" i="2"/>
  <c r="P1701" i="2"/>
  <c r="S1700" i="2"/>
  <c r="R1700" i="2"/>
  <c r="Q1700" i="2"/>
  <c r="P1700" i="2"/>
  <c r="S1699" i="2"/>
  <c r="R1699" i="2"/>
  <c r="Q1699" i="2"/>
  <c r="P1699" i="2"/>
  <c r="S1698" i="2"/>
  <c r="R1698" i="2"/>
  <c r="Q1698" i="2"/>
  <c r="P1698" i="2"/>
  <c r="S1697" i="2"/>
  <c r="R1697" i="2"/>
  <c r="Q1697" i="2"/>
  <c r="P1697" i="2"/>
  <c r="S1696" i="2"/>
  <c r="R1696" i="2"/>
  <c r="Q1696" i="2"/>
  <c r="P1696" i="2"/>
  <c r="S1695" i="2"/>
  <c r="R1695" i="2"/>
  <c r="Q1695" i="2"/>
  <c r="P1695" i="2"/>
  <c r="S1694" i="2"/>
  <c r="R1694" i="2"/>
  <c r="Q1694" i="2"/>
  <c r="P1694" i="2"/>
  <c r="S1693" i="2"/>
  <c r="R1693" i="2"/>
  <c r="Q1693" i="2"/>
  <c r="P1693" i="2"/>
  <c r="S1692" i="2"/>
  <c r="R1692" i="2"/>
  <c r="Q1692" i="2"/>
  <c r="P1692" i="2"/>
  <c r="S1691" i="2"/>
  <c r="R1691" i="2"/>
  <c r="Q1691" i="2"/>
  <c r="P1691" i="2"/>
  <c r="S1690" i="2"/>
  <c r="R1690" i="2"/>
  <c r="Q1690" i="2"/>
  <c r="P1690" i="2"/>
  <c r="S1689" i="2"/>
  <c r="R1689" i="2"/>
  <c r="Q1689" i="2"/>
  <c r="P1689" i="2"/>
  <c r="S1688" i="2"/>
  <c r="R1688" i="2"/>
  <c r="Q1688" i="2"/>
  <c r="P1688" i="2"/>
  <c r="S1687" i="2"/>
  <c r="R1687" i="2"/>
  <c r="Q1687" i="2"/>
  <c r="P1687" i="2"/>
  <c r="S1686" i="2"/>
  <c r="R1686" i="2"/>
  <c r="Q1686" i="2"/>
  <c r="P1686" i="2"/>
  <c r="S1685" i="2"/>
  <c r="R1685" i="2"/>
  <c r="Q1685" i="2"/>
  <c r="P1685" i="2"/>
  <c r="S1684" i="2"/>
  <c r="R1684" i="2"/>
  <c r="Q1684" i="2"/>
  <c r="P1684" i="2"/>
  <c r="S1683" i="2"/>
  <c r="R1683" i="2"/>
  <c r="Q1683" i="2"/>
  <c r="P1683" i="2"/>
  <c r="S1682" i="2"/>
  <c r="R1682" i="2"/>
  <c r="Q1682" i="2"/>
  <c r="P1682" i="2"/>
  <c r="S1681" i="2"/>
  <c r="R1681" i="2"/>
  <c r="Q1681" i="2"/>
  <c r="P1681" i="2"/>
  <c r="S1680" i="2"/>
  <c r="R1680" i="2"/>
  <c r="Q1680" i="2"/>
  <c r="P1680" i="2"/>
  <c r="S1679" i="2"/>
  <c r="R1679" i="2"/>
  <c r="Q1679" i="2"/>
  <c r="P1679" i="2"/>
  <c r="S1678" i="2"/>
  <c r="R1678" i="2"/>
  <c r="Q1678" i="2"/>
  <c r="P1678" i="2"/>
  <c r="S1677" i="2"/>
  <c r="R1677" i="2"/>
  <c r="Q1677" i="2"/>
  <c r="P1677" i="2"/>
  <c r="S1676" i="2"/>
  <c r="R1676" i="2"/>
  <c r="Q1676" i="2"/>
  <c r="P1676" i="2"/>
  <c r="S1675" i="2"/>
  <c r="R1675" i="2"/>
  <c r="Q1675" i="2"/>
  <c r="P1675" i="2"/>
  <c r="S1674" i="2"/>
  <c r="R1674" i="2"/>
  <c r="Q1674" i="2"/>
  <c r="P1674" i="2"/>
  <c r="S1673" i="2"/>
  <c r="R1673" i="2"/>
  <c r="Q1673" i="2"/>
  <c r="P1673" i="2"/>
  <c r="S1672" i="2"/>
  <c r="R1672" i="2"/>
  <c r="Q1672" i="2"/>
  <c r="P1672" i="2"/>
  <c r="S1671" i="2"/>
  <c r="R1671" i="2"/>
  <c r="Q1671" i="2"/>
  <c r="P1671" i="2"/>
  <c r="S1670" i="2"/>
  <c r="R1670" i="2"/>
  <c r="Q1670" i="2"/>
  <c r="P1670" i="2"/>
  <c r="S1669" i="2"/>
  <c r="R1669" i="2"/>
  <c r="Q1669" i="2"/>
  <c r="P1669" i="2"/>
  <c r="S1668" i="2"/>
  <c r="R1668" i="2"/>
  <c r="Q1668" i="2"/>
  <c r="P1668" i="2"/>
  <c r="S1667" i="2"/>
  <c r="R1667" i="2"/>
  <c r="Q1667" i="2"/>
  <c r="P1667" i="2"/>
  <c r="S1666" i="2"/>
  <c r="R1666" i="2"/>
  <c r="Q1666" i="2"/>
  <c r="P1666" i="2"/>
  <c r="S1665" i="2"/>
  <c r="R1665" i="2"/>
  <c r="Q1665" i="2"/>
  <c r="P1665" i="2"/>
  <c r="S1664" i="2"/>
  <c r="R1664" i="2"/>
  <c r="Q1664" i="2"/>
  <c r="P1664" i="2"/>
  <c r="S1663" i="2"/>
  <c r="R1663" i="2"/>
  <c r="Q1663" i="2"/>
  <c r="P1663" i="2"/>
  <c r="S1662" i="2"/>
  <c r="R1662" i="2"/>
  <c r="Q1662" i="2"/>
  <c r="P1662" i="2"/>
  <c r="S1661" i="2"/>
  <c r="R1661" i="2"/>
  <c r="Q1661" i="2"/>
  <c r="P1661" i="2"/>
  <c r="S1660" i="2"/>
  <c r="R1660" i="2"/>
  <c r="Q1660" i="2"/>
  <c r="P1660" i="2"/>
  <c r="S1659" i="2"/>
  <c r="R1659" i="2"/>
  <c r="Q1659" i="2"/>
  <c r="P1659" i="2"/>
  <c r="S1658" i="2"/>
  <c r="R1658" i="2"/>
  <c r="Q1658" i="2"/>
  <c r="P1658" i="2"/>
  <c r="S1657" i="2"/>
  <c r="R1657" i="2"/>
  <c r="Q1657" i="2"/>
  <c r="P1657" i="2"/>
  <c r="S1656" i="2"/>
  <c r="R1656" i="2"/>
  <c r="Q1656" i="2"/>
  <c r="P1656" i="2"/>
  <c r="S1655" i="2"/>
  <c r="R1655" i="2"/>
  <c r="Q1655" i="2"/>
  <c r="P1655" i="2"/>
  <c r="S1654" i="2"/>
  <c r="R1654" i="2"/>
  <c r="Q1654" i="2"/>
  <c r="P1654" i="2"/>
  <c r="S1653" i="2"/>
  <c r="R1653" i="2"/>
  <c r="Q1653" i="2"/>
  <c r="P1653" i="2"/>
  <c r="S1652" i="2"/>
  <c r="R1652" i="2"/>
  <c r="Q1652" i="2"/>
  <c r="P1652" i="2"/>
  <c r="S1651" i="2"/>
  <c r="R1651" i="2"/>
  <c r="Q1651" i="2"/>
  <c r="P1651" i="2"/>
  <c r="S1650" i="2"/>
  <c r="R1650" i="2"/>
  <c r="Q1650" i="2"/>
  <c r="P1650" i="2"/>
  <c r="S1649" i="2"/>
  <c r="R1649" i="2"/>
  <c r="Q1649" i="2"/>
  <c r="P1649" i="2"/>
  <c r="S1648" i="2"/>
  <c r="R1648" i="2"/>
  <c r="Q1648" i="2"/>
  <c r="P1648" i="2"/>
  <c r="S1647" i="2"/>
  <c r="R1647" i="2"/>
  <c r="Q1647" i="2"/>
  <c r="P1647" i="2"/>
  <c r="S1646" i="2"/>
  <c r="R1646" i="2"/>
  <c r="Q1646" i="2"/>
  <c r="P1646" i="2"/>
  <c r="S1645" i="2"/>
  <c r="R1645" i="2"/>
  <c r="Q1645" i="2"/>
  <c r="P1645" i="2"/>
  <c r="S1644" i="2"/>
  <c r="R1644" i="2"/>
  <c r="Q1644" i="2"/>
  <c r="P1644" i="2"/>
  <c r="S1643" i="2"/>
  <c r="R1643" i="2"/>
  <c r="Q1643" i="2"/>
  <c r="P1643" i="2"/>
  <c r="S1642" i="2"/>
  <c r="R1642" i="2"/>
  <c r="Q1642" i="2"/>
  <c r="P1642" i="2"/>
  <c r="S1641" i="2"/>
  <c r="R1641" i="2"/>
  <c r="Q1641" i="2"/>
  <c r="P1641" i="2"/>
  <c r="S1640" i="2"/>
  <c r="R1640" i="2"/>
  <c r="Q1640" i="2"/>
  <c r="P1640" i="2"/>
  <c r="S1639" i="2"/>
  <c r="R1639" i="2"/>
  <c r="Q1639" i="2"/>
  <c r="P1639" i="2"/>
  <c r="S1638" i="2"/>
  <c r="R1638" i="2"/>
  <c r="Q1638" i="2"/>
  <c r="P1638" i="2"/>
  <c r="S1637" i="2"/>
  <c r="R1637" i="2"/>
  <c r="Q1637" i="2"/>
  <c r="P1637" i="2"/>
  <c r="S1636" i="2"/>
  <c r="R1636" i="2"/>
  <c r="Q1636" i="2"/>
  <c r="P1636" i="2"/>
  <c r="S1635" i="2"/>
  <c r="R1635" i="2"/>
  <c r="Q1635" i="2"/>
  <c r="P1635" i="2"/>
  <c r="S1634" i="2"/>
  <c r="R1634" i="2"/>
  <c r="Q1634" i="2"/>
  <c r="P1634" i="2"/>
  <c r="S1633" i="2"/>
  <c r="R1633" i="2"/>
  <c r="Q1633" i="2"/>
  <c r="P1633" i="2"/>
  <c r="S1632" i="2"/>
  <c r="R1632" i="2"/>
  <c r="Q1632" i="2"/>
  <c r="P1632" i="2"/>
  <c r="S1631" i="2"/>
  <c r="R1631" i="2"/>
  <c r="Q1631" i="2"/>
  <c r="P1631" i="2"/>
  <c r="S1630" i="2"/>
  <c r="R1630" i="2"/>
  <c r="Q1630" i="2"/>
  <c r="P1630" i="2"/>
  <c r="S1629" i="2"/>
  <c r="R1629" i="2"/>
  <c r="Q1629" i="2"/>
  <c r="P1629" i="2"/>
  <c r="S1628" i="2"/>
  <c r="R1628" i="2"/>
  <c r="Q1628" i="2"/>
  <c r="P1628" i="2"/>
  <c r="S1627" i="2"/>
  <c r="R1627" i="2"/>
  <c r="Q1627" i="2"/>
  <c r="P1627" i="2"/>
  <c r="S1626" i="2"/>
  <c r="R1626" i="2"/>
  <c r="Q1626" i="2"/>
  <c r="P1626" i="2"/>
  <c r="S1625" i="2"/>
  <c r="R1625" i="2"/>
  <c r="Q1625" i="2"/>
  <c r="P1625" i="2"/>
  <c r="S1624" i="2"/>
  <c r="R1624" i="2"/>
  <c r="Q1624" i="2"/>
  <c r="P1624" i="2"/>
  <c r="S1623" i="2"/>
  <c r="R1623" i="2"/>
  <c r="Q1623" i="2"/>
  <c r="P1623" i="2"/>
  <c r="S1622" i="2"/>
  <c r="R1622" i="2"/>
  <c r="Q1622" i="2"/>
  <c r="P1622" i="2"/>
  <c r="S1621" i="2"/>
  <c r="R1621" i="2"/>
  <c r="Q1621" i="2"/>
  <c r="P1621" i="2"/>
  <c r="S1620" i="2"/>
  <c r="R1620" i="2"/>
  <c r="Q1620" i="2"/>
  <c r="P1620" i="2"/>
  <c r="S1619" i="2"/>
  <c r="R1619" i="2"/>
  <c r="Q1619" i="2"/>
  <c r="P1619" i="2"/>
  <c r="S1618" i="2"/>
  <c r="R1618" i="2"/>
  <c r="Q1618" i="2"/>
  <c r="P1618" i="2"/>
  <c r="S1617" i="2"/>
  <c r="R1617" i="2"/>
  <c r="Q1617" i="2"/>
  <c r="P1617" i="2"/>
  <c r="S1616" i="2"/>
  <c r="R1616" i="2"/>
  <c r="Q1616" i="2"/>
  <c r="P1616" i="2"/>
  <c r="S1615" i="2"/>
  <c r="R1615" i="2"/>
  <c r="Q1615" i="2"/>
  <c r="P1615" i="2"/>
  <c r="S1614" i="2"/>
  <c r="R1614" i="2"/>
  <c r="Q1614" i="2"/>
  <c r="P1614" i="2"/>
  <c r="S1613" i="2"/>
  <c r="R1613" i="2"/>
  <c r="Q1613" i="2"/>
  <c r="P1613" i="2"/>
  <c r="S1612" i="2"/>
  <c r="R1612" i="2"/>
  <c r="Q1612" i="2"/>
  <c r="P1612" i="2"/>
  <c r="S1611" i="2"/>
  <c r="R1611" i="2"/>
  <c r="Q1611" i="2"/>
  <c r="P1611" i="2"/>
  <c r="S1610" i="2"/>
  <c r="R1610" i="2"/>
  <c r="Q1610" i="2"/>
  <c r="P1610" i="2"/>
  <c r="S1609" i="2"/>
  <c r="R1609" i="2"/>
  <c r="Q1609" i="2"/>
  <c r="P1609" i="2"/>
  <c r="S1608" i="2"/>
  <c r="R1608" i="2"/>
  <c r="Q1608" i="2"/>
  <c r="P1608" i="2"/>
  <c r="S1607" i="2"/>
  <c r="R1607" i="2"/>
  <c r="Q1607" i="2"/>
  <c r="P1607" i="2"/>
  <c r="S1606" i="2"/>
  <c r="R1606" i="2"/>
  <c r="Q1606" i="2"/>
  <c r="P1606" i="2"/>
  <c r="S1605" i="2"/>
  <c r="R1605" i="2"/>
  <c r="Q1605" i="2"/>
  <c r="P1605" i="2"/>
  <c r="S1604" i="2"/>
  <c r="R1604" i="2"/>
  <c r="Q1604" i="2"/>
  <c r="P1604" i="2"/>
  <c r="S1603" i="2"/>
  <c r="R1603" i="2"/>
  <c r="Q1603" i="2"/>
  <c r="P1603" i="2"/>
  <c r="S1602" i="2"/>
  <c r="R1602" i="2"/>
  <c r="Q1602" i="2"/>
  <c r="P1602" i="2"/>
  <c r="S1601" i="2"/>
  <c r="R1601" i="2"/>
  <c r="Q1601" i="2"/>
  <c r="P1601" i="2"/>
  <c r="S1600" i="2"/>
  <c r="R1600" i="2"/>
  <c r="Q1600" i="2"/>
  <c r="P1600" i="2"/>
  <c r="S1599" i="2"/>
  <c r="R1599" i="2"/>
  <c r="Q1599" i="2"/>
  <c r="P1599" i="2"/>
  <c r="S1598" i="2"/>
  <c r="R1598" i="2"/>
  <c r="Q1598" i="2"/>
  <c r="P1598" i="2"/>
  <c r="S1597" i="2"/>
  <c r="R1597" i="2"/>
  <c r="Q1597" i="2"/>
  <c r="P1597" i="2"/>
  <c r="S1596" i="2"/>
  <c r="R1596" i="2"/>
  <c r="Q1596" i="2"/>
  <c r="P1596" i="2"/>
  <c r="S1595" i="2"/>
  <c r="R1595" i="2"/>
  <c r="Q1595" i="2"/>
  <c r="P1595" i="2"/>
  <c r="S1594" i="2"/>
  <c r="R1594" i="2"/>
  <c r="Q1594" i="2"/>
  <c r="P1594" i="2"/>
  <c r="S1593" i="2"/>
  <c r="R1593" i="2"/>
  <c r="Q1593" i="2"/>
  <c r="P1593" i="2"/>
  <c r="S1592" i="2"/>
  <c r="R1592" i="2"/>
  <c r="Q1592" i="2"/>
  <c r="P1592" i="2"/>
  <c r="S1591" i="2"/>
  <c r="R1591" i="2"/>
  <c r="Q1591" i="2"/>
  <c r="P1591" i="2"/>
  <c r="S1590" i="2"/>
  <c r="R1590" i="2"/>
  <c r="Q1590" i="2"/>
  <c r="P1590" i="2"/>
  <c r="S1589" i="2"/>
  <c r="R1589" i="2"/>
  <c r="Q1589" i="2"/>
  <c r="P1589" i="2"/>
  <c r="S1588" i="2"/>
  <c r="R1588" i="2"/>
  <c r="Q1588" i="2"/>
  <c r="P1588" i="2"/>
  <c r="S1587" i="2"/>
  <c r="R1587" i="2"/>
  <c r="Q1587" i="2"/>
  <c r="P1587" i="2"/>
  <c r="S1586" i="2"/>
  <c r="R1586" i="2"/>
  <c r="Q1586" i="2"/>
  <c r="P1586" i="2"/>
  <c r="S1585" i="2"/>
  <c r="R1585" i="2"/>
  <c r="Q1585" i="2"/>
  <c r="P1585" i="2"/>
  <c r="S1584" i="2"/>
  <c r="R1584" i="2"/>
  <c r="Q1584" i="2"/>
  <c r="P1584" i="2"/>
  <c r="S1583" i="2"/>
  <c r="R1583" i="2"/>
  <c r="Q1583" i="2"/>
  <c r="P1583" i="2"/>
  <c r="S1582" i="2"/>
  <c r="R1582" i="2"/>
  <c r="Q1582" i="2"/>
  <c r="P1582" i="2"/>
  <c r="S1581" i="2"/>
  <c r="R1581" i="2"/>
  <c r="Q1581" i="2"/>
  <c r="P1581" i="2"/>
  <c r="S1580" i="2"/>
  <c r="R1580" i="2"/>
  <c r="Q1580" i="2"/>
  <c r="P1580" i="2"/>
  <c r="S1579" i="2"/>
  <c r="R1579" i="2"/>
  <c r="Q1579" i="2"/>
  <c r="P1579" i="2"/>
  <c r="S1578" i="2"/>
  <c r="R1578" i="2"/>
  <c r="Q1578" i="2"/>
  <c r="P1578" i="2"/>
  <c r="S1577" i="2"/>
  <c r="R1577" i="2"/>
  <c r="Q1577" i="2"/>
  <c r="P1577" i="2"/>
  <c r="S1576" i="2"/>
  <c r="R1576" i="2"/>
  <c r="Q1576" i="2"/>
  <c r="P1576" i="2"/>
  <c r="S1575" i="2"/>
  <c r="R1575" i="2"/>
  <c r="Q1575" i="2"/>
  <c r="P1575" i="2"/>
  <c r="S1574" i="2"/>
  <c r="R1574" i="2"/>
  <c r="Q1574" i="2"/>
  <c r="P1574" i="2"/>
  <c r="S1573" i="2"/>
  <c r="R1573" i="2"/>
  <c r="Q1573" i="2"/>
  <c r="P1573" i="2"/>
  <c r="S1572" i="2"/>
  <c r="R1572" i="2"/>
  <c r="Q1572" i="2"/>
  <c r="P1572" i="2"/>
  <c r="S1571" i="2"/>
  <c r="R1571" i="2"/>
  <c r="Q1571" i="2"/>
  <c r="P1571" i="2"/>
  <c r="S1570" i="2"/>
  <c r="R1570" i="2"/>
  <c r="Q1570" i="2"/>
  <c r="P1570" i="2"/>
  <c r="S1569" i="2"/>
  <c r="R1569" i="2"/>
  <c r="Q1569" i="2"/>
  <c r="P1569" i="2"/>
  <c r="S1568" i="2"/>
  <c r="R1568" i="2"/>
  <c r="Q1568" i="2"/>
  <c r="P1568" i="2"/>
  <c r="S1567" i="2"/>
  <c r="R1567" i="2"/>
  <c r="Q1567" i="2"/>
  <c r="P1567" i="2"/>
  <c r="S1566" i="2"/>
  <c r="R1566" i="2"/>
  <c r="Q1566" i="2"/>
  <c r="P1566" i="2"/>
  <c r="S1565" i="2"/>
  <c r="R1565" i="2"/>
  <c r="Q1565" i="2"/>
  <c r="P1565" i="2"/>
  <c r="S1564" i="2"/>
  <c r="R1564" i="2"/>
  <c r="Q1564" i="2"/>
  <c r="P1564" i="2"/>
  <c r="S1563" i="2"/>
  <c r="R1563" i="2"/>
  <c r="Q1563" i="2"/>
  <c r="P1563" i="2"/>
  <c r="S1562" i="2"/>
  <c r="R1562" i="2"/>
  <c r="Q1562" i="2"/>
  <c r="P1562" i="2"/>
  <c r="S1561" i="2"/>
  <c r="R1561" i="2"/>
  <c r="Q1561" i="2"/>
  <c r="P1561" i="2"/>
  <c r="S1560" i="2"/>
  <c r="R1560" i="2"/>
  <c r="Q1560" i="2"/>
  <c r="P1560" i="2"/>
  <c r="S1559" i="2"/>
  <c r="R1559" i="2"/>
  <c r="Q1559" i="2"/>
  <c r="P1559" i="2"/>
  <c r="S1558" i="2"/>
  <c r="R1558" i="2"/>
  <c r="Q1558" i="2"/>
  <c r="P1558" i="2"/>
  <c r="S1557" i="2"/>
  <c r="R1557" i="2"/>
  <c r="Q1557" i="2"/>
  <c r="P1557" i="2"/>
  <c r="S1556" i="2"/>
  <c r="R1556" i="2"/>
  <c r="Q1556" i="2"/>
  <c r="P1556" i="2"/>
  <c r="S1555" i="2"/>
  <c r="R1555" i="2"/>
  <c r="Q1555" i="2"/>
  <c r="P1555" i="2"/>
  <c r="S1554" i="2"/>
  <c r="R1554" i="2"/>
  <c r="Q1554" i="2"/>
  <c r="P1554" i="2"/>
  <c r="S1553" i="2"/>
  <c r="R1553" i="2"/>
  <c r="Q1553" i="2"/>
  <c r="P1553" i="2"/>
  <c r="S1552" i="2"/>
  <c r="R1552" i="2"/>
  <c r="Q1552" i="2"/>
  <c r="P1552" i="2"/>
  <c r="S1551" i="2"/>
  <c r="R1551" i="2"/>
  <c r="Q1551" i="2"/>
  <c r="P1551" i="2"/>
  <c r="S1550" i="2"/>
  <c r="R1550" i="2"/>
  <c r="Q1550" i="2"/>
  <c r="P1550" i="2"/>
  <c r="S1549" i="2"/>
  <c r="R1549" i="2"/>
  <c r="Q1549" i="2"/>
  <c r="P1549" i="2"/>
  <c r="S1548" i="2"/>
  <c r="R1548" i="2"/>
  <c r="Q1548" i="2"/>
  <c r="P1548" i="2"/>
  <c r="S1547" i="2"/>
  <c r="R1547" i="2"/>
  <c r="Q1547" i="2"/>
  <c r="P1547" i="2"/>
  <c r="S1546" i="2"/>
  <c r="R1546" i="2"/>
  <c r="Q1546" i="2"/>
  <c r="P1546" i="2"/>
  <c r="S1545" i="2"/>
  <c r="R1545" i="2"/>
  <c r="Q1545" i="2"/>
  <c r="P1545" i="2"/>
  <c r="S1544" i="2"/>
  <c r="R1544" i="2"/>
  <c r="Q1544" i="2"/>
  <c r="P1544" i="2"/>
  <c r="S1543" i="2"/>
  <c r="R1543" i="2"/>
  <c r="Q1543" i="2"/>
  <c r="P1543" i="2"/>
  <c r="S1542" i="2"/>
  <c r="R1542" i="2"/>
  <c r="Q1542" i="2"/>
  <c r="P1542" i="2"/>
  <c r="S1541" i="2"/>
  <c r="R1541" i="2"/>
  <c r="Q1541" i="2"/>
  <c r="P1541" i="2"/>
  <c r="S1540" i="2"/>
  <c r="R1540" i="2"/>
  <c r="Q1540" i="2"/>
  <c r="P1540" i="2"/>
  <c r="S1539" i="2"/>
  <c r="R1539" i="2"/>
  <c r="Q1539" i="2"/>
  <c r="P1539" i="2"/>
  <c r="S1538" i="2"/>
  <c r="R1538" i="2"/>
  <c r="Q1538" i="2"/>
  <c r="P1538" i="2"/>
  <c r="S1537" i="2"/>
  <c r="R1537" i="2"/>
  <c r="Q1537" i="2"/>
  <c r="P1537" i="2"/>
  <c r="S1536" i="2"/>
  <c r="R1536" i="2"/>
  <c r="Q1536" i="2"/>
  <c r="P1536" i="2"/>
  <c r="S1535" i="2"/>
  <c r="R1535" i="2"/>
  <c r="Q1535" i="2"/>
  <c r="P1535" i="2"/>
  <c r="S1534" i="2"/>
  <c r="R1534" i="2"/>
  <c r="Q1534" i="2"/>
  <c r="P1534" i="2"/>
  <c r="S1533" i="2"/>
  <c r="R1533" i="2"/>
  <c r="Q1533" i="2"/>
  <c r="P1533" i="2"/>
  <c r="S1532" i="2"/>
  <c r="R1532" i="2"/>
  <c r="Q1532" i="2"/>
  <c r="P1532" i="2"/>
  <c r="S1531" i="2"/>
  <c r="R1531" i="2"/>
  <c r="Q1531" i="2"/>
  <c r="P1531" i="2"/>
  <c r="S1530" i="2"/>
  <c r="R1530" i="2"/>
  <c r="Q1530" i="2"/>
  <c r="P1530" i="2"/>
  <c r="S1529" i="2"/>
  <c r="R1529" i="2"/>
  <c r="Q1529" i="2"/>
  <c r="P1529" i="2"/>
  <c r="S1528" i="2"/>
  <c r="R1528" i="2"/>
  <c r="Q1528" i="2"/>
  <c r="P1528" i="2"/>
  <c r="S1527" i="2"/>
  <c r="R1527" i="2"/>
  <c r="Q1527" i="2"/>
  <c r="P1527" i="2"/>
  <c r="S1526" i="2"/>
  <c r="R1526" i="2"/>
  <c r="Q1526" i="2"/>
  <c r="P1526" i="2"/>
  <c r="S1525" i="2"/>
  <c r="R1525" i="2"/>
  <c r="Q1525" i="2"/>
  <c r="P1525" i="2"/>
  <c r="S1524" i="2"/>
  <c r="R1524" i="2"/>
  <c r="Q1524" i="2"/>
  <c r="P1524" i="2"/>
  <c r="S1523" i="2"/>
  <c r="R1523" i="2"/>
  <c r="Q1523" i="2"/>
  <c r="P1523" i="2"/>
  <c r="S1522" i="2"/>
  <c r="R1522" i="2"/>
  <c r="Q1522" i="2"/>
  <c r="P1522" i="2"/>
  <c r="S1521" i="2"/>
  <c r="R1521" i="2"/>
  <c r="Q1521" i="2"/>
  <c r="P1521" i="2"/>
  <c r="S1520" i="2"/>
  <c r="R1520" i="2"/>
  <c r="Q1520" i="2"/>
  <c r="P1520" i="2"/>
  <c r="S1519" i="2"/>
  <c r="R1519" i="2"/>
  <c r="Q1519" i="2"/>
  <c r="P1519" i="2"/>
  <c r="S1518" i="2"/>
  <c r="R1518" i="2"/>
  <c r="Q1518" i="2"/>
  <c r="P1518" i="2"/>
  <c r="S1517" i="2"/>
  <c r="R1517" i="2"/>
  <c r="Q1517" i="2"/>
  <c r="P1517" i="2"/>
  <c r="S1516" i="2"/>
  <c r="R1516" i="2"/>
  <c r="Q1516" i="2"/>
  <c r="P1516" i="2"/>
  <c r="S1515" i="2"/>
  <c r="R1515" i="2"/>
  <c r="Q1515" i="2"/>
  <c r="P1515" i="2"/>
  <c r="S1514" i="2"/>
  <c r="R1514" i="2"/>
  <c r="Q1514" i="2"/>
  <c r="P1514" i="2"/>
  <c r="S1513" i="2"/>
  <c r="R1513" i="2"/>
  <c r="Q1513" i="2"/>
  <c r="P1513" i="2"/>
  <c r="S1512" i="2"/>
  <c r="R1512" i="2"/>
  <c r="Q1512" i="2"/>
  <c r="P1512" i="2"/>
  <c r="S1511" i="2"/>
  <c r="R1511" i="2"/>
  <c r="Q1511" i="2"/>
  <c r="P1511" i="2"/>
  <c r="S1510" i="2"/>
  <c r="R1510" i="2"/>
  <c r="Q1510" i="2"/>
  <c r="P1510" i="2"/>
  <c r="S1509" i="2"/>
  <c r="R1509" i="2"/>
  <c r="Q1509" i="2"/>
  <c r="P1509" i="2"/>
  <c r="S1508" i="2"/>
  <c r="R1508" i="2"/>
  <c r="Q1508" i="2"/>
  <c r="P1508" i="2"/>
  <c r="S1507" i="2"/>
  <c r="R1507" i="2"/>
  <c r="Q1507" i="2"/>
  <c r="P1507" i="2"/>
  <c r="S1506" i="2"/>
  <c r="R1506" i="2"/>
  <c r="Q1506" i="2"/>
  <c r="P1506" i="2"/>
  <c r="S1505" i="2"/>
  <c r="R1505" i="2"/>
  <c r="Q1505" i="2"/>
  <c r="P1505" i="2"/>
  <c r="S1504" i="2"/>
  <c r="R1504" i="2"/>
  <c r="Q1504" i="2"/>
  <c r="P1504" i="2"/>
  <c r="S1503" i="2"/>
  <c r="R1503" i="2"/>
  <c r="Q1503" i="2"/>
  <c r="P1503" i="2"/>
  <c r="S1502" i="2"/>
  <c r="R1502" i="2"/>
  <c r="Q1502" i="2"/>
  <c r="P1502" i="2"/>
  <c r="S1501" i="2"/>
  <c r="R1501" i="2"/>
  <c r="Q1501" i="2"/>
  <c r="P1501" i="2"/>
  <c r="S1500" i="2"/>
  <c r="R1500" i="2"/>
  <c r="Q1500" i="2"/>
  <c r="P1500" i="2"/>
  <c r="S1499" i="2"/>
  <c r="R1499" i="2"/>
  <c r="Q1499" i="2"/>
  <c r="P1499" i="2"/>
  <c r="S1498" i="2"/>
  <c r="R1498" i="2"/>
  <c r="Q1498" i="2"/>
  <c r="P1498" i="2"/>
  <c r="S1497" i="2"/>
  <c r="R1497" i="2"/>
  <c r="Q1497" i="2"/>
  <c r="P1497" i="2"/>
  <c r="S1496" i="2"/>
  <c r="R1496" i="2"/>
  <c r="Q1496" i="2"/>
  <c r="P1496" i="2"/>
  <c r="S1495" i="2"/>
  <c r="R1495" i="2"/>
  <c r="Q1495" i="2"/>
  <c r="P1495" i="2"/>
  <c r="S1494" i="2"/>
  <c r="R1494" i="2"/>
  <c r="Q1494" i="2"/>
  <c r="P1494" i="2"/>
  <c r="S1493" i="2"/>
  <c r="R1493" i="2"/>
  <c r="Q1493" i="2"/>
  <c r="P1493" i="2"/>
  <c r="S1492" i="2"/>
  <c r="R1492" i="2"/>
  <c r="Q1492" i="2"/>
  <c r="P1492" i="2"/>
  <c r="S1491" i="2"/>
  <c r="R1491" i="2"/>
  <c r="Q1491" i="2"/>
  <c r="P1491" i="2"/>
  <c r="S1490" i="2"/>
  <c r="R1490" i="2"/>
  <c r="Q1490" i="2"/>
  <c r="P1490" i="2"/>
  <c r="S1489" i="2"/>
  <c r="R1489" i="2"/>
  <c r="Q1489" i="2"/>
  <c r="P1489" i="2"/>
  <c r="S1488" i="2"/>
  <c r="R1488" i="2"/>
  <c r="Q1488" i="2"/>
  <c r="P1488" i="2"/>
  <c r="S1487" i="2"/>
  <c r="R1487" i="2"/>
  <c r="Q1487" i="2"/>
  <c r="P1487" i="2"/>
  <c r="S1486" i="2"/>
  <c r="R1486" i="2"/>
  <c r="Q1486" i="2"/>
  <c r="P1486" i="2"/>
  <c r="S1485" i="2"/>
  <c r="R1485" i="2"/>
  <c r="Q1485" i="2"/>
  <c r="P1485" i="2"/>
  <c r="S1484" i="2"/>
  <c r="R1484" i="2"/>
  <c r="Q1484" i="2"/>
  <c r="P1484" i="2"/>
  <c r="S1483" i="2"/>
  <c r="R1483" i="2"/>
  <c r="Q1483" i="2"/>
  <c r="P1483" i="2"/>
  <c r="S1482" i="2"/>
  <c r="R1482" i="2"/>
  <c r="Q1482" i="2"/>
  <c r="P1482" i="2"/>
  <c r="S1481" i="2"/>
  <c r="R1481" i="2"/>
  <c r="Q1481" i="2"/>
  <c r="P1481" i="2"/>
  <c r="S1480" i="2"/>
  <c r="R1480" i="2"/>
  <c r="Q1480" i="2"/>
  <c r="P1480" i="2"/>
  <c r="S1479" i="2"/>
  <c r="R1479" i="2"/>
  <c r="Q1479" i="2"/>
  <c r="P1479" i="2"/>
  <c r="S1478" i="2"/>
  <c r="R1478" i="2"/>
  <c r="Q1478" i="2"/>
  <c r="P1478" i="2"/>
  <c r="S1477" i="2"/>
  <c r="R1477" i="2"/>
  <c r="Q1477" i="2"/>
  <c r="P1477" i="2"/>
  <c r="S1476" i="2"/>
  <c r="R1476" i="2"/>
  <c r="Q1476" i="2"/>
  <c r="P1476" i="2"/>
  <c r="S1475" i="2"/>
  <c r="R1475" i="2"/>
  <c r="Q1475" i="2"/>
  <c r="P1475" i="2"/>
  <c r="S1474" i="2"/>
  <c r="R1474" i="2"/>
  <c r="Q1474" i="2"/>
  <c r="P1474" i="2"/>
  <c r="S1473" i="2"/>
  <c r="R1473" i="2"/>
  <c r="Q1473" i="2"/>
  <c r="P1473" i="2"/>
  <c r="S1472" i="2"/>
  <c r="R1472" i="2"/>
  <c r="Q1472" i="2"/>
  <c r="P1472" i="2"/>
  <c r="S1471" i="2"/>
  <c r="R1471" i="2"/>
  <c r="Q1471" i="2"/>
  <c r="P1471" i="2"/>
  <c r="S1470" i="2"/>
  <c r="R1470" i="2"/>
  <c r="Q1470" i="2"/>
  <c r="P1470" i="2"/>
  <c r="S1469" i="2"/>
  <c r="R1469" i="2"/>
  <c r="Q1469" i="2"/>
  <c r="P1469" i="2"/>
  <c r="S1468" i="2"/>
  <c r="R1468" i="2"/>
  <c r="Q1468" i="2"/>
  <c r="P1468" i="2"/>
  <c r="S1467" i="2"/>
  <c r="R1467" i="2"/>
  <c r="Q1467" i="2"/>
  <c r="P1467" i="2"/>
  <c r="S1466" i="2"/>
  <c r="R1466" i="2"/>
  <c r="Q1466" i="2"/>
  <c r="P1466" i="2"/>
  <c r="S1465" i="2"/>
  <c r="R1465" i="2"/>
  <c r="Q1465" i="2"/>
  <c r="P1465" i="2"/>
  <c r="S1464" i="2"/>
  <c r="R1464" i="2"/>
  <c r="Q1464" i="2"/>
  <c r="P1464" i="2"/>
  <c r="S1463" i="2"/>
  <c r="R1463" i="2"/>
  <c r="Q1463" i="2"/>
  <c r="P1463" i="2"/>
  <c r="S1462" i="2"/>
  <c r="R1462" i="2"/>
  <c r="Q1462" i="2"/>
  <c r="P1462" i="2"/>
  <c r="S1461" i="2"/>
  <c r="R1461" i="2"/>
  <c r="Q1461" i="2"/>
  <c r="P1461" i="2"/>
  <c r="S1460" i="2"/>
  <c r="R1460" i="2"/>
  <c r="Q1460" i="2"/>
  <c r="P1460" i="2"/>
  <c r="S1459" i="2"/>
  <c r="R1459" i="2"/>
  <c r="Q1459" i="2"/>
  <c r="P1459" i="2"/>
  <c r="S1458" i="2"/>
  <c r="R1458" i="2"/>
  <c r="Q1458" i="2"/>
  <c r="P1458" i="2"/>
  <c r="S1457" i="2"/>
  <c r="R1457" i="2"/>
  <c r="Q1457" i="2"/>
  <c r="P1457" i="2"/>
  <c r="S1456" i="2"/>
  <c r="R1456" i="2"/>
  <c r="Q1456" i="2"/>
  <c r="P1456" i="2"/>
  <c r="S1455" i="2"/>
  <c r="R1455" i="2"/>
  <c r="Q1455" i="2"/>
  <c r="P1455" i="2"/>
  <c r="S1454" i="2"/>
  <c r="R1454" i="2"/>
  <c r="Q1454" i="2"/>
  <c r="P1454" i="2"/>
  <c r="S1453" i="2"/>
  <c r="R1453" i="2"/>
  <c r="Q1453" i="2"/>
  <c r="P1453" i="2"/>
  <c r="S1452" i="2"/>
  <c r="R1452" i="2"/>
  <c r="Q1452" i="2"/>
  <c r="P1452" i="2"/>
  <c r="S1451" i="2"/>
  <c r="R1451" i="2"/>
  <c r="Q1451" i="2"/>
  <c r="P1451" i="2"/>
  <c r="S1450" i="2"/>
  <c r="R1450" i="2"/>
  <c r="Q1450" i="2"/>
  <c r="P1450" i="2"/>
  <c r="S1449" i="2"/>
  <c r="R1449" i="2"/>
  <c r="Q1449" i="2"/>
  <c r="P1449" i="2"/>
  <c r="S1448" i="2"/>
  <c r="R1448" i="2"/>
  <c r="Q1448" i="2"/>
  <c r="P1448" i="2"/>
  <c r="S1447" i="2"/>
  <c r="R1447" i="2"/>
  <c r="Q1447" i="2"/>
  <c r="P1447" i="2"/>
  <c r="S1446" i="2"/>
  <c r="R1446" i="2"/>
  <c r="Q1446" i="2"/>
  <c r="P1446" i="2"/>
  <c r="S1445" i="2"/>
  <c r="R1445" i="2"/>
  <c r="Q1445" i="2"/>
  <c r="P1445" i="2"/>
  <c r="S1444" i="2"/>
  <c r="R1444" i="2"/>
  <c r="Q1444" i="2"/>
  <c r="P1444" i="2"/>
  <c r="S1443" i="2"/>
  <c r="R1443" i="2"/>
  <c r="Q1443" i="2"/>
  <c r="P1443" i="2"/>
  <c r="S1442" i="2"/>
  <c r="R1442" i="2"/>
  <c r="Q1442" i="2"/>
  <c r="P1442" i="2"/>
  <c r="S1441" i="2"/>
  <c r="R1441" i="2"/>
  <c r="Q1441" i="2"/>
  <c r="P1441" i="2"/>
  <c r="S1440" i="2"/>
  <c r="R1440" i="2"/>
  <c r="Q1440" i="2"/>
  <c r="P1440" i="2"/>
  <c r="S1439" i="2"/>
  <c r="R1439" i="2"/>
  <c r="Q1439" i="2"/>
  <c r="P1439" i="2"/>
  <c r="S1438" i="2"/>
  <c r="R1438" i="2"/>
  <c r="Q1438" i="2"/>
  <c r="P1438" i="2"/>
  <c r="S1437" i="2"/>
  <c r="R1437" i="2"/>
  <c r="Q1437" i="2"/>
  <c r="P1437" i="2"/>
  <c r="S1436" i="2"/>
  <c r="R1436" i="2"/>
  <c r="Q1436" i="2"/>
  <c r="P1436" i="2"/>
  <c r="S1435" i="2"/>
  <c r="R1435" i="2"/>
  <c r="Q1435" i="2"/>
  <c r="P1435" i="2"/>
  <c r="S1434" i="2"/>
  <c r="R1434" i="2"/>
  <c r="Q1434" i="2"/>
  <c r="P1434" i="2"/>
  <c r="S1433" i="2"/>
  <c r="R1433" i="2"/>
  <c r="Q1433" i="2"/>
  <c r="P1433" i="2"/>
  <c r="S1432" i="2"/>
  <c r="R1432" i="2"/>
  <c r="Q1432" i="2"/>
  <c r="P1432" i="2"/>
  <c r="S1431" i="2"/>
  <c r="R1431" i="2"/>
  <c r="Q1431" i="2"/>
  <c r="P1431" i="2"/>
  <c r="S1430" i="2"/>
  <c r="R1430" i="2"/>
  <c r="Q1430" i="2"/>
  <c r="P1430" i="2"/>
  <c r="S1429" i="2"/>
  <c r="R1429" i="2"/>
  <c r="Q1429" i="2"/>
  <c r="P1429" i="2"/>
  <c r="S1428" i="2"/>
  <c r="R1428" i="2"/>
  <c r="Q1428" i="2"/>
  <c r="P1428" i="2"/>
  <c r="S1427" i="2"/>
  <c r="R1427" i="2"/>
  <c r="Q1427" i="2"/>
  <c r="P1427" i="2"/>
  <c r="S1426" i="2"/>
  <c r="R1426" i="2"/>
  <c r="Q1426" i="2"/>
  <c r="P1426" i="2"/>
  <c r="S1425" i="2"/>
  <c r="R1425" i="2"/>
  <c r="Q1425" i="2"/>
  <c r="P1425" i="2"/>
  <c r="S1424" i="2"/>
  <c r="R1424" i="2"/>
  <c r="Q1424" i="2"/>
  <c r="P1424" i="2"/>
  <c r="S1423" i="2"/>
  <c r="R1423" i="2"/>
  <c r="Q1423" i="2"/>
  <c r="P1423" i="2"/>
  <c r="S1422" i="2"/>
  <c r="R1422" i="2"/>
  <c r="Q1422" i="2"/>
  <c r="P1422" i="2"/>
  <c r="S1421" i="2"/>
  <c r="R1421" i="2"/>
  <c r="Q1421" i="2"/>
  <c r="P1421" i="2"/>
  <c r="S1420" i="2"/>
  <c r="R1420" i="2"/>
  <c r="Q1420" i="2"/>
  <c r="P1420" i="2"/>
  <c r="S1419" i="2"/>
  <c r="R1419" i="2"/>
  <c r="Q1419" i="2"/>
  <c r="P1419" i="2"/>
  <c r="S1418" i="2"/>
  <c r="R1418" i="2"/>
  <c r="Q1418" i="2"/>
  <c r="P1418" i="2"/>
  <c r="S1417" i="2"/>
  <c r="R1417" i="2"/>
  <c r="Q1417" i="2"/>
  <c r="P1417" i="2"/>
  <c r="S1416" i="2"/>
  <c r="R1416" i="2"/>
  <c r="Q1416" i="2"/>
  <c r="P1416" i="2"/>
  <c r="S1415" i="2"/>
  <c r="R1415" i="2"/>
  <c r="Q1415" i="2"/>
  <c r="P1415" i="2"/>
  <c r="S1414" i="2"/>
  <c r="R1414" i="2"/>
  <c r="Q1414" i="2"/>
  <c r="P1414" i="2"/>
  <c r="S1413" i="2"/>
  <c r="R1413" i="2"/>
  <c r="Q1413" i="2"/>
  <c r="P1413" i="2"/>
  <c r="S1412" i="2"/>
  <c r="R1412" i="2"/>
  <c r="Q1412" i="2"/>
  <c r="P1412" i="2"/>
  <c r="S1411" i="2"/>
  <c r="R1411" i="2"/>
  <c r="Q1411" i="2"/>
  <c r="P1411" i="2"/>
  <c r="S1410" i="2"/>
  <c r="R1410" i="2"/>
  <c r="Q1410" i="2"/>
  <c r="P1410" i="2"/>
  <c r="S1409" i="2"/>
  <c r="R1409" i="2"/>
  <c r="Q1409" i="2"/>
  <c r="P1409" i="2"/>
  <c r="S1408" i="2"/>
  <c r="R1408" i="2"/>
  <c r="Q1408" i="2"/>
  <c r="P1408" i="2"/>
  <c r="S1407" i="2"/>
  <c r="R1407" i="2"/>
  <c r="Q1407" i="2"/>
  <c r="P1407" i="2"/>
  <c r="S1406" i="2"/>
  <c r="R1406" i="2"/>
  <c r="Q1406" i="2"/>
  <c r="P1406" i="2"/>
  <c r="S1405" i="2"/>
  <c r="R1405" i="2"/>
  <c r="Q1405" i="2"/>
  <c r="P1405" i="2"/>
  <c r="S1404" i="2"/>
  <c r="R1404" i="2"/>
  <c r="Q1404" i="2"/>
  <c r="P1404" i="2"/>
  <c r="S1403" i="2"/>
  <c r="R1403" i="2"/>
  <c r="Q1403" i="2"/>
  <c r="P1403" i="2"/>
  <c r="S1402" i="2"/>
  <c r="R1402" i="2"/>
  <c r="Q1402" i="2"/>
  <c r="P1402" i="2"/>
  <c r="S1401" i="2"/>
  <c r="R1401" i="2"/>
  <c r="Q1401" i="2"/>
  <c r="P1401" i="2"/>
  <c r="S1400" i="2"/>
  <c r="R1400" i="2"/>
  <c r="Q1400" i="2"/>
  <c r="P1400" i="2"/>
  <c r="S1399" i="2"/>
  <c r="R1399" i="2"/>
  <c r="Q1399" i="2"/>
  <c r="P1399" i="2"/>
  <c r="S1398" i="2"/>
  <c r="R1398" i="2"/>
  <c r="Q1398" i="2"/>
  <c r="P1398" i="2"/>
  <c r="S1397" i="2"/>
  <c r="R1397" i="2"/>
  <c r="Q1397" i="2"/>
  <c r="P1397" i="2"/>
  <c r="S1396" i="2"/>
  <c r="R1396" i="2"/>
  <c r="Q1396" i="2"/>
  <c r="P1396" i="2"/>
  <c r="S1395" i="2"/>
  <c r="R1395" i="2"/>
  <c r="Q1395" i="2"/>
  <c r="P1395" i="2"/>
  <c r="S1394" i="2"/>
  <c r="R1394" i="2"/>
  <c r="Q1394" i="2"/>
  <c r="P1394" i="2"/>
  <c r="S1393" i="2"/>
  <c r="R1393" i="2"/>
  <c r="Q1393" i="2"/>
  <c r="P1393" i="2"/>
  <c r="S1392" i="2"/>
  <c r="R1392" i="2"/>
  <c r="Q1392" i="2"/>
  <c r="P1392" i="2"/>
  <c r="S1391" i="2"/>
  <c r="R1391" i="2"/>
  <c r="Q1391" i="2"/>
  <c r="P1391" i="2"/>
  <c r="S1390" i="2"/>
  <c r="R1390" i="2"/>
  <c r="Q1390" i="2"/>
  <c r="P1390" i="2"/>
  <c r="S1389" i="2"/>
  <c r="R1389" i="2"/>
  <c r="Q1389" i="2"/>
  <c r="P1389" i="2"/>
  <c r="S1388" i="2"/>
  <c r="R1388" i="2"/>
  <c r="Q1388" i="2"/>
  <c r="P1388" i="2"/>
  <c r="S1387" i="2"/>
  <c r="R1387" i="2"/>
  <c r="Q1387" i="2"/>
  <c r="P1387" i="2"/>
  <c r="S1386" i="2"/>
  <c r="R1386" i="2"/>
  <c r="Q1386" i="2"/>
  <c r="P1386" i="2"/>
  <c r="S1385" i="2"/>
  <c r="R1385" i="2"/>
  <c r="Q1385" i="2"/>
  <c r="P1385" i="2"/>
  <c r="S1384" i="2"/>
  <c r="R1384" i="2"/>
  <c r="Q1384" i="2"/>
  <c r="P1384" i="2"/>
  <c r="S1383" i="2"/>
  <c r="R1383" i="2"/>
  <c r="Q1383" i="2"/>
  <c r="P1383" i="2"/>
  <c r="S1382" i="2"/>
  <c r="R1382" i="2"/>
  <c r="Q1382" i="2"/>
  <c r="P1382" i="2"/>
  <c r="S1381" i="2"/>
  <c r="R1381" i="2"/>
  <c r="Q1381" i="2"/>
  <c r="P1381" i="2"/>
  <c r="S1380" i="2"/>
  <c r="R1380" i="2"/>
  <c r="Q1380" i="2"/>
  <c r="P1380" i="2"/>
  <c r="S1379" i="2"/>
  <c r="R1379" i="2"/>
  <c r="Q1379" i="2"/>
  <c r="P1379" i="2"/>
  <c r="S1378" i="2"/>
  <c r="R1378" i="2"/>
  <c r="Q1378" i="2"/>
  <c r="P1378" i="2"/>
  <c r="S1377" i="2"/>
  <c r="R1377" i="2"/>
  <c r="Q1377" i="2"/>
  <c r="P1377" i="2"/>
  <c r="S1376" i="2"/>
  <c r="R1376" i="2"/>
  <c r="Q1376" i="2"/>
  <c r="P1376" i="2"/>
  <c r="S1375" i="2"/>
  <c r="R1375" i="2"/>
  <c r="Q1375" i="2"/>
  <c r="P1375" i="2"/>
  <c r="S1374" i="2"/>
  <c r="R1374" i="2"/>
  <c r="Q1374" i="2"/>
  <c r="P1374" i="2"/>
  <c r="S1373" i="2"/>
  <c r="R1373" i="2"/>
  <c r="Q1373" i="2"/>
  <c r="P1373" i="2"/>
  <c r="S1372" i="2"/>
  <c r="R1372" i="2"/>
  <c r="Q1372" i="2"/>
  <c r="P1372" i="2"/>
  <c r="S1371" i="2"/>
  <c r="R1371" i="2"/>
  <c r="Q1371" i="2"/>
  <c r="P1371" i="2"/>
  <c r="S1370" i="2"/>
  <c r="R1370" i="2"/>
  <c r="Q1370" i="2"/>
  <c r="P1370" i="2"/>
  <c r="S1369" i="2"/>
  <c r="R1369" i="2"/>
  <c r="Q1369" i="2"/>
  <c r="P1369" i="2"/>
  <c r="S1368" i="2"/>
  <c r="R1368" i="2"/>
  <c r="Q1368" i="2"/>
  <c r="P1368" i="2"/>
  <c r="S1367" i="2"/>
  <c r="R1367" i="2"/>
  <c r="Q1367" i="2"/>
  <c r="P1367" i="2"/>
  <c r="S1366" i="2"/>
  <c r="R1366" i="2"/>
  <c r="Q1366" i="2"/>
  <c r="P1366" i="2"/>
  <c r="S1365" i="2"/>
  <c r="R1365" i="2"/>
  <c r="Q1365" i="2"/>
  <c r="P1365" i="2"/>
  <c r="S1364" i="2"/>
  <c r="R1364" i="2"/>
  <c r="Q1364" i="2"/>
  <c r="P1364" i="2"/>
  <c r="S1363" i="2"/>
  <c r="R1363" i="2"/>
  <c r="Q1363" i="2"/>
  <c r="P1363" i="2"/>
  <c r="S1362" i="2"/>
  <c r="R1362" i="2"/>
  <c r="Q1362" i="2"/>
  <c r="P1362" i="2"/>
  <c r="S1361" i="2"/>
  <c r="R1361" i="2"/>
  <c r="Q1361" i="2"/>
  <c r="P1361" i="2"/>
  <c r="S1360" i="2"/>
  <c r="R1360" i="2"/>
  <c r="Q1360" i="2"/>
  <c r="P1360" i="2"/>
  <c r="S1359" i="2"/>
  <c r="R1359" i="2"/>
  <c r="Q1359" i="2"/>
  <c r="P1359" i="2"/>
  <c r="S1358" i="2"/>
  <c r="R1358" i="2"/>
  <c r="Q1358" i="2"/>
  <c r="P1358" i="2"/>
  <c r="S1357" i="2"/>
  <c r="R1357" i="2"/>
  <c r="Q1357" i="2"/>
  <c r="P1357" i="2"/>
  <c r="S1356" i="2"/>
  <c r="R1356" i="2"/>
  <c r="Q1356" i="2"/>
  <c r="P1356" i="2"/>
  <c r="S1355" i="2"/>
  <c r="R1355" i="2"/>
  <c r="Q1355" i="2"/>
  <c r="P1355" i="2"/>
  <c r="S1354" i="2"/>
  <c r="R1354" i="2"/>
  <c r="Q1354" i="2"/>
  <c r="P1354" i="2"/>
  <c r="S1353" i="2"/>
  <c r="R1353" i="2"/>
  <c r="Q1353" i="2"/>
  <c r="P1353" i="2"/>
  <c r="S1352" i="2"/>
  <c r="R1352" i="2"/>
  <c r="Q1352" i="2"/>
  <c r="P1352" i="2"/>
  <c r="S1351" i="2"/>
  <c r="R1351" i="2"/>
  <c r="Q1351" i="2"/>
  <c r="P1351" i="2"/>
  <c r="S1350" i="2"/>
  <c r="R1350" i="2"/>
  <c r="Q1350" i="2"/>
  <c r="P1350" i="2"/>
  <c r="S1349" i="2"/>
  <c r="R1349" i="2"/>
  <c r="Q1349" i="2"/>
  <c r="P1349" i="2"/>
  <c r="S1348" i="2"/>
  <c r="R1348" i="2"/>
  <c r="Q1348" i="2"/>
  <c r="P1348" i="2"/>
  <c r="S1347" i="2"/>
  <c r="R1347" i="2"/>
  <c r="Q1347" i="2"/>
  <c r="P1347" i="2"/>
  <c r="S1346" i="2"/>
  <c r="R1346" i="2"/>
  <c r="Q1346" i="2"/>
  <c r="P1346" i="2"/>
  <c r="S1345" i="2"/>
  <c r="R1345" i="2"/>
  <c r="Q1345" i="2"/>
  <c r="P1345" i="2"/>
  <c r="S1344" i="2"/>
  <c r="R1344" i="2"/>
  <c r="Q1344" i="2"/>
  <c r="P1344" i="2"/>
  <c r="S1343" i="2"/>
  <c r="R1343" i="2"/>
  <c r="Q1343" i="2"/>
  <c r="P1343" i="2"/>
  <c r="S1342" i="2"/>
  <c r="R1342" i="2"/>
  <c r="Q1342" i="2"/>
  <c r="P1342" i="2"/>
  <c r="S1341" i="2"/>
  <c r="R1341" i="2"/>
  <c r="Q1341" i="2"/>
  <c r="P1341" i="2"/>
  <c r="S1340" i="2"/>
  <c r="R1340" i="2"/>
  <c r="Q1340" i="2"/>
  <c r="P1340" i="2"/>
  <c r="S1339" i="2"/>
  <c r="R1339" i="2"/>
  <c r="Q1339" i="2"/>
  <c r="P1339" i="2"/>
  <c r="S1338" i="2"/>
  <c r="R1338" i="2"/>
  <c r="Q1338" i="2"/>
  <c r="P1338" i="2"/>
  <c r="S1337" i="2"/>
  <c r="R1337" i="2"/>
  <c r="Q1337" i="2"/>
  <c r="P1337" i="2"/>
  <c r="S1336" i="2"/>
  <c r="R1336" i="2"/>
  <c r="Q1336" i="2"/>
  <c r="P1336" i="2"/>
  <c r="S1335" i="2"/>
  <c r="R1335" i="2"/>
  <c r="Q1335" i="2"/>
  <c r="P1335" i="2"/>
  <c r="S1334" i="2"/>
  <c r="R1334" i="2"/>
  <c r="Q1334" i="2"/>
  <c r="P1334" i="2"/>
  <c r="S1333" i="2"/>
  <c r="R1333" i="2"/>
  <c r="Q1333" i="2"/>
  <c r="P1333" i="2"/>
  <c r="S1332" i="2"/>
  <c r="R1332" i="2"/>
  <c r="Q1332" i="2"/>
  <c r="P1332" i="2"/>
  <c r="S1331" i="2"/>
  <c r="R1331" i="2"/>
  <c r="Q1331" i="2"/>
  <c r="P1331" i="2"/>
  <c r="S1330" i="2"/>
  <c r="R1330" i="2"/>
  <c r="Q1330" i="2"/>
  <c r="P1330" i="2"/>
  <c r="S1329" i="2"/>
  <c r="R1329" i="2"/>
  <c r="Q1329" i="2"/>
  <c r="P1329" i="2"/>
  <c r="S1328" i="2"/>
  <c r="R1328" i="2"/>
  <c r="Q1328" i="2"/>
  <c r="P1328" i="2"/>
  <c r="S1327" i="2"/>
  <c r="R1327" i="2"/>
  <c r="Q1327" i="2"/>
  <c r="P1327" i="2"/>
  <c r="S1326" i="2"/>
  <c r="R1326" i="2"/>
  <c r="Q1326" i="2"/>
  <c r="P1326" i="2"/>
  <c r="S1325" i="2"/>
  <c r="R1325" i="2"/>
  <c r="Q1325" i="2"/>
  <c r="P1325" i="2"/>
  <c r="S1324" i="2"/>
  <c r="R1324" i="2"/>
  <c r="Q1324" i="2"/>
  <c r="P1324" i="2"/>
  <c r="S1323" i="2"/>
  <c r="R1323" i="2"/>
  <c r="Q1323" i="2"/>
  <c r="P1323" i="2"/>
  <c r="S1322" i="2"/>
  <c r="R1322" i="2"/>
  <c r="Q1322" i="2"/>
  <c r="P1322" i="2"/>
  <c r="S1321" i="2"/>
  <c r="R1321" i="2"/>
  <c r="Q1321" i="2"/>
  <c r="P1321" i="2"/>
  <c r="S1320" i="2"/>
  <c r="R1320" i="2"/>
  <c r="Q1320" i="2"/>
  <c r="P1320" i="2"/>
  <c r="S1319" i="2"/>
  <c r="R1319" i="2"/>
  <c r="Q1319" i="2"/>
  <c r="P1319" i="2"/>
  <c r="S1318" i="2"/>
  <c r="R1318" i="2"/>
  <c r="Q1318" i="2"/>
  <c r="P1318" i="2"/>
  <c r="S1317" i="2"/>
  <c r="R1317" i="2"/>
  <c r="Q1317" i="2"/>
  <c r="P1317" i="2"/>
  <c r="S1316" i="2"/>
  <c r="R1316" i="2"/>
  <c r="Q1316" i="2"/>
  <c r="P1316" i="2"/>
  <c r="S1315" i="2"/>
  <c r="R1315" i="2"/>
  <c r="Q1315" i="2"/>
  <c r="P1315" i="2"/>
  <c r="S1314" i="2"/>
  <c r="R1314" i="2"/>
  <c r="Q1314" i="2"/>
  <c r="P1314" i="2"/>
  <c r="S1313" i="2"/>
  <c r="R1313" i="2"/>
  <c r="Q1313" i="2"/>
  <c r="P1313" i="2"/>
  <c r="S1312" i="2"/>
  <c r="R1312" i="2"/>
  <c r="Q1312" i="2"/>
  <c r="P1312" i="2"/>
  <c r="S1311" i="2"/>
  <c r="R1311" i="2"/>
  <c r="Q1311" i="2"/>
  <c r="P1311" i="2"/>
  <c r="S1310" i="2"/>
  <c r="R1310" i="2"/>
  <c r="Q1310" i="2"/>
  <c r="P1310" i="2"/>
  <c r="S1309" i="2"/>
  <c r="R1309" i="2"/>
  <c r="Q1309" i="2"/>
  <c r="P1309" i="2"/>
  <c r="S1308" i="2"/>
  <c r="R1308" i="2"/>
  <c r="Q1308" i="2"/>
  <c r="P1308" i="2"/>
  <c r="S1307" i="2"/>
  <c r="R1307" i="2"/>
  <c r="Q1307" i="2"/>
  <c r="P1307" i="2"/>
  <c r="S1306" i="2"/>
  <c r="R1306" i="2"/>
  <c r="Q1306" i="2"/>
  <c r="P1306" i="2"/>
  <c r="S1305" i="2"/>
  <c r="R1305" i="2"/>
  <c r="Q1305" i="2"/>
  <c r="P1305" i="2"/>
  <c r="S1304" i="2"/>
  <c r="R1304" i="2"/>
  <c r="Q1304" i="2"/>
  <c r="P1304" i="2"/>
  <c r="S1303" i="2"/>
  <c r="R1303" i="2"/>
  <c r="Q1303" i="2"/>
  <c r="P1303" i="2"/>
  <c r="S1302" i="2"/>
  <c r="R1302" i="2"/>
  <c r="Q1302" i="2"/>
  <c r="P1302" i="2"/>
  <c r="S1301" i="2"/>
  <c r="R1301" i="2"/>
  <c r="Q1301" i="2"/>
  <c r="P1301" i="2"/>
  <c r="S1300" i="2"/>
  <c r="R1300" i="2"/>
  <c r="Q1300" i="2"/>
  <c r="P1300" i="2"/>
  <c r="S1299" i="2"/>
  <c r="R1299" i="2"/>
  <c r="Q1299" i="2"/>
  <c r="P1299" i="2"/>
  <c r="S1298" i="2"/>
  <c r="R1298" i="2"/>
  <c r="Q1298" i="2"/>
  <c r="P1298" i="2"/>
  <c r="S1297" i="2"/>
  <c r="R1297" i="2"/>
  <c r="Q1297" i="2"/>
  <c r="P1297" i="2"/>
  <c r="S1296" i="2"/>
  <c r="R1296" i="2"/>
  <c r="Q1296" i="2"/>
  <c r="P1296" i="2"/>
  <c r="S1295" i="2"/>
  <c r="R1295" i="2"/>
  <c r="Q1295" i="2"/>
  <c r="P1295" i="2"/>
  <c r="S1294" i="2"/>
  <c r="R1294" i="2"/>
  <c r="Q1294" i="2"/>
  <c r="P1294" i="2"/>
  <c r="S1293" i="2"/>
  <c r="R1293" i="2"/>
  <c r="Q1293" i="2"/>
  <c r="P1293" i="2"/>
  <c r="S1292" i="2"/>
  <c r="R1292" i="2"/>
  <c r="Q1292" i="2"/>
  <c r="P1292" i="2"/>
  <c r="S1291" i="2"/>
  <c r="R1291" i="2"/>
  <c r="Q1291" i="2"/>
  <c r="P1291" i="2"/>
  <c r="S1290" i="2"/>
  <c r="R1290" i="2"/>
  <c r="Q1290" i="2"/>
  <c r="P1290" i="2"/>
  <c r="S1289" i="2"/>
  <c r="R1289" i="2"/>
  <c r="Q1289" i="2"/>
  <c r="P1289" i="2"/>
  <c r="S1288" i="2"/>
  <c r="R1288" i="2"/>
  <c r="Q1288" i="2"/>
  <c r="P1288" i="2"/>
  <c r="S1287" i="2"/>
  <c r="R1287" i="2"/>
  <c r="Q1287" i="2"/>
  <c r="P1287" i="2"/>
  <c r="S1286" i="2"/>
  <c r="R1286" i="2"/>
  <c r="Q1286" i="2"/>
  <c r="P1286" i="2"/>
  <c r="S1285" i="2"/>
  <c r="R1285" i="2"/>
  <c r="Q1285" i="2"/>
  <c r="P1285" i="2"/>
  <c r="S1284" i="2"/>
  <c r="R1284" i="2"/>
  <c r="Q1284" i="2"/>
  <c r="P1284" i="2"/>
  <c r="S1283" i="2"/>
  <c r="R1283" i="2"/>
  <c r="Q1283" i="2"/>
  <c r="P1283" i="2"/>
  <c r="S1282" i="2"/>
  <c r="R1282" i="2"/>
  <c r="Q1282" i="2"/>
  <c r="P1282" i="2"/>
  <c r="S1281" i="2"/>
  <c r="R1281" i="2"/>
  <c r="Q1281" i="2"/>
  <c r="P1281" i="2"/>
  <c r="S1280" i="2"/>
  <c r="R1280" i="2"/>
  <c r="Q1280" i="2"/>
  <c r="P1280" i="2"/>
  <c r="S1279" i="2"/>
  <c r="R1279" i="2"/>
  <c r="Q1279" i="2"/>
  <c r="P1279" i="2"/>
  <c r="S1278" i="2"/>
  <c r="R1278" i="2"/>
  <c r="Q1278" i="2"/>
  <c r="P1278" i="2"/>
  <c r="S1277" i="2"/>
  <c r="R1277" i="2"/>
  <c r="Q1277" i="2"/>
  <c r="P1277" i="2"/>
  <c r="S1276" i="2"/>
  <c r="R1276" i="2"/>
  <c r="Q1276" i="2"/>
  <c r="P1276" i="2"/>
  <c r="S1275" i="2"/>
  <c r="R1275" i="2"/>
  <c r="Q1275" i="2"/>
  <c r="P1275" i="2"/>
  <c r="S1274" i="2"/>
  <c r="R1274" i="2"/>
  <c r="Q1274" i="2"/>
  <c r="P1274" i="2"/>
  <c r="S1273" i="2"/>
  <c r="R1273" i="2"/>
  <c r="Q1273" i="2"/>
  <c r="P1273" i="2"/>
  <c r="S1272" i="2"/>
  <c r="R1272" i="2"/>
  <c r="Q1272" i="2"/>
  <c r="P1272" i="2"/>
  <c r="S1271" i="2"/>
  <c r="R1271" i="2"/>
  <c r="Q1271" i="2"/>
  <c r="P1271" i="2"/>
  <c r="S1270" i="2"/>
  <c r="R1270" i="2"/>
  <c r="Q1270" i="2"/>
  <c r="P1270" i="2"/>
  <c r="S1269" i="2"/>
  <c r="R1269" i="2"/>
  <c r="Q1269" i="2"/>
  <c r="P1269" i="2"/>
  <c r="S1268" i="2"/>
  <c r="R1268" i="2"/>
  <c r="Q1268" i="2"/>
  <c r="P1268" i="2"/>
  <c r="S1267" i="2"/>
  <c r="R1267" i="2"/>
  <c r="Q1267" i="2"/>
  <c r="P1267" i="2"/>
  <c r="S1266" i="2"/>
  <c r="R1266" i="2"/>
  <c r="Q1266" i="2"/>
  <c r="P1266" i="2"/>
  <c r="S1265" i="2"/>
  <c r="R1265" i="2"/>
  <c r="Q1265" i="2"/>
  <c r="P1265" i="2"/>
  <c r="S1264" i="2"/>
  <c r="R1264" i="2"/>
  <c r="Q1264" i="2"/>
  <c r="P1264" i="2"/>
  <c r="S1263" i="2"/>
  <c r="R1263" i="2"/>
  <c r="Q1263" i="2"/>
  <c r="P1263" i="2"/>
  <c r="S1262" i="2"/>
  <c r="R1262" i="2"/>
  <c r="Q1262" i="2"/>
  <c r="P1262" i="2"/>
  <c r="S1261" i="2"/>
  <c r="R1261" i="2"/>
  <c r="Q1261" i="2"/>
  <c r="P1261" i="2"/>
  <c r="S1260" i="2"/>
  <c r="R1260" i="2"/>
  <c r="Q1260" i="2"/>
  <c r="P1260" i="2"/>
  <c r="S1259" i="2"/>
  <c r="R1259" i="2"/>
  <c r="Q1259" i="2"/>
  <c r="P1259" i="2"/>
  <c r="S1258" i="2"/>
  <c r="R1258" i="2"/>
  <c r="Q1258" i="2"/>
  <c r="P1258" i="2"/>
  <c r="S1257" i="2"/>
  <c r="R1257" i="2"/>
  <c r="Q1257" i="2"/>
  <c r="P1257" i="2"/>
  <c r="S1256" i="2"/>
  <c r="R1256" i="2"/>
  <c r="Q1256" i="2"/>
  <c r="P1256" i="2"/>
  <c r="S1255" i="2"/>
  <c r="R1255" i="2"/>
  <c r="Q1255" i="2"/>
  <c r="P1255" i="2"/>
  <c r="S1254" i="2"/>
  <c r="R1254" i="2"/>
  <c r="Q1254" i="2"/>
  <c r="P1254" i="2"/>
  <c r="S1253" i="2"/>
  <c r="R1253" i="2"/>
  <c r="Q1253" i="2"/>
  <c r="P1253" i="2"/>
  <c r="S1252" i="2"/>
  <c r="R1252" i="2"/>
  <c r="Q1252" i="2"/>
  <c r="P1252" i="2"/>
  <c r="S1251" i="2"/>
  <c r="R1251" i="2"/>
  <c r="Q1251" i="2"/>
  <c r="P1251" i="2"/>
  <c r="S1250" i="2"/>
  <c r="R1250" i="2"/>
  <c r="Q1250" i="2"/>
  <c r="P1250" i="2"/>
  <c r="S1249" i="2"/>
  <c r="R1249" i="2"/>
  <c r="Q1249" i="2"/>
  <c r="P1249" i="2"/>
  <c r="S1248" i="2"/>
  <c r="R1248" i="2"/>
  <c r="Q1248" i="2"/>
  <c r="P1248" i="2"/>
  <c r="S1247" i="2"/>
  <c r="R1247" i="2"/>
  <c r="Q1247" i="2"/>
  <c r="P1247" i="2"/>
  <c r="S1246" i="2"/>
  <c r="R1246" i="2"/>
  <c r="Q1246" i="2"/>
  <c r="P1246" i="2"/>
  <c r="S1245" i="2"/>
  <c r="R1245" i="2"/>
  <c r="Q1245" i="2"/>
  <c r="P1245" i="2"/>
  <c r="S1244" i="2"/>
  <c r="R1244" i="2"/>
  <c r="Q1244" i="2"/>
  <c r="P1244" i="2"/>
  <c r="S1243" i="2"/>
  <c r="R1243" i="2"/>
  <c r="Q1243" i="2"/>
  <c r="P1243" i="2"/>
  <c r="S1242" i="2"/>
  <c r="R1242" i="2"/>
  <c r="Q1242" i="2"/>
  <c r="P1242" i="2"/>
  <c r="S1241" i="2"/>
  <c r="R1241" i="2"/>
  <c r="Q1241" i="2"/>
  <c r="P1241" i="2"/>
  <c r="S1240" i="2"/>
  <c r="R1240" i="2"/>
  <c r="Q1240" i="2"/>
  <c r="P1240" i="2"/>
  <c r="S1239" i="2"/>
  <c r="R1239" i="2"/>
  <c r="Q1239" i="2"/>
  <c r="P1239" i="2"/>
  <c r="S1238" i="2"/>
  <c r="R1238" i="2"/>
  <c r="Q1238" i="2"/>
  <c r="P1238" i="2"/>
  <c r="S1237" i="2"/>
  <c r="R1237" i="2"/>
  <c r="Q1237" i="2"/>
  <c r="P1237" i="2"/>
  <c r="S1236" i="2"/>
  <c r="R1236" i="2"/>
  <c r="Q1236" i="2"/>
  <c r="P1236" i="2"/>
  <c r="S1235" i="2"/>
  <c r="R1235" i="2"/>
  <c r="Q1235" i="2"/>
  <c r="P1235" i="2"/>
  <c r="S1234" i="2"/>
  <c r="R1234" i="2"/>
  <c r="Q1234" i="2"/>
  <c r="P1234" i="2"/>
  <c r="S1233" i="2"/>
  <c r="R1233" i="2"/>
  <c r="Q1233" i="2"/>
  <c r="P1233" i="2"/>
  <c r="S1232" i="2"/>
  <c r="R1232" i="2"/>
  <c r="Q1232" i="2"/>
  <c r="P1232" i="2"/>
  <c r="S1231" i="2"/>
  <c r="R1231" i="2"/>
  <c r="Q1231" i="2"/>
  <c r="P1231" i="2"/>
  <c r="S1230" i="2"/>
  <c r="R1230" i="2"/>
  <c r="Q1230" i="2"/>
  <c r="P1230" i="2"/>
  <c r="S1229" i="2"/>
  <c r="R1229" i="2"/>
  <c r="Q1229" i="2"/>
  <c r="P1229" i="2"/>
  <c r="S1228" i="2"/>
  <c r="R1228" i="2"/>
  <c r="Q1228" i="2"/>
  <c r="P1228" i="2"/>
  <c r="S1227" i="2"/>
  <c r="R1227" i="2"/>
  <c r="Q1227" i="2"/>
  <c r="P1227" i="2"/>
  <c r="S1226" i="2"/>
  <c r="R1226" i="2"/>
  <c r="Q1226" i="2"/>
  <c r="P1226" i="2"/>
  <c r="S1225" i="2"/>
  <c r="R1225" i="2"/>
  <c r="Q1225" i="2"/>
  <c r="P1225" i="2"/>
  <c r="S1224" i="2"/>
  <c r="R1224" i="2"/>
  <c r="Q1224" i="2"/>
  <c r="P1224" i="2"/>
  <c r="S1223" i="2"/>
  <c r="R1223" i="2"/>
  <c r="Q1223" i="2"/>
  <c r="P1223" i="2"/>
  <c r="S1222" i="2"/>
  <c r="R1222" i="2"/>
  <c r="Q1222" i="2"/>
  <c r="P1222" i="2"/>
  <c r="S1221" i="2"/>
  <c r="R1221" i="2"/>
  <c r="Q1221" i="2"/>
  <c r="P1221" i="2"/>
  <c r="S1220" i="2"/>
  <c r="R1220" i="2"/>
  <c r="Q1220" i="2"/>
  <c r="P1220" i="2"/>
  <c r="S1219" i="2"/>
  <c r="R1219" i="2"/>
  <c r="Q1219" i="2"/>
  <c r="P1219" i="2"/>
  <c r="S1218" i="2"/>
  <c r="R1218" i="2"/>
  <c r="Q1218" i="2"/>
  <c r="P1218" i="2"/>
  <c r="S1217" i="2"/>
  <c r="R1217" i="2"/>
  <c r="Q1217" i="2"/>
  <c r="P1217" i="2"/>
  <c r="S1216" i="2"/>
  <c r="R1216" i="2"/>
  <c r="Q1216" i="2"/>
  <c r="P1216" i="2"/>
  <c r="S1215" i="2"/>
  <c r="R1215" i="2"/>
  <c r="Q1215" i="2"/>
  <c r="P1215" i="2"/>
  <c r="S1214" i="2"/>
  <c r="R1214" i="2"/>
  <c r="Q1214" i="2"/>
  <c r="P1214" i="2"/>
  <c r="S1213" i="2"/>
  <c r="R1213" i="2"/>
  <c r="Q1213" i="2"/>
  <c r="P1213" i="2"/>
  <c r="S1212" i="2"/>
  <c r="R1212" i="2"/>
  <c r="Q1212" i="2"/>
  <c r="P1212" i="2"/>
  <c r="S1211" i="2"/>
  <c r="R1211" i="2"/>
  <c r="Q1211" i="2"/>
  <c r="P1211" i="2"/>
  <c r="S1210" i="2"/>
  <c r="R1210" i="2"/>
  <c r="Q1210" i="2"/>
  <c r="P1210" i="2"/>
  <c r="S1209" i="2"/>
  <c r="R1209" i="2"/>
  <c r="Q1209" i="2"/>
  <c r="P1209" i="2"/>
  <c r="S1208" i="2"/>
  <c r="R1208" i="2"/>
  <c r="Q1208" i="2"/>
  <c r="P1208" i="2"/>
  <c r="S1207" i="2"/>
  <c r="R1207" i="2"/>
  <c r="Q1207" i="2"/>
  <c r="P1207" i="2"/>
  <c r="S1206" i="2"/>
  <c r="R1206" i="2"/>
  <c r="Q1206" i="2"/>
  <c r="P1206" i="2"/>
  <c r="S1205" i="2"/>
  <c r="R1205" i="2"/>
  <c r="Q1205" i="2"/>
  <c r="P1205" i="2"/>
  <c r="S1204" i="2"/>
  <c r="R1204" i="2"/>
  <c r="Q1204" i="2"/>
  <c r="P1204" i="2"/>
  <c r="S1203" i="2"/>
  <c r="R1203" i="2"/>
  <c r="Q1203" i="2"/>
  <c r="P1203" i="2"/>
  <c r="S1202" i="2"/>
  <c r="R1202" i="2"/>
  <c r="Q1202" i="2"/>
  <c r="P1202" i="2"/>
  <c r="S1201" i="2"/>
  <c r="R1201" i="2"/>
  <c r="Q1201" i="2"/>
  <c r="P1201" i="2"/>
  <c r="S1200" i="2"/>
  <c r="R1200" i="2"/>
  <c r="Q1200" i="2"/>
  <c r="P1200" i="2"/>
  <c r="S1199" i="2"/>
  <c r="R1199" i="2"/>
  <c r="Q1199" i="2"/>
  <c r="P1199" i="2"/>
  <c r="S1198" i="2"/>
  <c r="R1198" i="2"/>
  <c r="Q1198" i="2"/>
  <c r="P1198" i="2"/>
  <c r="S1197" i="2"/>
  <c r="R1197" i="2"/>
  <c r="Q1197" i="2"/>
  <c r="P1197" i="2"/>
  <c r="S1196" i="2"/>
  <c r="R1196" i="2"/>
  <c r="Q1196" i="2"/>
  <c r="P1196" i="2"/>
  <c r="S1195" i="2"/>
  <c r="R1195" i="2"/>
  <c r="Q1195" i="2"/>
  <c r="P1195" i="2"/>
  <c r="S1194" i="2"/>
  <c r="R1194" i="2"/>
  <c r="Q1194" i="2"/>
  <c r="P1194" i="2"/>
  <c r="S1193" i="2"/>
  <c r="R1193" i="2"/>
  <c r="Q1193" i="2"/>
  <c r="P1193" i="2"/>
  <c r="S1192" i="2"/>
  <c r="R1192" i="2"/>
  <c r="Q1192" i="2"/>
  <c r="P1192" i="2"/>
  <c r="S1191" i="2"/>
  <c r="R1191" i="2"/>
  <c r="Q1191" i="2"/>
  <c r="P1191" i="2"/>
  <c r="S1190" i="2"/>
  <c r="R1190" i="2"/>
  <c r="Q1190" i="2"/>
  <c r="P1190" i="2"/>
  <c r="S1189" i="2"/>
  <c r="R1189" i="2"/>
  <c r="Q1189" i="2"/>
  <c r="P1189" i="2"/>
  <c r="S1188" i="2"/>
  <c r="R1188" i="2"/>
  <c r="Q1188" i="2"/>
  <c r="P1188" i="2"/>
  <c r="S1187" i="2"/>
  <c r="R1187" i="2"/>
  <c r="Q1187" i="2"/>
  <c r="P1187" i="2"/>
  <c r="S1186" i="2"/>
  <c r="R1186" i="2"/>
  <c r="Q1186" i="2"/>
  <c r="P1186" i="2"/>
  <c r="S1185" i="2"/>
  <c r="R1185" i="2"/>
  <c r="Q1185" i="2"/>
  <c r="P1185" i="2"/>
  <c r="S1184" i="2"/>
  <c r="R1184" i="2"/>
  <c r="Q1184" i="2"/>
  <c r="P1184" i="2"/>
  <c r="S1183" i="2"/>
  <c r="R1183" i="2"/>
  <c r="Q1183" i="2"/>
  <c r="P1183" i="2"/>
  <c r="S1182" i="2"/>
  <c r="R1182" i="2"/>
  <c r="Q1182" i="2"/>
  <c r="P1182" i="2"/>
  <c r="S1181" i="2"/>
  <c r="R1181" i="2"/>
  <c r="Q1181" i="2"/>
  <c r="P1181" i="2"/>
  <c r="S1180" i="2"/>
  <c r="R1180" i="2"/>
  <c r="Q1180" i="2"/>
  <c r="P1180" i="2"/>
  <c r="S1179" i="2"/>
  <c r="R1179" i="2"/>
  <c r="Q1179" i="2"/>
  <c r="P1179" i="2"/>
  <c r="S1178" i="2"/>
  <c r="R1178" i="2"/>
  <c r="Q1178" i="2"/>
  <c r="P1178" i="2"/>
  <c r="S1177" i="2"/>
  <c r="R1177" i="2"/>
  <c r="Q1177" i="2"/>
  <c r="P1177" i="2"/>
  <c r="S1176" i="2"/>
  <c r="R1176" i="2"/>
  <c r="Q1176" i="2"/>
  <c r="P1176" i="2"/>
  <c r="S1175" i="2"/>
  <c r="R1175" i="2"/>
  <c r="Q1175" i="2"/>
  <c r="P1175" i="2"/>
  <c r="S1174" i="2"/>
  <c r="R1174" i="2"/>
  <c r="Q1174" i="2"/>
  <c r="P1174" i="2"/>
  <c r="S1173" i="2"/>
  <c r="R1173" i="2"/>
  <c r="Q1173" i="2"/>
  <c r="P1173" i="2"/>
  <c r="S1172" i="2"/>
  <c r="R1172" i="2"/>
  <c r="Q1172" i="2"/>
  <c r="P1172" i="2"/>
  <c r="S1171" i="2"/>
  <c r="R1171" i="2"/>
  <c r="Q1171" i="2"/>
  <c r="P1171" i="2"/>
  <c r="S1170" i="2"/>
  <c r="R1170" i="2"/>
  <c r="Q1170" i="2"/>
  <c r="P1170" i="2"/>
  <c r="S1169" i="2"/>
  <c r="R1169" i="2"/>
  <c r="Q1169" i="2"/>
  <c r="P1169" i="2"/>
  <c r="S1168" i="2"/>
  <c r="R1168" i="2"/>
  <c r="Q1168" i="2"/>
  <c r="P1168" i="2"/>
  <c r="S1167" i="2"/>
  <c r="R1167" i="2"/>
  <c r="Q1167" i="2"/>
  <c r="P1167" i="2"/>
  <c r="S1166" i="2"/>
  <c r="R1166" i="2"/>
  <c r="Q1166" i="2"/>
  <c r="P1166" i="2"/>
  <c r="S1165" i="2"/>
  <c r="R1165" i="2"/>
  <c r="Q1165" i="2"/>
  <c r="P1165" i="2"/>
  <c r="S1164" i="2"/>
  <c r="R1164" i="2"/>
  <c r="Q1164" i="2"/>
  <c r="P1164" i="2"/>
  <c r="S1163" i="2"/>
  <c r="R1163" i="2"/>
  <c r="Q1163" i="2"/>
  <c r="P1163" i="2"/>
  <c r="S1162" i="2"/>
  <c r="R1162" i="2"/>
  <c r="Q1162" i="2"/>
  <c r="P1162" i="2"/>
  <c r="S1161" i="2"/>
  <c r="R1161" i="2"/>
  <c r="Q1161" i="2"/>
  <c r="P1161" i="2"/>
  <c r="S1160" i="2"/>
  <c r="R1160" i="2"/>
  <c r="Q1160" i="2"/>
  <c r="P1160" i="2"/>
  <c r="S1159" i="2"/>
  <c r="R1159" i="2"/>
  <c r="Q1159" i="2"/>
  <c r="P1159" i="2"/>
  <c r="S1158" i="2"/>
  <c r="R1158" i="2"/>
  <c r="Q1158" i="2"/>
  <c r="P1158" i="2"/>
  <c r="S1157" i="2"/>
  <c r="R1157" i="2"/>
  <c r="Q1157" i="2"/>
  <c r="P1157" i="2"/>
  <c r="S1156" i="2"/>
  <c r="R1156" i="2"/>
  <c r="Q1156" i="2"/>
  <c r="P1156" i="2"/>
  <c r="S1155" i="2"/>
  <c r="R1155" i="2"/>
  <c r="Q1155" i="2"/>
  <c r="P1155" i="2"/>
  <c r="S1154" i="2"/>
  <c r="R1154" i="2"/>
  <c r="Q1154" i="2"/>
  <c r="P1154" i="2"/>
  <c r="S1153" i="2"/>
  <c r="R1153" i="2"/>
  <c r="Q1153" i="2"/>
  <c r="P1153" i="2"/>
  <c r="S1152" i="2"/>
  <c r="R1152" i="2"/>
  <c r="Q1152" i="2"/>
  <c r="P1152" i="2"/>
  <c r="S1151" i="2"/>
  <c r="R1151" i="2"/>
  <c r="Q1151" i="2"/>
  <c r="P1151" i="2"/>
  <c r="S1150" i="2"/>
  <c r="R1150" i="2"/>
  <c r="Q1150" i="2"/>
  <c r="P1150" i="2"/>
  <c r="S1149" i="2"/>
  <c r="R1149" i="2"/>
  <c r="Q1149" i="2"/>
  <c r="P1149" i="2"/>
  <c r="S1148" i="2"/>
  <c r="R1148" i="2"/>
  <c r="Q1148" i="2"/>
  <c r="P1148" i="2"/>
  <c r="S1147" i="2"/>
  <c r="R1147" i="2"/>
  <c r="Q1147" i="2"/>
  <c r="P1147" i="2"/>
  <c r="S1146" i="2"/>
  <c r="R1146" i="2"/>
  <c r="Q1146" i="2"/>
  <c r="P1146" i="2"/>
  <c r="S1145" i="2"/>
  <c r="R1145" i="2"/>
  <c r="Q1145" i="2"/>
  <c r="P1145" i="2"/>
  <c r="S1144" i="2"/>
  <c r="R1144" i="2"/>
  <c r="Q1144" i="2"/>
  <c r="P1144" i="2"/>
  <c r="S1143" i="2"/>
  <c r="R1143" i="2"/>
  <c r="Q1143" i="2"/>
  <c r="P1143" i="2"/>
  <c r="S1142" i="2"/>
  <c r="R1142" i="2"/>
  <c r="Q1142" i="2"/>
  <c r="P1142" i="2"/>
  <c r="S1141" i="2"/>
  <c r="R1141" i="2"/>
  <c r="Q1141" i="2"/>
  <c r="P1141" i="2"/>
  <c r="S1140" i="2"/>
  <c r="R1140" i="2"/>
  <c r="Q1140" i="2"/>
  <c r="P1140" i="2"/>
  <c r="S1139" i="2"/>
  <c r="R1139" i="2"/>
  <c r="Q1139" i="2"/>
  <c r="P1139" i="2"/>
  <c r="S1138" i="2"/>
  <c r="R1138" i="2"/>
  <c r="Q1138" i="2"/>
  <c r="P1138" i="2"/>
  <c r="S1137" i="2"/>
  <c r="R1137" i="2"/>
  <c r="Q1137" i="2"/>
  <c r="P1137" i="2"/>
  <c r="S1136" i="2"/>
  <c r="R1136" i="2"/>
  <c r="Q1136" i="2"/>
  <c r="P1136" i="2"/>
  <c r="S1135" i="2"/>
  <c r="R1135" i="2"/>
  <c r="Q1135" i="2"/>
  <c r="P1135" i="2"/>
  <c r="S1134" i="2"/>
  <c r="R1134" i="2"/>
  <c r="Q1134" i="2"/>
  <c r="P1134" i="2"/>
  <c r="S1133" i="2"/>
  <c r="R1133" i="2"/>
  <c r="Q1133" i="2"/>
  <c r="P1133" i="2"/>
  <c r="S1132" i="2"/>
  <c r="R1132" i="2"/>
  <c r="Q1132" i="2"/>
  <c r="P1132" i="2"/>
  <c r="S1131" i="2"/>
  <c r="R1131" i="2"/>
  <c r="Q1131" i="2"/>
  <c r="P1131" i="2"/>
  <c r="S1130" i="2"/>
  <c r="R1130" i="2"/>
  <c r="Q1130" i="2"/>
  <c r="P1130" i="2"/>
  <c r="S1129" i="2"/>
  <c r="R1129" i="2"/>
  <c r="Q1129" i="2"/>
  <c r="P1129" i="2"/>
  <c r="S1128" i="2"/>
  <c r="R1128" i="2"/>
  <c r="Q1128" i="2"/>
  <c r="P1128" i="2"/>
  <c r="S1127" i="2"/>
  <c r="R1127" i="2"/>
  <c r="Q1127" i="2"/>
  <c r="P1127" i="2"/>
  <c r="S1126" i="2"/>
  <c r="R1126" i="2"/>
  <c r="Q1126" i="2"/>
  <c r="P1126" i="2"/>
  <c r="S1125" i="2"/>
  <c r="R1125" i="2"/>
  <c r="Q1125" i="2"/>
  <c r="P1125" i="2"/>
  <c r="S1124" i="2"/>
  <c r="R1124" i="2"/>
  <c r="Q1124" i="2"/>
  <c r="P1124" i="2"/>
  <c r="S1123" i="2"/>
  <c r="R1123" i="2"/>
  <c r="Q1123" i="2"/>
  <c r="P1123" i="2"/>
  <c r="S1122" i="2"/>
  <c r="R1122" i="2"/>
  <c r="Q1122" i="2"/>
  <c r="P1122" i="2"/>
  <c r="S1121" i="2"/>
  <c r="R1121" i="2"/>
  <c r="Q1121" i="2"/>
  <c r="P1121" i="2"/>
  <c r="S1120" i="2"/>
  <c r="R1120" i="2"/>
  <c r="Q1120" i="2"/>
  <c r="P1120" i="2"/>
  <c r="S1119" i="2"/>
  <c r="R1119" i="2"/>
  <c r="Q1119" i="2"/>
  <c r="P1119" i="2"/>
  <c r="S1118" i="2"/>
  <c r="R1118" i="2"/>
  <c r="Q1118" i="2"/>
  <c r="P1118" i="2"/>
  <c r="S1117" i="2"/>
  <c r="R1117" i="2"/>
  <c r="Q1117" i="2"/>
  <c r="P1117" i="2"/>
  <c r="S1116" i="2"/>
  <c r="R1116" i="2"/>
  <c r="Q1116" i="2"/>
  <c r="P1116" i="2"/>
  <c r="S1115" i="2"/>
  <c r="R1115" i="2"/>
  <c r="Q1115" i="2"/>
  <c r="P1115" i="2"/>
  <c r="S1114" i="2"/>
  <c r="R1114" i="2"/>
  <c r="Q1114" i="2"/>
  <c r="P1114" i="2"/>
  <c r="S1113" i="2"/>
  <c r="R1113" i="2"/>
  <c r="Q1113" i="2"/>
  <c r="P1113" i="2"/>
  <c r="S1112" i="2"/>
  <c r="R1112" i="2"/>
  <c r="Q1112" i="2"/>
  <c r="P1112" i="2"/>
  <c r="S1111" i="2"/>
  <c r="R1111" i="2"/>
  <c r="Q1111" i="2"/>
  <c r="P1111" i="2"/>
  <c r="S1110" i="2"/>
  <c r="R1110" i="2"/>
  <c r="Q1110" i="2"/>
  <c r="P1110" i="2"/>
  <c r="S1109" i="2"/>
  <c r="R1109" i="2"/>
  <c r="Q1109" i="2"/>
  <c r="P1109" i="2"/>
  <c r="S1108" i="2"/>
  <c r="R1108" i="2"/>
  <c r="Q1108" i="2"/>
  <c r="P1108" i="2"/>
  <c r="S1107" i="2"/>
  <c r="R1107" i="2"/>
  <c r="Q1107" i="2"/>
  <c r="P1107" i="2"/>
  <c r="S1106" i="2"/>
  <c r="R1106" i="2"/>
  <c r="Q1106" i="2"/>
  <c r="P1106" i="2"/>
  <c r="S1105" i="2"/>
  <c r="R1105" i="2"/>
  <c r="Q1105" i="2"/>
  <c r="P1105" i="2"/>
  <c r="S1104" i="2"/>
  <c r="R1104" i="2"/>
  <c r="Q1104" i="2"/>
  <c r="P1104" i="2"/>
  <c r="S1103" i="2"/>
  <c r="R1103" i="2"/>
  <c r="Q1103" i="2"/>
  <c r="P1103" i="2"/>
  <c r="S1102" i="2"/>
  <c r="R1102" i="2"/>
  <c r="Q1102" i="2"/>
  <c r="P1102" i="2"/>
  <c r="S1101" i="2"/>
  <c r="R1101" i="2"/>
  <c r="Q1101" i="2"/>
  <c r="P1101" i="2"/>
  <c r="S1100" i="2"/>
  <c r="R1100" i="2"/>
  <c r="Q1100" i="2"/>
  <c r="P1100" i="2"/>
  <c r="S1099" i="2"/>
  <c r="R1099" i="2"/>
  <c r="Q1099" i="2"/>
  <c r="P1099" i="2"/>
  <c r="S1098" i="2"/>
  <c r="R1098" i="2"/>
  <c r="Q1098" i="2"/>
  <c r="P1098" i="2"/>
  <c r="S1097" i="2"/>
  <c r="R1097" i="2"/>
  <c r="Q1097" i="2"/>
  <c r="P1097" i="2"/>
  <c r="S1096" i="2"/>
  <c r="R1096" i="2"/>
  <c r="Q1096" i="2"/>
  <c r="P1096" i="2"/>
  <c r="S1095" i="2"/>
  <c r="R1095" i="2"/>
  <c r="Q1095" i="2"/>
  <c r="P1095" i="2"/>
  <c r="S1094" i="2"/>
  <c r="R1094" i="2"/>
  <c r="Q1094" i="2"/>
  <c r="P1094" i="2"/>
  <c r="S1093" i="2"/>
  <c r="R1093" i="2"/>
  <c r="Q1093" i="2"/>
  <c r="P1093" i="2"/>
  <c r="S1092" i="2"/>
  <c r="R1092" i="2"/>
  <c r="Q1092" i="2"/>
  <c r="P1092" i="2"/>
  <c r="S1091" i="2"/>
  <c r="R1091" i="2"/>
  <c r="Q1091" i="2"/>
  <c r="P1091" i="2"/>
  <c r="S1090" i="2"/>
  <c r="R1090" i="2"/>
  <c r="Q1090" i="2"/>
  <c r="P1090" i="2"/>
  <c r="S1089" i="2"/>
  <c r="R1089" i="2"/>
  <c r="Q1089" i="2"/>
  <c r="P1089" i="2"/>
  <c r="S1088" i="2"/>
  <c r="R1088" i="2"/>
  <c r="Q1088" i="2"/>
  <c r="P1088" i="2"/>
  <c r="S1087" i="2"/>
  <c r="R1087" i="2"/>
  <c r="Q1087" i="2"/>
  <c r="P1087" i="2"/>
  <c r="S1086" i="2"/>
  <c r="R1086" i="2"/>
  <c r="Q1086" i="2"/>
  <c r="P1086" i="2"/>
  <c r="S1085" i="2"/>
  <c r="R1085" i="2"/>
  <c r="Q1085" i="2"/>
  <c r="P1085" i="2"/>
  <c r="S1084" i="2"/>
  <c r="R1084" i="2"/>
  <c r="Q1084" i="2"/>
  <c r="P1084" i="2"/>
  <c r="S1083" i="2"/>
  <c r="R1083" i="2"/>
  <c r="Q1083" i="2"/>
  <c r="P1083" i="2"/>
  <c r="S1082" i="2"/>
  <c r="R1082" i="2"/>
  <c r="Q1082" i="2"/>
  <c r="P1082" i="2"/>
  <c r="S1081" i="2"/>
  <c r="R1081" i="2"/>
  <c r="Q1081" i="2"/>
  <c r="P1081" i="2"/>
  <c r="S1080" i="2"/>
  <c r="R1080" i="2"/>
  <c r="Q1080" i="2"/>
  <c r="P1080" i="2"/>
  <c r="S1079" i="2"/>
  <c r="R1079" i="2"/>
  <c r="Q1079" i="2"/>
  <c r="P1079" i="2"/>
  <c r="S1078" i="2"/>
  <c r="R1078" i="2"/>
  <c r="Q1078" i="2"/>
  <c r="P1078" i="2"/>
  <c r="S1077" i="2"/>
  <c r="R1077" i="2"/>
  <c r="Q1077" i="2"/>
  <c r="P1077" i="2"/>
  <c r="S1076" i="2"/>
  <c r="R1076" i="2"/>
  <c r="Q1076" i="2"/>
  <c r="P1076" i="2"/>
  <c r="S1075" i="2"/>
  <c r="R1075" i="2"/>
  <c r="Q1075" i="2"/>
  <c r="P1075" i="2"/>
  <c r="S1074" i="2"/>
  <c r="R1074" i="2"/>
  <c r="Q1074" i="2"/>
  <c r="P1074" i="2"/>
  <c r="S1073" i="2"/>
  <c r="R1073" i="2"/>
  <c r="Q1073" i="2"/>
  <c r="P1073" i="2"/>
  <c r="S1072" i="2"/>
  <c r="R1072" i="2"/>
  <c r="Q1072" i="2"/>
  <c r="P1072" i="2"/>
  <c r="S1071" i="2"/>
  <c r="R1071" i="2"/>
  <c r="Q1071" i="2"/>
  <c r="P1071" i="2"/>
  <c r="S1070" i="2"/>
  <c r="R1070" i="2"/>
  <c r="Q1070" i="2"/>
  <c r="P1070" i="2"/>
  <c r="S1069" i="2"/>
  <c r="R1069" i="2"/>
  <c r="Q1069" i="2"/>
  <c r="P1069" i="2"/>
  <c r="S1068" i="2"/>
  <c r="R1068" i="2"/>
  <c r="Q1068" i="2"/>
  <c r="P1068" i="2"/>
  <c r="S1067" i="2"/>
  <c r="R1067" i="2"/>
  <c r="Q1067" i="2"/>
  <c r="P1067" i="2"/>
  <c r="S1066" i="2"/>
  <c r="R1066" i="2"/>
  <c r="Q1066" i="2"/>
  <c r="P1066" i="2"/>
  <c r="S1065" i="2"/>
  <c r="R1065" i="2"/>
  <c r="Q1065" i="2"/>
  <c r="P1065" i="2"/>
  <c r="S1064" i="2"/>
  <c r="R1064" i="2"/>
  <c r="Q1064" i="2"/>
  <c r="P1064" i="2"/>
  <c r="S1063" i="2"/>
  <c r="R1063" i="2"/>
  <c r="Q1063" i="2"/>
  <c r="P1063" i="2"/>
  <c r="S1062" i="2"/>
  <c r="R1062" i="2"/>
  <c r="Q1062" i="2"/>
  <c r="P1062" i="2"/>
  <c r="S1061" i="2"/>
  <c r="R1061" i="2"/>
  <c r="Q1061" i="2"/>
  <c r="P1061" i="2"/>
  <c r="S1060" i="2"/>
  <c r="R1060" i="2"/>
  <c r="Q1060" i="2"/>
  <c r="P1060" i="2"/>
  <c r="S1059" i="2"/>
  <c r="R1059" i="2"/>
  <c r="Q1059" i="2"/>
  <c r="P1059" i="2"/>
  <c r="S1058" i="2"/>
  <c r="R1058" i="2"/>
  <c r="Q1058" i="2"/>
  <c r="P1058" i="2"/>
  <c r="S1057" i="2"/>
  <c r="R1057" i="2"/>
  <c r="Q1057" i="2"/>
  <c r="P1057" i="2"/>
  <c r="S1056" i="2"/>
  <c r="R1056" i="2"/>
  <c r="Q1056" i="2"/>
  <c r="P1056" i="2"/>
  <c r="S1055" i="2"/>
  <c r="R1055" i="2"/>
  <c r="Q1055" i="2"/>
  <c r="P1055" i="2"/>
  <c r="S1054" i="2"/>
  <c r="R1054" i="2"/>
  <c r="Q1054" i="2"/>
  <c r="P1054" i="2"/>
  <c r="S1053" i="2"/>
  <c r="R1053" i="2"/>
  <c r="Q1053" i="2"/>
  <c r="P1053" i="2"/>
  <c r="S1052" i="2"/>
  <c r="R1052" i="2"/>
  <c r="Q1052" i="2"/>
  <c r="P1052" i="2"/>
  <c r="S1051" i="2"/>
  <c r="R1051" i="2"/>
  <c r="Q1051" i="2"/>
  <c r="P1051" i="2"/>
  <c r="S1050" i="2"/>
  <c r="R1050" i="2"/>
  <c r="Q1050" i="2"/>
  <c r="P1050" i="2"/>
  <c r="S1049" i="2"/>
  <c r="R1049" i="2"/>
  <c r="Q1049" i="2"/>
  <c r="P1049" i="2"/>
  <c r="S1048" i="2"/>
  <c r="R1048" i="2"/>
  <c r="Q1048" i="2"/>
  <c r="P1048" i="2"/>
  <c r="S1047" i="2"/>
  <c r="R1047" i="2"/>
  <c r="Q1047" i="2"/>
  <c r="P1047" i="2"/>
  <c r="S1046" i="2"/>
  <c r="R1046" i="2"/>
  <c r="Q1046" i="2"/>
  <c r="P1046" i="2"/>
  <c r="S1045" i="2"/>
  <c r="R1045" i="2"/>
  <c r="Q1045" i="2"/>
  <c r="P1045" i="2"/>
  <c r="S1044" i="2"/>
  <c r="R1044" i="2"/>
  <c r="Q1044" i="2"/>
  <c r="P1044" i="2"/>
  <c r="S1043" i="2"/>
  <c r="R1043" i="2"/>
  <c r="Q1043" i="2"/>
  <c r="P1043" i="2"/>
  <c r="S1042" i="2"/>
  <c r="R1042" i="2"/>
  <c r="Q1042" i="2"/>
  <c r="P1042" i="2"/>
  <c r="S1041" i="2"/>
  <c r="R1041" i="2"/>
  <c r="Q1041" i="2"/>
  <c r="P1041" i="2"/>
  <c r="S1040" i="2"/>
  <c r="R1040" i="2"/>
  <c r="Q1040" i="2"/>
  <c r="P1040" i="2"/>
  <c r="S1039" i="2"/>
  <c r="R1039" i="2"/>
  <c r="Q1039" i="2"/>
  <c r="P1039" i="2"/>
  <c r="S1038" i="2"/>
  <c r="R1038" i="2"/>
  <c r="Q1038" i="2"/>
  <c r="P1038" i="2"/>
  <c r="S1037" i="2"/>
  <c r="R1037" i="2"/>
  <c r="Q1037" i="2"/>
  <c r="P1037" i="2"/>
  <c r="S1036" i="2"/>
  <c r="R1036" i="2"/>
  <c r="Q1036" i="2"/>
  <c r="P1036" i="2"/>
  <c r="S1035" i="2"/>
  <c r="R1035" i="2"/>
  <c r="Q1035" i="2"/>
  <c r="P1035" i="2"/>
  <c r="S1034" i="2"/>
  <c r="R1034" i="2"/>
  <c r="Q1034" i="2"/>
  <c r="P1034" i="2"/>
  <c r="S1033" i="2"/>
  <c r="R1033" i="2"/>
  <c r="Q1033" i="2"/>
  <c r="P1033" i="2"/>
  <c r="S1032" i="2"/>
  <c r="R1032" i="2"/>
  <c r="Q1032" i="2"/>
  <c r="P1032" i="2"/>
  <c r="S1031" i="2"/>
  <c r="R1031" i="2"/>
  <c r="Q1031" i="2"/>
  <c r="P1031" i="2"/>
  <c r="S1030" i="2"/>
  <c r="R1030" i="2"/>
  <c r="Q1030" i="2"/>
  <c r="P1030" i="2"/>
  <c r="S1029" i="2"/>
  <c r="R1029" i="2"/>
  <c r="Q1029" i="2"/>
  <c r="P1029" i="2"/>
  <c r="S1028" i="2"/>
  <c r="R1028" i="2"/>
  <c r="Q1028" i="2"/>
  <c r="P1028" i="2"/>
  <c r="S1027" i="2"/>
  <c r="R1027" i="2"/>
  <c r="Q1027" i="2"/>
  <c r="P1027" i="2"/>
  <c r="S1026" i="2"/>
  <c r="R1026" i="2"/>
  <c r="Q1026" i="2"/>
  <c r="P1026" i="2"/>
  <c r="S1025" i="2"/>
  <c r="R1025" i="2"/>
  <c r="Q1025" i="2"/>
  <c r="P1025" i="2"/>
  <c r="S1024" i="2"/>
  <c r="R1024" i="2"/>
  <c r="Q1024" i="2"/>
  <c r="P1024" i="2"/>
  <c r="S1023" i="2"/>
  <c r="R1023" i="2"/>
  <c r="Q1023" i="2"/>
  <c r="P1023" i="2"/>
  <c r="S1022" i="2"/>
  <c r="R1022" i="2"/>
  <c r="Q1022" i="2"/>
  <c r="P1022" i="2"/>
  <c r="S1021" i="2"/>
  <c r="R1021" i="2"/>
  <c r="Q1021" i="2"/>
  <c r="P1021" i="2"/>
  <c r="S1020" i="2"/>
  <c r="R1020" i="2"/>
  <c r="Q1020" i="2"/>
  <c r="P1020" i="2"/>
  <c r="S1019" i="2"/>
  <c r="R1019" i="2"/>
  <c r="Q1019" i="2"/>
  <c r="P1019" i="2"/>
  <c r="S1018" i="2"/>
  <c r="R1018" i="2"/>
  <c r="Q1018" i="2"/>
  <c r="P1018" i="2"/>
  <c r="S1017" i="2"/>
  <c r="R1017" i="2"/>
  <c r="Q1017" i="2"/>
  <c r="P1017" i="2"/>
  <c r="S1016" i="2"/>
  <c r="R1016" i="2"/>
  <c r="Q1016" i="2"/>
  <c r="P1016" i="2"/>
  <c r="S1015" i="2"/>
  <c r="R1015" i="2"/>
  <c r="Q1015" i="2"/>
  <c r="P1015" i="2"/>
  <c r="S1014" i="2"/>
  <c r="R1014" i="2"/>
  <c r="Q1014" i="2"/>
  <c r="P1014" i="2"/>
  <c r="S1013" i="2"/>
  <c r="R1013" i="2"/>
  <c r="Q1013" i="2"/>
  <c r="P1013" i="2"/>
  <c r="S1012" i="2"/>
  <c r="R1012" i="2"/>
  <c r="Q1012" i="2"/>
  <c r="P1012" i="2"/>
  <c r="S1011" i="2"/>
  <c r="R1011" i="2"/>
  <c r="Q1011" i="2"/>
  <c r="P1011" i="2"/>
  <c r="S1010" i="2"/>
  <c r="R1010" i="2"/>
  <c r="Q1010" i="2"/>
  <c r="P1010" i="2"/>
  <c r="S1009" i="2"/>
  <c r="R1009" i="2"/>
  <c r="Q1009" i="2"/>
  <c r="P1009" i="2"/>
  <c r="S1008" i="2"/>
  <c r="R1008" i="2"/>
  <c r="Q1008" i="2"/>
  <c r="P1008" i="2"/>
  <c r="S1007" i="2"/>
  <c r="R1007" i="2"/>
  <c r="Q1007" i="2"/>
  <c r="P1007" i="2"/>
  <c r="S1006" i="2"/>
  <c r="R1006" i="2"/>
  <c r="Q1006" i="2"/>
  <c r="P1006" i="2"/>
  <c r="S1005" i="2"/>
  <c r="R1005" i="2"/>
  <c r="Q1005" i="2"/>
  <c r="P1005" i="2"/>
  <c r="S1004" i="2"/>
  <c r="R1004" i="2"/>
  <c r="Q1004" i="2"/>
  <c r="P1004" i="2"/>
  <c r="S1003" i="2"/>
  <c r="R1003" i="2"/>
  <c r="Q1003" i="2"/>
  <c r="P1003" i="2"/>
  <c r="S1002" i="2"/>
  <c r="R1002" i="2"/>
  <c r="Q1002" i="2"/>
  <c r="P1002" i="2"/>
  <c r="S1001" i="2"/>
  <c r="R1001" i="2"/>
  <c r="Q1001" i="2"/>
  <c r="P1001" i="2"/>
  <c r="S1000" i="2"/>
  <c r="R1000" i="2"/>
  <c r="Q1000" i="2"/>
  <c r="P1000" i="2"/>
  <c r="S999" i="2"/>
  <c r="R999" i="2"/>
  <c r="Q999" i="2"/>
  <c r="P999" i="2"/>
  <c r="S998" i="2"/>
  <c r="R998" i="2"/>
  <c r="Q998" i="2"/>
  <c r="P998" i="2"/>
  <c r="S997" i="2"/>
  <c r="R997" i="2"/>
  <c r="Q997" i="2"/>
  <c r="P997" i="2"/>
  <c r="S996" i="2"/>
  <c r="R996" i="2"/>
  <c r="Q996" i="2"/>
  <c r="P996" i="2"/>
  <c r="S995" i="2"/>
  <c r="R995" i="2"/>
  <c r="Q995" i="2"/>
  <c r="P995" i="2"/>
  <c r="S994" i="2"/>
  <c r="R994" i="2"/>
  <c r="Q994" i="2"/>
  <c r="P994" i="2"/>
  <c r="S993" i="2"/>
  <c r="R993" i="2"/>
  <c r="Q993" i="2"/>
  <c r="P993" i="2"/>
  <c r="S992" i="2"/>
  <c r="R992" i="2"/>
  <c r="Q992" i="2"/>
  <c r="P992" i="2"/>
  <c r="S991" i="2"/>
  <c r="R991" i="2"/>
  <c r="Q991" i="2"/>
  <c r="P991" i="2"/>
  <c r="S990" i="2"/>
  <c r="R990" i="2"/>
  <c r="Q990" i="2"/>
  <c r="P990" i="2"/>
  <c r="S989" i="2"/>
  <c r="R989" i="2"/>
  <c r="Q989" i="2"/>
  <c r="P989" i="2"/>
  <c r="S988" i="2"/>
  <c r="R988" i="2"/>
  <c r="Q988" i="2"/>
  <c r="P988" i="2"/>
  <c r="S987" i="2"/>
  <c r="R987" i="2"/>
  <c r="Q987" i="2"/>
  <c r="P987" i="2"/>
  <c r="S986" i="2"/>
  <c r="R986" i="2"/>
  <c r="Q986" i="2"/>
  <c r="P986" i="2"/>
  <c r="S985" i="2"/>
  <c r="R985" i="2"/>
  <c r="Q985" i="2"/>
  <c r="P985" i="2"/>
  <c r="S984" i="2"/>
  <c r="R984" i="2"/>
  <c r="Q984" i="2"/>
  <c r="P984" i="2"/>
  <c r="S983" i="2"/>
  <c r="R983" i="2"/>
  <c r="Q983" i="2"/>
  <c r="P983" i="2"/>
  <c r="S982" i="2"/>
  <c r="R982" i="2"/>
  <c r="Q982" i="2"/>
  <c r="P982" i="2"/>
  <c r="S981" i="2"/>
  <c r="R981" i="2"/>
  <c r="Q981" i="2"/>
  <c r="P981" i="2"/>
  <c r="S980" i="2"/>
  <c r="R980" i="2"/>
  <c r="Q980" i="2"/>
  <c r="P980" i="2"/>
  <c r="S979" i="2"/>
  <c r="R979" i="2"/>
  <c r="Q979" i="2"/>
  <c r="P979" i="2"/>
  <c r="S978" i="2"/>
  <c r="R978" i="2"/>
  <c r="Q978" i="2"/>
  <c r="P978" i="2"/>
  <c r="S977" i="2"/>
  <c r="R977" i="2"/>
  <c r="Q977" i="2"/>
  <c r="P977" i="2"/>
  <c r="S976" i="2"/>
  <c r="R976" i="2"/>
  <c r="Q976" i="2"/>
  <c r="P976" i="2"/>
  <c r="S975" i="2"/>
  <c r="R975" i="2"/>
  <c r="Q975" i="2"/>
  <c r="P975" i="2"/>
  <c r="S974" i="2"/>
  <c r="R974" i="2"/>
  <c r="Q974" i="2"/>
  <c r="P974" i="2"/>
  <c r="S973" i="2"/>
  <c r="R973" i="2"/>
  <c r="Q973" i="2"/>
  <c r="P973" i="2"/>
  <c r="S972" i="2"/>
  <c r="R972" i="2"/>
  <c r="Q972" i="2"/>
  <c r="P972" i="2"/>
  <c r="S971" i="2"/>
  <c r="R971" i="2"/>
  <c r="Q971" i="2"/>
  <c r="P971" i="2"/>
  <c r="S970" i="2"/>
  <c r="R970" i="2"/>
  <c r="Q970" i="2"/>
  <c r="P970" i="2"/>
  <c r="S969" i="2"/>
  <c r="R969" i="2"/>
  <c r="Q969" i="2"/>
  <c r="P969" i="2"/>
  <c r="S968" i="2"/>
  <c r="R968" i="2"/>
  <c r="Q968" i="2"/>
  <c r="P968" i="2"/>
  <c r="S967" i="2"/>
  <c r="R967" i="2"/>
  <c r="Q967" i="2"/>
  <c r="P967" i="2"/>
  <c r="S966" i="2"/>
  <c r="R966" i="2"/>
  <c r="Q966" i="2"/>
  <c r="P966" i="2"/>
  <c r="S965" i="2"/>
  <c r="R965" i="2"/>
  <c r="Q965" i="2"/>
  <c r="P965" i="2"/>
  <c r="S964" i="2"/>
  <c r="R964" i="2"/>
  <c r="Q964" i="2"/>
  <c r="P964" i="2"/>
  <c r="S963" i="2"/>
  <c r="R963" i="2"/>
  <c r="Q963" i="2"/>
  <c r="P963" i="2"/>
  <c r="S962" i="2"/>
  <c r="R962" i="2"/>
  <c r="Q962" i="2"/>
  <c r="P962" i="2"/>
  <c r="S961" i="2"/>
  <c r="R961" i="2"/>
  <c r="Q961" i="2"/>
  <c r="P961" i="2"/>
  <c r="S960" i="2"/>
  <c r="R960" i="2"/>
  <c r="Q960" i="2"/>
  <c r="P960" i="2"/>
  <c r="S959" i="2"/>
  <c r="R959" i="2"/>
  <c r="Q959" i="2"/>
  <c r="P959" i="2"/>
  <c r="S958" i="2"/>
  <c r="R958" i="2"/>
  <c r="Q958" i="2"/>
  <c r="P958" i="2"/>
  <c r="S957" i="2"/>
  <c r="R957" i="2"/>
  <c r="Q957" i="2"/>
  <c r="P957" i="2"/>
  <c r="S956" i="2"/>
  <c r="R956" i="2"/>
  <c r="Q956" i="2"/>
  <c r="P956" i="2"/>
  <c r="S955" i="2"/>
  <c r="R955" i="2"/>
  <c r="Q955" i="2"/>
  <c r="P955" i="2"/>
  <c r="S954" i="2"/>
  <c r="R954" i="2"/>
  <c r="Q954" i="2"/>
  <c r="P954" i="2"/>
  <c r="S953" i="2"/>
  <c r="R953" i="2"/>
  <c r="Q953" i="2"/>
  <c r="P953" i="2"/>
  <c r="S952" i="2"/>
  <c r="R952" i="2"/>
  <c r="Q952" i="2"/>
  <c r="P952" i="2"/>
  <c r="S951" i="2"/>
  <c r="R951" i="2"/>
  <c r="Q951" i="2"/>
  <c r="P951" i="2"/>
  <c r="S950" i="2"/>
  <c r="R950" i="2"/>
  <c r="Q950" i="2"/>
  <c r="P950" i="2"/>
  <c r="S949" i="2"/>
  <c r="R949" i="2"/>
  <c r="Q949" i="2"/>
  <c r="P949" i="2"/>
  <c r="S948" i="2"/>
  <c r="R948" i="2"/>
  <c r="Q948" i="2"/>
  <c r="P948" i="2"/>
  <c r="S947" i="2"/>
  <c r="R947" i="2"/>
  <c r="Q947" i="2"/>
  <c r="P947" i="2"/>
  <c r="S946" i="2"/>
  <c r="R946" i="2"/>
  <c r="Q946" i="2"/>
  <c r="P946" i="2"/>
  <c r="S945" i="2"/>
  <c r="R945" i="2"/>
  <c r="Q945" i="2"/>
  <c r="P945" i="2"/>
  <c r="S944" i="2"/>
  <c r="R944" i="2"/>
  <c r="Q944" i="2"/>
  <c r="P944" i="2"/>
  <c r="S943" i="2"/>
  <c r="R943" i="2"/>
  <c r="Q943" i="2"/>
  <c r="P943" i="2"/>
  <c r="S942" i="2"/>
  <c r="R942" i="2"/>
  <c r="Q942" i="2"/>
  <c r="P942" i="2"/>
  <c r="S941" i="2"/>
  <c r="R941" i="2"/>
  <c r="Q941" i="2"/>
  <c r="P941" i="2"/>
  <c r="S940" i="2"/>
  <c r="R940" i="2"/>
  <c r="Q940" i="2"/>
  <c r="P940" i="2"/>
  <c r="S939" i="2"/>
  <c r="R939" i="2"/>
  <c r="Q939" i="2"/>
  <c r="P939" i="2"/>
  <c r="S938" i="2"/>
  <c r="R938" i="2"/>
  <c r="Q938" i="2"/>
  <c r="P938" i="2"/>
  <c r="S937" i="2"/>
  <c r="R937" i="2"/>
  <c r="Q937" i="2"/>
  <c r="P937" i="2"/>
  <c r="S936" i="2"/>
  <c r="R936" i="2"/>
  <c r="Q936" i="2"/>
  <c r="P936" i="2"/>
  <c r="S935" i="2"/>
  <c r="R935" i="2"/>
  <c r="Q935" i="2"/>
  <c r="P935" i="2"/>
  <c r="S934" i="2"/>
  <c r="R934" i="2"/>
  <c r="Q934" i="2"/>
  <c r="P934" i="2"/>
  <c r="S933" i="2"/>
  <c r="R933" i="2"/>
  <c r="Q933" i="2"/>
  <c r="P933" i="2"/>
  <c r="S932" i="2"/>
  <c r="R932" i="2"/>
  <c r="Q932" i="2"/>
  <c r="P932" i="2"/>
  <c r="S931" i="2"/>
  <c r="R931" i="2"/>
  <c r="Q931" i="2"/>
  <c r="P931" i="2"/>
  <c r="S930" i="2"/>
  <c r="R930" i="2"/>
  <c r="Q930" i="2"/>
  <c r="P930" i="2"/>
  <c r="S929" i="2"/>
  <c r="R929" i="2"/>
  <c r="Q929" i="2"/>
  <c r="P929" i="2"/>
  <c r="S928" i="2"/>
  <c r="R928" i="2"/>
  <c r="Q928" i="2"/>
  <c r="P928" i="2"/>
  <c r="S927" i="2"/>
  <c r="R927" i="2"/>
  <c r="Q927" i="2"/>
  <c r="P927" i="2"/>
  <c r="S926" i="2"/>
  <c r="R926" i="2"/>
  <c r="Q926" i="2"/>
  <c r="P926" i="2"/>
  <c r="S925" i="2"/>
  <c r="R925" i="2"/>
  <c r="Q925" i="2"/>
  <c r="P925" i="2"/>
  <c r="S924" i="2"/>
  <c r="R924" i="2"/>
  <c r="Q924" i="2"/>
  <c r="P924" i="2"/>
  <c r="S923" i="2"/>
  <c r="R923" i="2"/>
  <c r="Q923" i="2"/>
  <c r="P923" i="2"/>
  <c r="S922" i="2"/>
  <c r="R922" i="2"/>
  <c r="Q922" i="2"/>
  <c r="P922" i="2"/>
  <c r="S921" i="2"/>
  <c r="R921" i="2"/>
  <c r="Q921" i="2"/>
  <c r="P921" i="2"/>
  <c r="S920" i="2"/>
  <c r="R920" i="2"/>
  <c r="Q920" i="2"/>
  <c r="P920" i="2"/>
  <c r="S919" i="2"/>
  <c r="R919" i="2"/>
  <c r="Q919" i="2"/>
  <c r="P919" i="2"/>
  <c r="S918" i="2"/>
  <c r="R918" i="2"/>
  <c r="Q918" i="2"/>
  <c r="P918" i="2"/>
  <c r="S917" i="2"/>
  <c r="R917" i="2"/>
  <c r="Q917" i="2"/>
  <c r="P917" i="2"/>
  <c r="S916" i="2"/>
  <c r="R916" i="2"/>
  <c r="Q916" i="2"/>
  <c r="P916" i="2"/>
  <c r="S915" i="2"/>
  <c r="R915" i="2"/>
  <c r="Q915" i="2"/>
  <c r="P915" i="2"/>
  <c r="S914" i="2"/>
  <c r="R914" i="2"/>
  <c r="Q914" i="2"/>
  <c r="P914" i="2"/>
  <c r="S913" i="2"/>
  <c r="R913" i="2"/>
  <c r="Q913" i="2"/>
  <c r="P913" i="2"/>
  <c r="S912" i="2"/>
  <c r="R912" i="2"/>
  <c r="Q912" i="2"/>
  <c r="P912" i="2"/>
  <c r="S911" i="2"/>
  <c r="R911" i="2"/>
  <c r="Q911" i="2"/>
  <c r="P911" i="2"/>
  <c r="S910" i="2"/>
  <c r="R910" i="2"/>
  <c r="Q910" i="2"/>
  <c r="P910" i="2"/>
  <c r="S909" i="2"/>
  <c r="R909" i="2"/>
  <c r="Q909" i="2"/>
  <c r="P909" i="2"/>
  <c r="S908" i="2"/>
  <c r="R908" i="2"/>
  <c r="Q908" i="2"/>
  <c r="P908" i="2"/>
  <c r="S907" i="2"/>
  <c r="R907" i="2"/>
  <c r="Q907" i="2"/>
  <c r="P907" i="2"/>
  <c r="S906" i="2"/>
  <c r="R906" i="2"/>
  <c r="Q906" i="2"/>
  <c r="P906" i="2"/>
  <c r="S905" i="2"/>
  <c r="R905" i="2"/>
  <c r="Q905" i="2"/>
  <c r="P905" i="2"/>
  <c r="S904" i="2"/>
  <c r="R904" i="2"/>
  <c r="Q904" i="2"/>
  <c r="P904" i="2"/>
  <c r="S903" i="2"/>
  <c r="R903" i="2"/>
  <c r="Q903" i="2"/>
  <c r="P903" i="2"/>
  <c r="S902" i="2"/>
  <c r="R902" i="2"/>
  <c r="Q902" i="2"/>
  <c r="P902" i="2"/>
  <c r="S901" i="2"/>
  <c r="R901" i="2"/>
  <c r="Q901" i="2"/>
  <c r="P901" i="2"/>
  <c r="S900" i="2"/>
  <c r="R900" i="2"/>
  <c r="Q900" i="2"/>
  <c r="P900" i="2"/>
  <c r="S899" i="2"/>
  <c r="R899" i="2"/>
  <c r="Q899" i="2"/>
  <c r="P899" i="2"/>
  <c r="S898" i="2"/>
  <c r="R898" i="2"/>
  <c r="Q898" i="2"/>
  <c r="P898" i="2"/>
  <c r="S897" i="2"/>
  <c r="R897" i="2"/>
  <c r="Q897" i="2"/>
  <c r="P897" i="2"/>
  <c r="S896" i="2"/>
  <c r="R896" i="2"/>
  <c r="Q896" i="2"/>
  <c r="P896" i="2"/>
  <c r="S895" i="2"/>
  <c r="R895" i="2"/>
  <c r="Q895" i="2"/>
  <c r="P895" i="2"/>
  <c r="S894" i="2"/>
  <c r="R894" i="2"/>
  <c r="Q894" i="2"/>
  <c r="P894" i="2"/>
  <c r="S893" i="2"/>
  <c r="R893" i="2"/>
  <c r="Q893" i="2"/>
  <c r="P893" i="2"/>
  <c r="S892" i="2"/>
  <c r="R892" i="2"/>
  <c r="Q892" i="2"/>
  <c r="P892" i="2"/>
  <c r="S891" i="2"/>
  <c r="R891" i="2"/>
  <c r="Q891" i="2"/>
  <c r="P891" i="2"/>
  <c r="S890" i="2"/>
  <c r="R890" i="2"/>
  <c r="Q890" i="2"/>
  <c r="P890" i="2"/>
  <c r="S889" i="2"/>
  <c r="R889" i="2"/>
  <c r="Q889" i="2"/>
  <c r="P889" i="2"/>
  <c r="S888" i="2"/>
  <c r="R888" i="2"/>
  <c r="Q888" i="2"/>
  <c r="P888" i="2"/>
  <c r="S887" i="2"/>
  <c r="R887" i="2"/>
  <c r="Q887" i="2"/>
  <c r="P887" i="2"/>
  <c r="S886" i="2"/>
  <c r="R886" i="2"/>
  <c r="Q886" i="2"/>
  <c r="P886" i="2"/>
  <c r="S885" i="2"/>
  <c r="R885" i="2"/>
  <c r="Q885" i="2"/>
  <c r="P885" i="2"/>
  <c r="S884" i="2"/>
  <c r="R884" i="2"/>
  <c r="Q884" i="2"/>
  <c r="P884" i="2"/>
  <c r="S883" i="2"/>
  <c r="R883" i="2"/>
  <c r="Q883" i="2"/>
  <c r="P883" i="2"/>
  <c r="S882" i="2"/>
  <c r="R882" i="2"/>
  <c r="Q882" i="2"/>
  <c r="P882" i="2"/>
  <c r="S881" i="2"/>
  <c r="R881" i="2"/>
  <c r="Q881" i="2"/>
  <c r="P881" i="2"/>
  <c r="S880" i="2"/>
  <c r="R880" i="2"/>
  <c r="Q880" i="2"/>
  <c r="P880" i="2"/>
  <c r="S879" i="2"/>
  <c r="R879" i="2"/>
  <c r="Q879" i="2"/>
  <c r="P879" i="2"/>
  <c r="S878" i="2"/>
  <c r="R878" i="2"/>
  <c r="Q878" i="2"/>
  <c r="P878" i="2"/>
  <c r="S877" i="2"/>
  <c r="R877" i="2"/>
  <c r="Q877" i="2"/>
  <c r="P877" i="2"/>
  <c r="S876" i="2"/>
  <c r="R876" i="2"/>
  <c r="Q876" i="2"/>
  <c r="P876" i="2"/>
  <c r="S875" i="2"/>
  <c r="R875" i="2"/>
  <c r="Q875" i="2"/>
  <c r="P875" i="2"/>
  <c r="S874" i="2"/>
  <c r="R874" i="2"/>
  <c r="Q874" i="2"/>
  <c r="P874" i="2"/>
  <c r="S873" i="2"/>
  <c r="R873" i="2"/>
  <c r="Q873" i="2"/>
  <c r="P873" i="2"/>
  <c r="S872" i="2"/>
  <c r="R872" i="2"/>
  <c r="Q872" i="2"/>
  <c r="P872" i="2"/>
  <c r="S871" i="2"/>
  <c r="R871" i="2"/>
  <c r="Q871" i="2"/>
  <c r="P871" i="2"/>
  <c r="S870" i="2"/>
  <c r="R870" i="2"/>
  <c r="Q870" i="2"/>
  <c r="P870" i="2"/>
  <c r="S869" i="2"/>
  <c r="R869" i="2"/>
  <c r="Q869" i="2"/>
  <c r="P869" i="2"/>
  <c r="S868" i="2"/>
  <c r="R868" i="2"/>
  <c r="Q868" i="2"/>
  <c r="P868" i="2"/>
  <c r="S867" i="2"/>
  <c r="R867" i="2"/>
  <c r="Q867" i="2"/>
  <c r="P867" i="2"/>
  <c r="S866" i="2"/>
  <c r="R866" i="2"/>
  <c r="Q866" i="2"/>
  <c r="P866" i="2"/>
  <c r="S865" i="2"/>
  <c r="R865" i="2"/>
  <c r="Q865" i="2"/>
  <c r="P865" i="2"/>
  <c r="S864" i="2"/>
  <c r="R864" i="2"/>
  <c r="Q864" i="2"/>
  <c r="P864" i="2"/>
  <c r="S863" i="2"/>
  <c r="R863" i="2"/>
  <c r="Q863" i="2"/>
  <c r="P863" i="2"/>
  <c r="S862" i="2"/>
  <c r="R862" i="2"/>
  <c r="Q862" i="2"/>
  <c r="P862" i="2"/>
  <c r="S861" i="2"/>
  <c r="R861" i="2"/>
  <c r="Q861" i="2"/>
  <c r="P861" i="2"/>
  <c r="S860" i="2"/>
  <c r="R860" i="2"/>
  <c r="Q860" i="2"/>
  <c r="P860" i="2"/>
  <c r="S859" i="2"/>
  <c r="R859" i="2"/>
  <c r="Q859" i="2"/>
  <c r="P859" i="2"/>
  <c r="S858" i="2"/>
  <c r="R858" i="2"/>
  <c r="Q858" i="2"/>
  <c r="P858" i="2"/>
  <c r="S857" i="2"/>
  <c r="R857" i="2"/>
  <c r="Q857" i="2"/>
  <c r="P857" i="2"/>
  <c r="S856" i="2"/>
  <c r="R856" i="2"/>
  <c r="Q856" i="2"/>
  <c r="P856" i="2"/>
  <c r="S855" i="2"/>
  <c r="R855" i="2"/>
  <c r="Q855" i="2"/>
  <c r="P855" i="2"/>
  <c r="S854" i="2"/>
  <c r="R854" i="2"/>
  <c r="Q854" i="2"/>
  <c r="P854" i="2"/>
  <c r="S853" i="2"/>
  <c r="R853" i="2"/>
  <c r="Q853" i="2"/>
  <c r="P853" i="2"/>
  <c r="S852" i="2"/>
  <c r="R852" i="2"/>
  <c r="Q852" i="2"/>
  <c r="P852" i="2"/>
  <c r="S851" i="2"/>
  <c r="R851" i="2"/>
  <c r="Q851" i="2"/>
  <c r="P851" i="2"/>
  <c r="S850" i="2"/>
  <c r="R850" i="2"/>
  <c r="Q850" i="2"/>
  <c r="P850" i="2"/>
  <c r="S849" i="2"/>
  <c r="R849" i="2"/>
  <c r="Q849" i="2"/>
  <c r="P849" i="2"/>
  <c r="S848" i="2"/>
  <c r="R848" i="2"/>
  <c r="Q848" i="2"/>
  <c r="P848" i="2"/>
  <c r="S847" i="2"/>
  <c r="R847" i="2"/>
  <c r="Q847" i="2"/>
  <c r="P847" i="2"/>
  <c r="S846" i="2"/>
  <c r="R846" i="2"/>
  <c r="Q846" i="2"/>
  <c r="P846" i="2"/>
  <c r="S845" i="2"/>
  <c r="R845" i="2"/>
  <c r="Q845" i="2"/>
  <c r="P845" i="2"/>
  <c r="S844" i="2"/>
  <c r="R844" i="2"/>
  <c r="Q844" i="2"/>
  <c r="P844" i="2"/>
  <c r="S843" i="2"/>
  <c r="R843" i="2"/>
  <c r="Q843" i="2"/>
  <c r="P843" i="2"/>
  <c r="S842" i="2"/>
  <c r="R842" i="2"/>
  <c r="Q842" i="2"/>
  <c r="P842" i="2"/>
  <c r="S841" i="2"/>
  <c r="R841" i="2"/>
  <c r="Q841" i="2"/>
  <c r="P841" i="2"/>
  <c r="S840" i="2"/>
  <c r="R840" i="2"/>
  <c r="Q840" i="2"/>
  <c r="P840" i="2"/>
  <c r="S839" i="2"/>
  <c r="R839" i="2"/>
  <c r="Q839" i="2"/>
  <c r="P839" i="2"/>
  <c r="S838" i="2"/>
  <c r="R838" i="2"/>
  <c r="Q838" i="2"/>
  <c r="P838" i="2"/>
  <c r="S837" i="2"/>
  <c r="R837" i="2"/>
  <c r="Q837" i="2"/>
  <c r="P837" i="2"/>
  <c r="S836" i="2"/>
  <c r="R836" i="2"/>
  <c r="Q836" i="2"/>
  <c r="P836" i="2"/>
  <c r="S835" i="2"/>
  <c r="R835" i="2"/>
  <c r="Q835" i="2"/>
  <c r="P835" i="2"/>
  <c r="S834" i="2"/>
  <c r="R834" i="2"/>
  <c r="Q834" i="2"/>
  <c r="P834" i="2"/>
  <c r="S833" i="2"/>
  <c r="R833" i="2"/>
  <c r="Q833" i="2"/>
  <c r="P833" i="2"/>
  <c r="S832" i="2"/>
  <c r="R832" i="2"/>
  <c r="Q832" i="2"/>
  <c r="P832" i="2"/>
  <c r="S831" i="2"/>
  <c r="R831" i="2"/>
  <c r="Q831" i="2"/>
  <c r="P831" i="2"/>
  <c r="S830" i="2"/>
  <c r="R830" i="2"/>
  <c r="Q830" i="2"/>
  <c r="P830" i="2"/>
  <c r="S829" i="2"/>
  <c r="R829" i="2"/>
  <c r="Q829" i="2"/>
  <c r="P829" i="2"/>
  <c r="S828" i="2"/>
  <c r="R828" i="2"/>
  <c r="Q828" i="2"/>
  <c r="P828" i="2"/>
  <c r="S827" i="2"/>
  <c r="R827" i="2"/>
  <c r="Q827" i="2"/>
  <c r="P827" i="2"/>
  <c r="S826" i="2"/>
  <c r="R826" i="2"/>
  <c r="Q826" i="2"/>
  <c r="P826" i="2"/>
  <c r="S825" i="2"/>
  <c r="R825" i="2"/>
  <c r="Q825" i="2"/>
  <c r="P825" i="2"/>
  <c r="S824" i="2"/>
  <c r="R824" i="2"/>
  <c r="Q824" i="2"/>
  <c r="P824" i="2"/>
  <c r="S823" i="2"/>
  <c r="R823" i="2"/>
  <c r="Q823" i="2"/>
  <c r="P823" i="2"/>
  <c r="S822" i="2"/>
  <c r="R822" i="2"/>
  <c r="Q822" i="2"/>
  <c r="P822" i="2"/>
  <c r="S821" i="2"/>
  <c r="R821" i="2"/>
  <c r="Q821" i="2"/>
  <c r="P821" i="2"/>
  <c r="S820" i="2"/>
  <c r="R820" i="2"/>
  <c r="Q820" i="2"/>
  <c r="P820" i="2"/>
  <c r="S819" i="2"/>
  <c r="R819" i="2"/>
  <c r="Q819" i="2"/>
  <c r="P819" i="2"/>
  <c r="S818" i="2"/>
  <c r="R818" i="2"/>
  <c r="Q818" i="2"/>
  <c r="P818" i="2"/>
  <c r="S817" i="2"/>
  <c r="R817" i="2"/>
  <c r="Q817" i="2"/>
  <c r="P817" i="2"/>
  <c r="S816" i="2"/>
  <c r="R816" i="2"/>
  <c r="Q816" i="2"/>
  <c r="P816" i="2"/>
  <c r="S815" i="2"/>
  <c r="R815" i="2"/>
  <c r="Q815" i="2"/>
  <c r="P815" i="2"/>
  <c r="S814" i="2"/>
  <c r="R814" i="2"/>
  <c r="Q814" i="2"/>
  <c r="P814" i="2"/>
  <c r="S813" i="2"/>
  <c r="R813" i="2"/>
  <c r="Q813" i="2"/>
  <c r="P813" i="2"/>
  <c r="S812" i="2"/>
  <c r="R812" i="2"/>
  <c r="Q812" i="2"/>
  <c r="P812" i="2"/>
  <c r="S811" i="2"/>
  <c r="R811" i="2"/>
  <c r="Q811" i="2"/>
  <c r="P811" i="2"/>
  <c r="S810" i="2"/>
  <c r="R810" i="2"/>
  <c r="Q810" i="2"/>
  <c r="P810" i="2"/>
  <c r="S809" i="2"/>
  <c r="R809" i="2"/>
  <c r="Q809" i="2"/>
  <c r="P809" i="2"/>
  <c r="S808" i="2"/>
  <c r="R808" i="2"/>
  <c r="Q808" i="2"/>
  <c r="P808" i="2"/>
  <c r="S807" i="2"/>
  <c r="R807" i="2"/>
  <c r="Q807" i="2"/>
  <c r="P807" i="2"/>
  <c r="S806" i="2"/>
  <c r="R806" i="2"/>
  <c r="Q806" i="2"/>
  <c r="P806" i="2"/>
  <c r="S805" i="2"/>
  <c r="R805" i="2"/>
  <c r="Q805" i="2"/>
  <c r="P805" i="2"/>
  <c r="S804" i="2"/>
  <c r="R804" i="2"/>
  <c r="Q804" i="2"/>
  <c r="P804" i="2"/>
  <c r="S803" i="2"/>
  <c r="R803" i="2"/>
  <c r="Q803" i="2"/>
  <c r="P803" i="2"/>
  <c r="S802" i="2"/>
  <c r="R802" i="2"/>
  <c r="Q802" i="2"/>
  <c r="P802" i="2"/>
  <c r="S801" i="2"/>
  <c r="R801" i="2"/>
  <c r="Q801" i="2"/>
  <c r="P801" i="2"/>
  <c r="S800" i="2"/>
  <c r="R800" i="2"/>
  <c r="Q800" i="2"/>
  <c r="P800" i="2"/>
  <c r="S799" i="2"/>
  <c r="R799" i="2"/>
  <c r="Q799" i="2"/>
  <c r="P799" i="2"/>
  <c r="S798" i="2"/>
  <c r="R798" i="2"/>
  <c r="Q798" i="2"/>
  <c r="P798" i="2"/>
  <c r="S797" i="2"/>
  <c r="R797" i="2"/>
  <c r="Q797" i="2"/>
  <c r="P797" i="2"/>
  <c r="S796" i="2"/>
  <c r="R796" i="2"/>
  <c r="Q796" i="2"/>
  <c r="P796" i="2"/>
  <c r="S795" i="2"/>
  <c r="R795" i="2"/>
  <c r="Q795" i="2"/>
  <c r="P795" i="2"/>
  <c r="S794" i="2"/>
  <c r="R794" i="2"/>
  <c r="Q794" i="2"/>
  <c r="P794" i="2"/>
  <c r="S793" i="2"/>
  <c r="R793" i="2"/>
  <c r="Q793" i="2"/>
  <c r="P793" i="2"/>
  <c r="S792" i="2"/>
  <c r="R792" i="2"/>
  <c r="Q792" i="2"/>
  <c r="P792" i="2"/>
  <c r="S791" i="2"/>
  <c r="R791" i="2"/>
  <c r="Q791" i="2"/>
  <c r="P791" i="2"/>
  <c r="S790" i="2"/>
  <c r="R790" i="2"/>
  <c r="Q790" i="2"/>
  <c r="P790" i="2"/>
  <c r="S789" i="2"/>
  <c r="R789" i="2"/>
  <c r="Q789" i="2"/>
  <c r="P789" i="2"/>
  <c r="S788" i="2"/>
  <c r="R788" i="2"/>
  <c r="Q788" i="2"/>
  <c r="P788" i="2"/>
  <c r="S787" i="2"/>
  <c r="R787" i="2"/>
  <c r="Q787" i="2"/>
  <c r="P787" i="2"/>
  <c r="S786" i="2"/>
  <c r="R786" i="2"/>
  <c r="Q786" i="2"/>
  <c r="P786" i="2"/>
  <c r="S785" i="2"/>
  <c r="R785" i="2"/>
  <c r="Q785" i="2"/>
  <c r="P785" i="2"/>
  <c r="S784" i="2"/>
  <c r="R784" i="2"/>
  <c r="Q784" i="2"/>
  <c r="P784" i="2"/>
  <c r="S783" i="2"/>
  <c r="R783" i="2"/>
  <c r="Q783" i="2"/>
  <c r="P783" i="2"/>
  <c r="S782" i="2"/>
  <c r="R782" i="2"/>
  <c r="Q782" i="2"/>
  <c r="P782" i="2"/>
  <c r="S781" i="2"/>
  <c r="R781" i="2"/>
  <c r="Q781" i="2"/>
  <c r="P781" i="2"/>
  <c r="S780" i="2"/>
  <c r="R780" i="2"/>
  <c r="Q780" i="2"/>
  <c r="P780" i="2"/>
  <c r="S779" i="2"/>
  <c r="R779" i="2"/>
  <c r="Q779" i="2"/>
  <c r="P779" i="2"/>
  <c r="S778" i="2"/>
  <c r="R778" i="2"/>
  <c r="Q778" i="2"/>
  <c r="P778" i="2"/>
  <c r="S777" i="2"/>
  <c r="R777" i="2"/>
  <c r="Q777" i="2"/>
  <c r="P777" i="2"/>
  <c r="S776" i="2"/>
  <c r="R776" i="2"/>
  <c r="Q776" i="2"/>
  <c r="P776" i="2"/>
  <c r="S775" i="2"/>
  <c r="R775" i="2"/>
  <c r="Q775" i="2"/>
  <c r="P775" i="2"/>
  <c r="S774" i="2"/>
  <c r="R774" i="2"/>
  <c r="Q774" i="2"/>
  <c r="P774" i="2"/>
  <c r="S773" i="2"/>
  <c r="R773" i="2"/>
  <c r="Q773" i="2"/>
  <c r="P773" i="2"/>
  <c r="S772" i="2"/>
  <c r="R772" i="2"/>
  <c r="Q772" i="2"/>
  <c r="P772" i="2"/>
  <c r="S771" i="2"/>
  <c r="R771" i="2"/>
  <c r="Q771" i="2"/>
  <c r="P771" i="2"/>
  <c r="S770" i="2"/>
  <c r="R770" i="2"/>
  <c r="Q770" i="2"/>
  <c r="P770" i="2"/>
  <c r="S769" i="2"/>
  <c r="R769" i="2"/>
  <c r="Q769" i="2"/>
  <c r="P769" i="2"/>
  <c r="S768" i="2"/>
  <c r="R768" i="2"/>
  <c r="Q768" i="2"/>
  <c r="P768" i="2"/>
  <c r="S767" i="2"/>
  <c r="R767" i="2"/>
  <c r="Q767" i="2"/>
  <c r="P767" i="2"/>
  <c r="S766" i="2"/>
  <c r="R766" i="2"/>
  <c r="Q766" i="2"/>
  <c r="P766" i="2"/>
  <c r="S765" i="2"/>
  <c r="R765" i="2"/>
  <c r="Q765" i="2"/>
  <c r="P765" i="2"/>
  <c r="S764" i="2"/>
  <c r="R764" i="2"/>
  <c r="Q764" i="2"/>
  <c r="P764" i="2"/>
  <c r="S763" i="2"/>
  <c r="R763" i="2"/>
  <c r="Q763" i="2"/>
  <c r="P763" i="2"/>
  <c r="S762" i="2"/>
  <c r="R762" i="2"/>
  <c r="Q762" i="2"/>
  <c r="P762" i="2"/>
  <c r="S761" i="2"/>
  <c r="R761" i="2"/>
  <c r="Q761" i="2"/>
  <c r="P761" i="2"/>
  <c r="S760" i="2"/>
  <c r="R760" i="2"/>
  <c r="Q760" i="2"/>
  <c r="P760" i="2"/>
  <c r="S759" i="2"/>
  <c r="R759" i="2"/>
  <c r="Q759" i="2"/>
  <c r="P759" i="2"/>
  <c r="S758" i="2"/>
  <c r="R758" i="2"/>
  <c r="Q758" i="2"/>
  <c r="P758" i="2"/>
  <c r="S757" i="2"/>
  <c r="R757" i="2"/>
  <c r="Q757" i="2"/>
  <c r="P757" i="2"/>
  <c r="S756" i="2"/>
  <c r="R756" i="2"/>
  <c r="Q756" i="2"/>
  <c r="P756" i="2"/>
  <c r="S755" i="2"/>
  <c r="R755" i="2"/>
  <c r="Q755" i="2"/>
  <c r="P755" i="2"/>
  <c r="S754" i="2"/>
  <c r="R754" i="2"/>
  <c r="Q754" i="2"/>
  <c r="P754" i="2"/>
  <c r="S753" i="2"/>
  <c r="R753" i="2"/>
  <c r="Q753" i="2"/>
  <c r="P753" i="2"/>
  <c r="S752" i="2"/>
  <c r="R752" i="2"/>
  <c r="Q752" i="2"/>
  <c r="P752" i="2"/>
  <c r="S751" i="2"/>
  <c r="R751" i="2"/>
  <c r="Q751" i="2"/>
  <c r="P751" i="2"/>
  <c r="S750" i="2"/>
  <c r="R750" i="2"/>
  <c r="Q750" i="2"/>
  <c r="P750" i="2"/>
  <c r="S749" i="2"/>
  <c r="R749" i="2"/>
  <c r="Q749" i="2"/>
  <c r="P749" i="2"/>
  <c r="S748" i="2"/>
  <c r="R748" i="2"/>
  <c r="Q748" i="2"/>
  <c r="P748" i="2"/>
  <c r="S747" i="2"/>
  <c r="R747" i="2"/>
  <c r="Q747" i="2"/>
  <c r="P747" i="2"/>
  <c r="S746" i="2"/>
  <c r="R746" i="2"/>
  <c r="Q746" i="2"/>
  <c r="P746" i="2"/>
  <c r="S745" i="2"/>
  <c r="R745" i="2"/>
  <c r="Q745" i="2"/>
  <c r="P745" i="2"/>
  <c r="S744" i="2"/>
  <c r="R744" i="2"/>
  <c r="Q744" i="2"/>
  <c r="P744" i="2"/>
  <c r="S743" i="2"/>
  <c r="R743" i="2"/>
  <c r="Q743" i="2"/>
  <c r="P743" i="2"/>
  <c r="S742" i="2"/>
  <c r="R742" i="2"/>
  <c r="Q742" i="2"/>
  <c r="P742" i="2"/>
  <c r="S741" i="2"/>
  <c r="R741" i="2"/>
  <c r="Q741" i="2"/>
  <c r="P741" i="2"/>
  <c r="S740" i="2"/>
  <c r="R740" i="2"/>
  <c r="Q740" i="2"/>
  <c r="P740" i="2"/>
  <c r="S739" i="2"/>
  <c r="R739" i="2"/>
  <c r="Q739" i="2"/>
  <c r="P739" i="2"/>
  <c r="S738" i="2"/>
  <c r="R738" i="2"/>
  <c r="Q738" i="2"/>
  <c r="P738" i="2"/>
  <c r="S737" i="2"/>
  <c r="R737" i="2"/>
  <c r="Q737" i="2"/>
  <c r="P737" i="2"/>
  <c r="S736" i="2"/>
  <c r="R736" i="2"/>
  <c r="Q736" i="2"/>
  <c r="P736" i="2"/>
  <c r="S735" i="2"/>
  <c r="R735" i="2"/>
  <c r="Q735" i="2"/>
  <c r="P735" i="2"/>
  <c r="S734" i="2"/>
  <c r="R734" i="2"/>
  <c r="Q734" i="2"/>
  <c r="P734" i="2"/>
  <c r="S733" i="2"/>
  <c r="R733" i="2"/>
  <c r="Q733" i="2"/>
  <c r="P733" i="2"/>
  <c r="S732" i="2"/>
  <c r="R732" i="2"/>
  <c r="Q732" i="2"/>
  <c r="P732" i="2"/>
  <c r="S731" i="2"/>
  <c r="R731" i="2"/>
  <c r="Q731" i="2"/>
  <c r="P731" i="2"/>
  <c r="S730" i="2"/>
  <c r="R730" i="2"/>
  <c r="Q730" i="2"/>
  <c r="P730" i="2"/>
  <c r="S729" i="2"/>
  <c r="R729" i="2"/>
  <c r="Q729" i="2"/>
  <c r="P729" i="2"/>
  <c r="S728" i="2"/>
  <c r="R728" i="2"/>
  <c r="Q728" i="2"/>
  <c r="P728" i="2"/>
  <c r="S727" i="2"/>
  <c r="R727" i="2"/>
  <c r="Q727" i="2"/>
  <c r="P727" i="2"/>
  <c r="S726" i="2"/>
  <c r="R726" i="2"/>
  <c r="Q726" i="2"/>
  <c r="P726" i="2"/>
  <c r="S725" i="2"/>
  <c r="R725" i="2"/>
  <c r="Q725" i="2"/>
  <c r="P725" i="2"/>
  <c r="S724" i="2"/>
  <c r="R724" i="2"/>
  <c r="Q724" i="2"/>
  <c r="P724" i="2"/>
  <c r="S723" i="2"/>
  <c r="R723" i="2"/>
  <c r="Q723" i="2"/>
  <c r="P723" i="2"/>
  <c r="S722" i="2"/>
  <c r="R722" i="2"/>
  <c r="Q722" i="2"/>
  <c r="P722" i="2"/>
  <c r="S721" i="2"/>
  <c r="R721" i="2"/>
  <c r="Q721" i="2"/>
  <c r="P721" i="2"/>
  <c r="S720" i="2"/>
  <c r="R720" i="2"/>
  <c r="Q720" i="2"/>
  <c r="P720" i="2"/>
  <c r="S719" i="2"/>
  <c r="R719" i="2"/>
  <c r="Q719" i="2"/>
  <c r="P719" i="2"/>
  <c r="S718" i="2"/>
  <c r="R718" i="2"/>
  <c r="Q718" i="2"/>
  <c r="P718" i="2"/>
  <c r="S717" i="2"/>
  <c r="R717" i="2"/>
  <c r="Q717" i="2"/>
  <c r="P717" i="2"/>
  <c r="S716" i="2"/>
  <c r="R716" i="2"/>
  <c r="Q716" i="2"/>
  <c r="P716" i="2"/>
  <c r="S715" i="2"/>
  <c r="R715" i="2"/>
  <c r="Q715" i="2"/>
  <c r="P715" i="2"/>
  <c r="S714" i="2"/>
  <c r="R714" i="2"/>
  <c r="Q714" i="2"/>
  <c r="P714" i="2"/>
  <c r="S713" i="2"/>
  <c r="R713" i="2"/>
  <c r="Q713" i="2"/>
  <c r="P713" i="2"/>
  <c r="S712" i="2"/>
  <c r="R712" i="2"/>
  <c r="Q712" i="2"/>
  <c r="P712" i="2"/>
  <c r="S711" i="2"/>
  <c r="R711" i="2"/>
  <c r="Q711" i="2"/>
  <c r="P711" i="2"/>
  <c r="S710" i="2"/>
  <c r="R710" i="2"/>
  <c r="Q710" i="2"/>
  <c r="P710" i="2"/>
  <c r="S709" i="2"/>
  <c r="R709" i="2"/>
  <c r="Q709" i="2"/>
  <c r="P709" i="2"/>
  <c r="S708" i="2"/>
  <c r="R708" i="2"/>
  <c r="Q708" i="2"/>
  <c r="P708" i="2"/>
  <c r="S707" i="2"/>
  <c r="R707" i="2"/>
  <c r="Q707" i="2"/>
  <c r="P707" i="2"/>
  <c r="S706" i="2"/>
  <c r="R706" i="2"/>
  <c r="Q706" i="2"/>
  <c r="P706" i="2"/>
  <c r="S705" i="2"/>
  <c r="R705" i="2"/>
  <c r="Q705" i="2"/>
  <c r="P705" i="2"/>
  <c r="S704" i="2"/>
  <c r="R704" i="2"/>
  <c r="Q704" i="2"/>
  <c r="P704" i="2"/>
  <c r="S703" i="2"/>
  <c r="R703" i="2"/>
  <c r="Q703" i="2"/>
  <c r="P703" i="2"/>
  <c r="S702" i="2"/>
  <c r="R702" i="2"/>
  <c r="Q702" i="2"/>
  <c r="P702" i="2"/>
  <c r="S701" i="2"/>
  <c r="R701" i="2"/>
  <c r="Q701" i="2"/>
  <c r="P701" i="2"/>
  <c r="S700" i="2"/>
  <c r="R700" i="2"/>
  <c r="Q700" i="2"/>
  <c r="P700" i="2"/>
  <c r="S699" i="2"/>
  <c r="R699" i="2"/>
  <c r="Q699" i="2"/>
  <c r="P699" i="2"/>
  <c r="S698" i="2"/>
  <c r="R698" i="2"/>
  <c r="Q698" i="2"/>
  <c r="P698" i="2"/>
  <c r="S697" i="2"/>
  <c r="R697" i="2"/>
  <c r="Q697" i="2"/>
  <c r="P697" i="2"/>
  <c r="S696" i="2"/>
  <c r="R696" i="2"/>
  <c r="Q696" i="2"/>
  <c r="P696" i="2"/>
  <c r="S695" i="2"/>
  <c r="R695" i="2"/>
  <c r="Q695" i="2"/>
  <c r="P695" i="2"/>
  <c r="S694" i="2"/>
  <c r="R694" i="2"/>
  <c r="Q694" i="2"/>
  <c r="P694" i="2"/>
  <c r="S693" i="2"/>
  <c r="R693" i="2"/>
  <c r="Q693" i="2"/>
  <c r="P693" i="2"/>
  <c r="S692" i="2"/>
  <c r="R692" i="2"/>
  <c r="Q692" i="2"/>
  <c r="P692" i="2"/>
  <c r="S691" i="2"/>
  <c r="R691" i="2"/>
  <c r="Q691" i="2"/>
  <c r="P691" i="2"/>
  <c r="S690" i="2"/>
  <c r="R690" i="2"/>
  <c r="Q690" i="2"/>
  <c r="P690" i="2"/>
  <c r="S689" i="2"/>
  <c r="R689" i="2"/>
  <c r="Q689" i="2"/>
  <c r="P689" i="2"/>
  <c r="S688" i="2"/>
  <c r="R688" i="2"/>
  <c r="Q688" i="2"/>
  <c r="P688" i="2"/>
  <c r="S687" i="2"/>
  <c r="R687" i="2"/>
  <c r="Q687" i="2"/>
  <c r="P687" i="2"/>
  <c r="S686" i="2"/>
  <c r="R686" i="2"/>
  <c r="Q686" i="2"/>
  <c r="P686" i="2"/>
  <c r="S685" i="2"/>
  <c r="R685" i="2"/>
  <c r="Q685" i="2"/>
  <c r="P685" i="2"/>
  <c r="S684" i="2"/>
  <c r="R684" i="2"/>
  <c r="Q684" i="2"/>
  <c r="P684" i="2"/>
  <c r="S683" i="2"/>
  <c r="R683" i="2"/>
  <c r="Q683" i="2"/>
  <c r="P683" i="2"/>
  <c r="S682" i="2"/>
  <c r="R682" i="2"/>
  <c r="Q682" i="2"/>
  <c r="P682" i="2"/>
  <c r="S681" i="2"/>
  <c r="R681" i="2"/>
  <c r="Q681" i="2"/>
  <c r="P681" i="2"/>
  <c r="S680" i="2"/>
  <c r="R680" i="2"/>
  <c r="Q680" i="2"/>
  <c r="P680" i="2"/>
  <c r="S679" i="2"/>
  <c r="R679" i="2"/>
  <c r="Q679" i="2"/>
  <c r="P679" i="2"/>
  <c r="S678" i="2"/>
  <c r="R678" i="2"/>
  <c r="Q678" i="2"/>
  <c r="P678" i="2"/>
  <c r="S677" i="2"/>
  <c r="R677" i="2"/>
  <c r="Q677" i="2"/>
  <c r="P677" i="2"/>
  <c r="S676" i="2"/>
  <c r="R676" i="2"/>
  <c r="Q676" i="2"/>
  <c r="P676" i="2"/>
  <c r="S675" i="2"/>
  <c r="R675" i="2"/>
  <c r="Q675" i="2"/>
  <c r="P675" i="2"/>
  <c r="S674" i="2"/>
  <c r="R674" i="2"/>
  <c r="Q674" i="2"/>
  <c r="P674" i="2"/>
  <c r="S673" i="2"/>
  <c r="R673" i="2"/>
  <c r="Q673" i="2"/>
  <c r="P673" i="2"/>
  <c r="S672" i="2"/>
  <c r="R672" i="2"/>
  <c r="Q672" i="2"/>
  <c r="P672" i="2"/>
  <c r="S671" i="2"/>
  <c r="R671" i="2"/>
  <c r="Q671" i="2"/>
  <c r="P671" i="2"/>
  <c r="S670" i="2"/>
  <c r="R670" i="2"/>
  <c r="Q670" i="2"/>
  <c r="P670" i="2"/>
  <c r="S669" i="2"/>
  <c r="R669" i="2"/>
  <c r="Q669" i="2"/>
  <c r="P669" i="2"/>
  <c r="S668" i="2"/>
  <c r="R668" i="2"/>
  <c r="Q668" i="2"/>
  <c r="P668" i="2"/>
  <c r="S667" i="2"/>
  <c r="R667" i="2"/>
  <c r="Q667" i="2"/>
  <c r="P667" i="2"/>
  <c r="S666" i="2"/>
  <c r="R666" i="2"/>
  <c r="Q666" i="2"/>
  <c r="P666" i="2"/>
  <c r="S665" i="2"/>
  <c r="R665" i="2"/>
  <c r="Q665" i="2"/>
  <c r="P665" i="2"/>
  <c r="S664" i="2"/>
  <c r="R664" i="2"/>
  <c r="Q664" i="2"/>
  <c r="P664" i="2"/>
  <c r="S663" i="2"/>
  <c r="R663" i="2"/>
  <c r="Q663" i="2"/>
  <c r="P663" i="2"/>
  <c r="S662" i="2"/>
  <c r="R662" i="2"/>
  <c r="Q662" i="2"/>
  <c r="P662" i="2"/>
  <c r="S661" i="2"/>
  <c r="R661" i="2"/>
  <c r="Q661" i="2"/>
  <c r="P661" i="2"/>
  <c r="S660" i="2"/>
  <c r="R660" i="2"/>
  <c r="Q660" i="2"/>
  <c r="P660" i="2"/>
  <c r="S659" i="2"/>
  <c r="R659" i="2"/>
  <c r="Q659" i="2"/>
  <c r="P659" i="2"/>
  <c r="S658" i="2"/>
  <c r="R658" i="2"/>
  <c r="Q658" i="2"/>
  <c r="P658" i="2"/>
  <c r="S657" i="2"/>
  <c r="R657" i="2"/>
  <c r="Q657" i="2"/>
  <c r="P657" i="2"/>
  <c r="S656" i="2"/>
  <c r="R656" i="2"/>
  <c r="Q656" i="2"/>
  <c r="P656" i="2"/>
  <c r="S655" i="2"/>
  <c r="R655" i="2"/>
  <c r="Q655" i="2"/>
  <c r="P655" i="2"/>
  <c r="S654" i="2"/>
  <c r="R654" i="2"/>
  <c r="Q654" i="2"/>
  <c r="P654" i="2"/>
  <c r="S653" i="2"/>
  <c r="R653" i="2"/>
  <c r="Q653" i="2"/>
  <c r="P653" i="2"/>
  <c r="S652" i="2"/>
  <c r="R652" i="2"/>
  <c r="Q652" i="2"/>
  <c r="P652" i="2"/>
  <c r="S651" i="2"/>
  <c r="R651" i="2"/>
  <c r="Q651" i="2"/>
  <c r="P651" i="2"/>
  <c r="S650" i="2"/>
  <c r="R650" i="2"/>
  <c r="Q650" i="2"/>
  <c r="P650" i="2"/>
  <c r="S649" i="2"/>
  <c r="R649" i="2"/>
  <c r="Q649" i="2"/>
  <c r="P649" i="2"/>
  <c r="S648" i="2"/>
  <c r="R648" i="2"/>
  <c r="Q648" i="2"/>
  <c r="P648" i="2"/>
  <c r="S647" i="2"/>
  <c r="R647" i="2"/>
  <c r="Q647" i="2"/>
  <c r="P647" i="2"/>
  <c r="S646" i="2"/>
  <c r="R646" i="2"/>
  <c r="Q646" i="2"/>
  <c r="P646" i="2"/>
  <c r="S645" i="2"/>
  <c r="R645" i="2"/>
  <c r="Q645" i="2"/>
  <c r="P645" i="2"/>
  <c r="S644" i="2"/>
  <c r="R644" i="2"/>
  <c r="Q644" i="2"/>
  <c r="P644" i="2"/>
  <c r="S643" i="2"/>
  <c r="R643" i="2"/>
  <c r="Q643" i="2"/>
  <c r="P643" i="2"/>
  <c r="S642" i="2"/>
  <c r="R642" i="2"/>
  <c r="Q642" i="2"/>
  <c r="P642" i="2"/>
  <c r="S641" i="2"/>
  <c r="R641" i="2"/>
  <c r="Q641" i="2"/>
  <c r="P641" i="2"/>
  <c r="S640" i="2"/>
  <c r="R640" i="2"/>
  <c r="Q640" i="2"/>
  <c r="P640" i="2"/>
  <c r="S639" i="2"/>
  <c r="R639" i="2"/>
  <c r="Q639" i="2"/>
  <c r="P639" i="2"/>
  <c r="S638" i="2"/>
  <c r="R638" i="2"/>
  <c r="Q638" i="2"/>
  <c r="P638" i="2"/>
  <c r="S637" i="2"/>
  <c r="R637" i="2"/>
  <c r="Q637" i="2"/>
  <c r="P637" i="2"/>
  <c r="S636" i="2"/>
  <c r="R636" i="2"/>
  <c r="Q636" i="2"/>
  <c r="P636" i="2"/>
  <c r="S635" i="2"/>
  <c r="R635" i="2"/>
  <c r="Q635" i="2"/>
  <c r="P635" i="2"/>
  <c r="S634" i="2"/>
  <c r="R634" i="2"/>
  <c r="Q634" i="2"/>
  <c r="P634" i="2"/>
  <c r="S633" i="2"/>
  <c r="R633" i="2"/>
  <c r="Q633" i="2"/>
  <c r="P633" i="2"/>
  <c r="S632" i="2"/>
  <c r="R632" i="2"/>
  <c r="Q632" i="2"/>
  <c r="P632" i="2"/>
  <c r="S631" i="2"/>
  <c r="R631" i="2"/>
  <c r="Q631" i="2"/>
  <c r="P631" i="2"/>
  <c r="S630" i="2"/>
  <c r="R630" i="2"/>
  <c r="Q630" i="2"/>
  <c r="P630" i="2"/>
  <c r="S629" i="2"/>
  <c r="R629" i="2"/>
  <c r="Q629" i="2"/>
  <c r="P629" i="2"/>
  <c r="S628" i="2"/>
  <c r="R628" i="2"/>
  <c r="Q628" i="2"/>
  <c r="P628" i="2"/>
  <c r="S627" i="2"/>
  <c r="R627" i="2"/>
  <c r="Q627" i="2"/>
  <c r="P627" i="2"/>
  <c r="S626" i="2"/>
  <c r="R626" i="2"/>
  <c r="Q626" i="2"/>
  <c r="P626" i="2"/>
  <c r="S625" i="2"/>
  <c r="R625" i="2"/>
  <c r="Q625" i="2"/>
  <c r="P625" i="2"/>
  <c r="S624" i="2"/>
  <c r="R624" i="2"/>
  <c r="Q624" i="2"/>
  <c r="P624" i="2"/>
  <c r="S623" i="2"/>
  <c r="R623" i="2"/>
  <c r="Q623" i="2"/>
  <c r="P623" i="2"/>
  <c r="S622" i="2"/>
  <c r="R622" i="2"/>
  <c r="Q622" i="2"/>
  <c r="P622" i="2"/>
  <c r="S621" i="2"/>
  <c r="R621" i="2"/>
  <c r="Q621" i="2"/>
  <c r="P621" i="2"/>
  <c r="S620" i="2"/>
  <c r="R620" i="2"/>
  <c r="Q620" i="2"/>
  <c r="P620" i="2"/>
  <c r="S619" i="2"/>
  <c r="R619" i="2"/>
  <c r="Q619" i="2"/>
  <c r="P619" i="2"/>
  <c r="S618" i="2"/>
  <c r="R618" i="2"/>
  <c r="Q618" i="2"/>
  <c r="P618" i="2"/>
  <c r="S617" i="2"/>
  <c r="R617" i="2"/>
  <c r="Q617" i="2"/>
  <c r="P617" i="2"/>
  <c r="S616" i="2"/>
  <c r="R616" i="2"/>
  <c r="Q616" i="2"/>
  <c r="P616" i="2"/>
  <c r="S615" i="2"/>
  <c r="R615" i="2"/>
  <c r="Q615" i="2"/>
  <c r="P615" i="2"/>
  <c r="S614" i="2"/>
  <c r="R614" i="2"/>
  <c r="Q614" i="2"/>
  <c r="P614" i="2"/>
  <c r="S613" i="2"/>
  <c r="R613" i="2"/>
  <c r="Q613" i="2"/>
  <c r="P613" i="2"/>
  <c r="S612" i="2"/>
  <c r="R612" i="2"/>
  <c r="Q612" i="2"/>
  <c r="P612" i="2"/>
  <c r="S611" i="2"/>
  <c r="R611" i="2"/>
  <c r="Q611" i="2"/>
  <c r="P611" i="2"/>
  <c r="S610" i="2"/>
  <c r="R610" i="2"/>
  <c r="Q610" i="2"/>
  <c r="P610" i="2"/>
  <c r="S609" i="2"/>
  <c r="R609" i="2"/>
  <c r="Q609" i="2"/>
  <c r="P609" i="2"/>
  <c r="S608" i="2"/>
  <c r="R608" i="2"/>
  <c r="Q608" i="2"/>
  <c r="P608" i="2"/>
  <c r="S607" i="2"/>
  <c r="R607" i="2"/>
  <c r="Q607" i="2"/>
  <c r="P607" i="2"/>
  <c r="S606" i="2"/>
  <c r="R606" i="2"/>
  <c r="Q606" i="2"/>
  <c r="P606" i="2"/>
  <c r="S605" i="2"/>
  <c r="R605" i="2"/>
  <c r="Q605" i="2"/>
  <c r="P605" i="2"/>
  <c r="S604" i="2"/>
  <c r="R604" i="2"/>
  <c r="Q604" i="2"/>
  <c r="P604" i="2"/>
  <c r="S603" i="2"/>
  <c r="R603" i="2"/>
  <c r="Q603" i="2"/>
  <c r="P603" i="2"/>
  <c r="S602" i="2"/>
  <c r="R602" i="2"/>
  <c r="Q602" i="2"/>
  <c r="P602" i="2"/>
  <c r="S601" i="2"/>
  <c r="R601" i="2"/>
  <c r="Q601" i="2"/>
  <c r="P601" i="2"/>
  <c r="S600" i="2"/>
  <c r="R600" i="2"/>
  <c r="Q600" i="2"/>
  <c r="P600" i="2"/>
  <c r="S599" i="2"/>
  <c r="R599" i="2"/>
  <c r="Q599" i="2"/>
  <c r="P599" i="2"/>
  <c r="S598" i="2"/>
  <c r="R598" i="2"/>
  <c r="Q598" i="2"/>
  <c r="P598" i="2"/>
  <c r="S597" i="2"/>
  <c r="R597" i="2"/>
  <c r="Q597" i="2"/>
  <c r="P597" i="2"/>
  <c r="S596" i="2"/>
  <c r="R596" i="2"/>
  <c r="Q596" i="2"/>
  <c r="P596" i="2"/>
  <c r="S595" i="2"/>
  <c r="R595" i="2"/>
  <c r="Q595" i="2"/>
  <c r="P595" i="2"/>
  <c r="S594" i="2"/>
  <c r="R594" i="2"/>
  <c r="Q594" i="2"/>
  <c r="P594" i="2"/>
  <c r="S593" i="2"/>
  <c r="R593" i="2"/>
  <c r="Q593" i="2"/>
  <c r="P593" i="2"/>
  <c r="S592" i="2"/>
  <c r="R592" i="2"/>
  <c r="Q592" i="2"/>
  <c r="P592" i="2"/>
  <c r="S591" i="2"/>
  <c r="R591" i="2"/>
  <c r="Q591" i="2"/>
  <c r="P591" i="2"/>
  <c r="S590" i="2"/>
  <c r="R590" i="2"/>
  <c r="Q590" i="2"/>
  <c r="P590" i="2"/>
  <c r="S589" i="2"/>
  <c r="R589" i="2"/>
  <c r="Q589" i="2"/>
  <c r="P589" i="2"/>
  <c r="S588" i="2"/>
  <c r="R588" i="2"/>
  <c r="Q588" i="2"/>
  <c r="P588" i="2"/>
  <c r="S587" i="2"/>
  <c r="R587" i="2"/>
  <c r="Q587" i="2"/>
  <c r="P587" i="2"/>
  <c r="S586" i="2"/>
  <c r="R586" i="2"/>
  <c r="Q586" i="2"/>
  <c r="P586" i="2"/>
  <c r="S585" i="2"/>
  <c r="R585" i="2"/>
  <c r="Q585" i="2"/>
  <c r="P585" i="2"/>
  <c r="S584" i="2"/>
  <c r="R584" i="2"/>
  <c r="Q584" i="2"/>
  <c r="P584" i="2"/>
  <c r="S583" i="2"/>
  <c r="R583" i="2"/>
  <c r="Q583" i="2"/>
  <c r="P583" i="2"/>
  <c r="S582" i="2"/>
  <c r="R582" i="2"/>
  <c r="Q582" i="2"/>
  <c r="P582" i="2"/>
  <c r="S581" i="2"/>
  <c r="R581" i="2"/>
  <c r="Q581" i="2"/>
  <c r="P581" i="2"/>
  <c r="S580" i="2"/>
  <c r="R580" i="2"/>
  <c r="Q580" i="2"/>
  <c r="P580" i="2"/>
  <c r="S579" i="2"/>
  <c r="R579" i="2"/>
  <c r="Q579" i="2"/>
  <c r="P579" i="2"/>
  <c r="S578" i="2"/>
  <c r="R578" i="2"/>
  <c r="Q578" i="2"/>
  <c r="P578" i="2"/>
  <c r="S577" i="2"/>
  <c r="R577" i="2"/>
  <c r="Q577" i="2"/>
  <c r="P577" i="2"/>
  <c r="S576" i="2"/>
  <c r="R576" i="2"/>
  <c r="Q576" i="2"/>
  <c r="P576" i="2"/>
  <c r="S575" i="2"/>
  <c r="R575" i="2"/>
  <c r="Q575" i="2"/>
  <c r="P575" i="2"/>
  <c r="S574" i="2"/>
  <c r="R574" i="2"/>
  <c r="Q574" i="2"/>
  <c r="P574" i="2"/>
  <c r="S573" i="2"/>
  <c r="R573" i="2"/>
  <c r="Q573" i="2"/>
  <c r="P573" i="2"/>
  <c r="S572" i="2"/>
  <c r="R572" i="2"/>
  <c r="Q572" i="2"/>
  <c r="P572" i="2"/>
  <c r="S571" i="2"/>
  <c r="R571" i="2"/>
  <c r="Q571" i="2"/>
  <c r="P571" i="2"/>
  <c r="S570" i="2"/>
  <c r="R570" i="2"/>
  <c r="Q570" i="2"/>
  <c r="P570" i="2"/>
  <c r="S569" i="2"/>
  <c r="R569" i="2"/>
  <c r="Q569" i="2"/>
  <c r="P569" i="2"/>
  <c r="S568" i="2"/>
  <c r="R568" i="2"/>
  <c r="Q568" i="2"/>
  <c r="P568" i="2"/>
  <c r="S567" i="2"/>
  <c r="R567" i="2"/>
  <c r="Q567" i="2"/>
  <c r="P567" i="2"/>
  <c r="S566" i="2"/>
  <c r="R566" i="2"/>
  <c r="Q566" i="2"/>
  <c r="P566" i="2"/>
  <c r="S565" i="2"/>
  <c r="R565" i="2"/>
  <c r="Q565" i="2"/>
  <c r="P565" i="2"/>
  <c r="S564" i="2"/>
  <c r="R564" i="2"/>
  <c r="Q564" i="2"/>
  <c r="P564" i="2"/>
  <c r="S563" i="2"/>
  <c r="R563" i="2"/>
  <c r="Q563" i="2"/>
  <c r="P563" i="2"/>
  <c r="S562" i="2"/>
  <c r="R562" i="2"/>
  <c r="Q562" i="2"/>
  <c r="P562" i="2"/>
  <c r="S561" i="2"/>
  <c r="R561" i="2"/>
  <c r="Q561" i="2"/>
  <c r="P561" i="2"/>
  <c r="S560" i="2"/>
  <c r="R560" i="2"/>
  <c r="Q560" i="2"/>
  <c r="P560" i="2"/>
  <c r="S559" i="2"/>
  <c r="R559" i="2"/>
  <c r="Q559" i="2"/>
  <c r="P559" i="2"/>
  <c r="S558" i="2"/>
  <c r="R558" i="2"/>
  <c r="Q558" i="2"/>
  <c r="P558" i="2"/>
  <c r="S557" i="2"/>
  <c r="R557" i="2"/>
  <c r="Q557" i="2"/>
  <c r="P557" i="2"/>
  <c r="S556" i="2"/>
  <c r="R556" i="2"/>
  <c r="Q556" i="2"/>
  <c r="P556" i="2"/>
  <c r="S555" i="2"/>
  <c r="R555" i="2"/>
  <c r="Q555" i="2"/>
  <c r="P555" i="2"/>
  <c r="S554" i="2"/>
  <c r="R554" i="2"/>
  <c r="Q554" i="2"/>
  <c r="P554" i="2"/>
  <c r="S553" i="2"/>
  <c r="R553" i="2"/>
  <c r="Q553" i="2"/>
  <c r="P553" i="2"/>
  <c r="S552" i="2"/>
  <c r="R552" i="2"/>
  <c r="Q552" i="2"/>
  <c r="P552" i="2"/>
  <c r="S551" i="2"/>
  <c r="R551" i="2"/>
  <c r="Q551" i="2"/>
  <c r="P551" i="2"/>
  <c r="S550" i="2"/>
  <c r="R550" i="2"/>
  <c r="Q550" i="2"/>
  <c r="P550" i="2"/>
  <c r="S549" i="2"/>
  <c r="R549" i="2"/>
  <c r="Q549" i="2"/>
  <c r="P549" i="2"/>
  <c r="S548" i="2"/>
  <c r="R548" i="2"/>
  <c r="Q548" i="2"/>
  <c r="P548" i="2"/>
  <c r="S547" i="2"/>
  <c r="R547" i="2"/>
  <c r="Q547" i="2"/>
  <c r="P547" i="2"/>
  <c r="S546" i="2"/>
  <c r="R546" i="2"/>
  <c r="Q546" i="2"/>
  <c r="P546" i="2"/>
  <c r="S545" i="2"/>
  <c r="R545" i="2"/>
  <c r="Q545" i="2"/>
  <c r="P545" i="2"/>
  <c r="S544" i="2"/>
  <c r="R544" i="2"/>
  <c r="Q544" i="2"/>
  <c r="P544" i="2"/>
  <c r="S543" i="2"/>
  <c r="R543" i="2"/>
  <c r="Q543" i="2"/>
  <c r="P543" i="2"/>
  <c r="S542" i="2"/>
  <c r="R542" i="2"/>
  <c r="Q542" i="2"/>
  <c r="P542" i="2"/>
  <c r="S541" i="2"/>
  <c r="R541" i="2"/>
  <c r="Q541" i="2"/>
  <c r="P541" i="2"/>
  <c r="S540" i="2"/>
  <c r="R540" i="2"/>
  <c r="Q540" i="2"/>
  <c r="P540" i="2"/>
  <c r="S539" i="2"/>
  <c r="R539" i="2"/>
  <c r="Q539" i="2"/>
  <c r="P539" i="2"/>
  <c r="S538" i="2"/>
  <c r="R538" i="2"/>
  <c r="Q538" i="2"/>
  <c r="P538" i="2"/>
  <c r="S537" i="2"/>
  <c r="R537" i="2"/>
  <c r="Q537" i="2"/>
  <c r="P537" i="2"/>
  <c r="S536" i="2"/>
  <c r="R536" i="2"/>
  <c r="Q536" i="2"/>
  <c r="P536" i="2"/>
  <c r="S535" i="2"/>
  <c r="R535" i="2"/>
  <c r="Q535" i="2"/>
  <c r="P535" i="2"/>
  <c r="S534" i="2"/>
  <c r="R534" i="2"/>
  <c r="Q534" i="2"/>
  <c r="P534" i="2"/>
  <c r="S533" i="2"/>
  <c r="R533" i="2"/>
  <c r="Q533" i="2"/>
  <c r="P533" i="2"/>
  <c r="S532" i="2"/>
  <c r="R532" i="2"/>
  <c r="Q532" i="2"/>
  <c r="P532" i="2"/>
  <c r="S531" i="2"/>
  <c r="R531" i="2"/>
  <c r="Q531" i="2"/>
  <c r="P531" i="2"/>
  <c r="S530" i="2"/>
  <c r="R530" i="2"/>
  <c r="Q530" i="2"/>
  <c r="P530" i="2"/>
  <c r="S529" i="2"/>
  <c r="R529" i="2"/>
  <c r="Q529" i="2"/>
  <c r="P529" i="2"/>
  <c r="S528" i="2"/>
  <c r="R528" i="2"/>
  <c r="Q528" i="2"/>
  <c r="P528" i="2"/>
  <c r="S527" i="2"/>
  <c r="R527" i="2"/>
  <c r="Q527" i="2"/>
  <c r="P527" i="2"/>
  <c r="S526" i="2"/>
  <c r="R526" i="2"/>
  <c r="Q526" i="2"/>
  <c r="P526" i="2"/>
  <c r="S525" i="2"/>
  <c r="R525" i="2"/>
  <c r="Q525" i="2"/>
  <c r="P525" i="2"/>
  <c r="S524" i="2"/>
  <c r="R524" i="2"/>
  <c r="Q524" i="2"/>
  <c r="P524" i="2"/>
  <c r="S523" i="2"/>
  <c r="R523" i="2"/>
  <c r="Q523" i="2"/>
  <c r="P523" i="2"/>
  <c r="S522" i="2"/>
  <c r="R522" i="2"/>
  <c r="Q522" i="2"/>
  <c r="P522" i="2"/>
  <c r="S521" i="2"/>
  <c r="R521" i="2"/>
  <c r="Q521" i="2"/>
  <c r="P521" i="2"/>
  <c r="S520" i="2"/>
  <c r="R520" i="2"/>
  <c r="Q520" i="2"/>
  <c r="P520" i="2"/>
  <c r="S519" i="2"/>
  <c r="R519" i="2"/>
  <c r="Q519" i="2"/>
  <c r="P519" i="2"/>
  <c r="S518" i="2"/>
  <c r="R518" i="2"/>
  <c r="Q518" i="2"/>
  <c r="P518" i="2"/>
  <c r="S517" i="2"/>
  <c r="R517" i="2"/>
  <c r="Q517" i="2"/>
  <c r="P517" i="2"/>
  <c r="S516" i="2"/>
  <c r="R516" i="2"/>
  <c r="Q516" i="2"/>
  <c r="P516" i="2"/>
  <c r="S515" i="2"/>
  <c r="R515" i="2"/>
  <c r="Q515" i="2"/>
  <c r="P515" i="2"/>
  <c r="S514" i="2"/>
  <c r="R514" i="2"/>
  <c r="Q514" i="2"/>
  <c r="P514" i="2"/>
  <c r="S513" i="2"/>
  <c r="R513" i="2"/>
  <c r="Q513" i="2"/>
  <c r="P513" i="2"/>
  <c r="S512" i="2"/>
  <c r="R512" i="2"/>
  <c r="Q512" i="2"/>
  <c r="P512" i="2"/>
  <c r="S511" i="2"/>
  <c r="R511" i="2"/>
  <c r="Q511" i="2"/>
  <c r="P511" i="2"/>
  <c r="S510" i="2"/>
  <c r="R510" i="2"/>
  <c r="Q510" i="2"/>
  <c r="P510" i="2"/>
  <c r="S509" i="2"/>
  <c r="R509" i="2"/>
  <c r="Q509" i="2"/>
  <c r="P509" i="2"/>
  <c r="S508" i="2"/>
  <c r="R508" i="2"/>
  <c r="Q508" i="2"/>
  <c r="P508" i="2"/>
  <c r="S507" i="2"/>
  <c r="R507" i="2"/>
  <c r="Q507" i="2"/>
  <c r="P507" i="2"/>
  <c r="S506" i="2"/>
  <c r="R506" i="2"/>
  <c r="Q506" i="2"/>
  <c r="P506" i="2"/>
  <c r="S505" i="2"/>
  <c r="R505" i="2"/>
  <c r="Q505" i="2"/>
  <c r="P505" i="2"/>
  <c r="S504" i="2"/>
  <c r="R504" i="2"/>
  <c r="Q504" i="2"/>
  <c r="P504" i="2"/>
  <c r="S503" i="2"/>
  <c r="R503" i="2"/>
  <c r="Q503" i="2"/>
  <c r="P503" i="2"/>
  <c r="S502" i="2"/>
  <c r="R502" i="2"/>
  <c r="Q502" i="2"/>
  <c r="P502" i="2"/>
  <c r="S501" i="2"/>
  <c r="R501" i="2"/>
  <c r="Q501" i="2"/>
  <c r="P501" i="2"/>
  <c r="S500" i="2"/>
  <c r="R500" i="2"/>
  <c r="Q500" i="2"/>
  <c r="P500" i="2"/>
  <c r="S499" i="2"/>
  <c r="R499" i="2"/>
  <c r="Q499" i="2"/>
  <c r="P499" i="2"/>
  <c r="S498" i="2"/>
  <c r="R498" i="2"/>
  <c r="Q498" i="2"/>
  <c r="P498" i="2"/>
  <c r="S497" i="2"/>
  <c r="R497" i="2"/>
  <c r="Q497" i="2"/>
  <c r="P497" i="2"/>
  <c r="S496" i="2"/>
  <c r="R496" i="2"/>
  <c r="Q496" i="2"/>
  <c r="P496" i="2"/>
  <c r="S495" i="2"/>
  <c r="R495" i="2"/>
  <c r="Q495" i="2"/>
  <c r="P495" i="2"/>
  <c r="S494" i="2"/>
  <c r="R494" i="2"/>
  <c r="Q494" i="2"/>
  <c r="P494" i="2"/>
  <c r="S493" i="2"/>
  <c r="R493" i="2"/>
  <c r="Q493" i="2"/>
  <c r="P493" i="2"/>
  <c r="S492" i="2"/>
  <c r="R492" i="2"/>
  <c r="Q492" i="2"/>
  <c r="P492" i="2"/>
  <c r="S491" i="2"/>
  <c r="R491" i="2"/>
  <c r="Q491" i="2"/>
  <c r="P491" i="2"/>
  <c r="S490" i="2"/>
  <c r="R490" i="2"/>
  <c r="Q490" i="2"/>
  <c r="P490" i="2"/>
  <c r="S489" i="2"/>
  <c r="R489" i="2"/>
  <c r="Q489" i="2"/>
  <c r="P489" i="2"/>
  <c r="S488" i="2"/>
  <c r="R488" i="2"/>
  <c r="Q488" i="2"/>
  <c r="P488" i="2"/>
  <c r="S487" i="2"/>
  <c r="R487" i="2"/>
  <c r="Q487" i="2"/>
  <c r="P487" i="2"/>
  <c r="S486" i="2"/>
  <c r="R486" i="2"/>
  <c r="Q486" i="2"/>
  <c r="P486" i="2"/>
  <c r="S485" i="2"/>
  <c r="R485" i="2"/>
  <c r="Q485" i="2"/>
  <c r="P485" i="2"/>
  <c r="S484" i="2"/>
  <c r="R484" i="2"/>
  <c r="Q484" i="2"/>
  <c r="P484" i="2"/>
  <c r="S483" i="2"/>
  <c r="R483" i="2"/>
  <c r="Q483" i="2"/>
  <c r="P483" i="2"/>
  <c r="S482" i="2"/>
  <c r="R482" i="2"/>
  <c r="Q482" i="2"/>
  <c r="P482" i="2"/>
  <c r="S481" i="2"/>
  <c r="R481" i="2"/>
  <c r="Q481" i="2"/>
  <c r="P481" i="2"/>
  <c r="S480" i="2"/>
  <c r="R480" i="2"/>
  <c r="Q480" i="2"/>
  <c r="P480" i="2"/>
  <c r="S479" i="2"/>
  <c r="R479" i="2"/>
  <c r="Q479" i="2"/>
  <c r="P479" i="2"/>
  <c r="S478" i="2"/>
  <c r="R478" i="2"/>
  <c r="Q478" i="2"/>
  <c r="P478" i="2"/>
  <c r="S477" i="2"/>
  <c r="R477" i="2"/>
  <c r="Q477" i="2"/>
  <c r="P477" i="2"/>
  <c r="S476" i="2"/>
  <c r="R476" i="2"/>
  <c r="Q476" i="2"/>
  <c r="P476" i="2"/>
  <c r="S475" i="2"/>
  <c r="R475" i="2"/>
  <c r="Q475" i="2"/>
  <c r="P475" i="2"/>
  <c r="S474" i="2"/>
  <c r="R474" i="2"/>
  <c r="Q474" i="2"/>
  <c r="P474" i="2"/>
  <c r="S473" i="2"/>
  <c r="R473" i="2"/>
  <c r="Q473" i="2"/>
  <c r="P473" i="2"/>
  <c r="S472" i="2"/>
  <c r="R472" i="2"/>
  <c r="Q472" i="2"/>
  <c r="P472" i="2"/>
  <c r="S471" i="2"/>
  <c r="R471" i="2"/>
  <c r="Q471" i="2"/>
  <c r="P471" i="2"/>
  <c r="S470" i="2"/>
  <c r="R470" i="2"/>
  <c r="Q470" i="2"/>
  <c r="P470" i="2"/>
  <c r="S469" i="2"/>
  <c r="R469" i="2"/>
  <c r="Q469" i="2"/>
  <c r="P469" i="2"/>
  <c r="S468" i="2"/>
  <c r="R468" i="2"/>
  <c r="Q468" i="2"/>
  <c r="P468" i="2"/>
  <c r="S467" i="2"/>
  <c r="R467" i="2"/>
  <c r="Q467" i="2"/>
  <c r="P467" i="2"/>
  <c r="S466" i="2"/>
  <c r="R466" i="2"/>
  <c r="Q466" i="2"/>
  <c r="P466" i="2"/>
  <c r="S465" i="2"/>
  <c r="R465" i="2"/>
  <c r="Q465" i="2"/>
  <c r="P465" i="2"/>
  <c r="S464" i="2"/>
  <c r="R464" i="2"/>
  <c r="Q464" i="2"/>
  <c r="P464" i="2"/>
  <c r="S463" i="2"/>
  <c r="R463" i="2"/>
  <c r="Q463" i="2"/>
  <c r="P463" i="2"/>
  <c r="S462" i="2"/>
  <c r="R462" i="2"/>
  <c r="Q462" i="2"/>
  <c r="P462" i="2"/>
  <c r="S461" i="2"/>
  <c r="R461" i="2"/>
  <c r="Q461" i="2"/>
  <c r="P461" i="2"/>
  <c r="S460" i="2"/>
  <c r="R460" i="2"/>
  <c r="Q460" i="2"/>
  <c r="P460" i="2"/>
  <c r="S459" i="2"/>
  <c r="R459" i="2"/>
  <c r="Q459" i="2"/>
  <c r="P459" i="2"/>
  <c r="S458" i="2"/>
  <c r="R458" i="2"/>
  <c r="Q458" i="2"/>
  <c r="P458" i="2"/>
  <c r="S457" i="2"/>
  <c r="R457" i="2"/>
  <c r="Q457" i="2"/>
  <c r="P457" i="2"/>
  <c r="S456" i="2"/>
  <c r="R456" i="2"/>
  <c r="Q456" i="2"/>
  <c r="P456" i="2"/>
  <c r="S455" i="2"/>
  <c r="R455" i="2"/>
  <c r="Q455" i="2"/>
  <c r="P455" i="2"/>
  <c r="S454" i="2"/>
  <c r="R454" i="2"/>
  <c r="Q454" i="2"/>
  <c r="P454" i="2"/>
  <c r="S453" i="2"/>
  <c r="R453" i="2"/>
  <c r="Q453" i="2"/>
  <c r="P453" i="2"/>
  <c r="S452" i="2"/>
  <c r="R452" i="2"/>
  <c r="Q452" i="2"/>
  <c r="P452" i="2"/>
  <c r="S451" i="2"/>
  <c r="R451" i="2"/>
  <c r="Q451" i="2"/>
  <c r="P451" i="2"/>
  <c r="S450" i="2"/>
  <c r="R450" i="2"/>
  <c r="Q450" i="2"/>
  <c r="P450" i="2"/>
  <c r="S449" i="2"/>
  <c r="R449" i="2"/>
  <c r="Q449" i="2"/>
  <c r="P449" i="2"/>
  <c r="S448" i="2"/>
  <c r="R448" i="2"/>
  <c r="Q448" i="2"/>
  <c r="P448" i="2"/>
  <c r="S447" i="2"/>
  <c r="R447" i="2"/>
  <c r="Q447" i="2"/>
  <c r="P447" i="2"/>
  <c r="S446" i="2"/>
  <c r="R446" i="2"/>
  <c r="Q446" i="2"/>
  <c r="P446" i="2"/>
  <c r="S445" i="2"/>
  <c r="R445" i="2"/>
  <c r="Q445" i="2"/>
  <c r="P445" i="2"/>
  <c r="S444" i="2"/>
  <c r="R444" i="2"/>
  <c r="Q444" i="2"/>
  <c r="P444" i="2"/>
  <c r="S443" i="2"/>
  <c r="R443" i="2"/>
  <c r="Q443" i="2"/>
  <c r="P443" i="2"/>
  <c r="S442" i="2"/>
  <c r="R442" i="2"/>
  <c r="Q442" i="2"/>
  <c r="P442" i="2"/>
  <c r="S441" i="2"/>
  <c r="R441" i="2"/>
  <c r="Q441" i="2"/>
  <c r="P441" i="2"/>
  <c r="S440" i="2"/>
  <c r="R440" i="2"/>
  <c r="Q440" i="2"/>
  <c r="P440" i="2"/>
  <c r="S439" i="2"/>
  <c r="R439" i="2"/>
  <c r="Q439" i="2"/>
  <c r="P439" i="2"/>
  <c r="S438" i="2"/>
  <c r="R438" i="2"/>
  <c r="Q438" i="2"/>
  <c r="P438" i="2"/>
  <c r="S437" i="2"/>
  <c r="R437" i="2"/>
  <c r="Q437" i="2"/>
  <c r="P437" i="2"/>
  <c r="S436" i="2"/>
  <c r="R436" i="2"/>
  <c r="Q436" i="2"/>
  <c r="P436" i="2"/>
  <c r="S435" i="2"/>
  <c r="R435" i="2"/>
  <c r="Q435" i="2"/>
  <c r="P435" i="2"/>
  <c r="S434" i="2"/>
  <c r="R434" i="2"/>
  <c r="Q434" i="2"/>
  <c r="P434" i="2"/>
  <c r="S433" i="2"/>
  <c r="R433" i="2"/>
  <c r="Q433" i="2"/>
  <c r="P433" i="2"/>
  <c r="S432" i="2"/>
  <c r="R432" i="2"/>
  <c r="Q432" i="2"/>
  <c r="P432" i="2"/>
  <c r="S431" i="2"/>
  <c r="R431" i="2"/>
  <c r="Q431" i="2"/>
  <c r="P431" i="2"/>
  <c r="S430" i="2"/>
  <c r="R430" i="2"/>
  <c r="Q430" i="2"/>
  <c r="P430" i="2"/>
  <c r="S429" i="2"/>
  <c r="R429" i="2"/>
  <c r="Q429" i="2"/>
  <c r="P429" i="2"/>
  <c r="S428" i="2"/>
  <c r="R428" i="2"/>
  <c r="Q428" i="2"/>
  <c r="P428" i="2"/>
  <c r="S427" i="2"/>
  <c r="R427" i="2"/>
  <c r="Q427" i="2"/>
  <c r="P427" i="2"/>
  <c r="S426" i="2"/>
  <c r="R426" i="2"/>
  <c r="Q426" i="2"/>
  <c r="P426" i="2"/>
  <c r="S425" i="2"/>
  <c r="R425" i="2"/>
  <c r="Q425" i="2"/>
  <c r="P425" i="2"/>
  <c r="S424" i="2"/>
  <c r="R424" i="2"/>
  <c r="Q424" i="2"/>
  <c r="P424" i="2"/>
  <c r="S423" i="2"/>
  <c r="R423" i="2"/>
  <c r="Q423" i="2"/>
  <c r="P423" i="2"/>
  <c r="S422" i="2"/>
  <c r="R422" i="2"/>
  <c r="Q422" i="2"/>
  <c r="P422" i="2"/>
  <c r="S421" i="2"/>
  <c r="R421" i="2"/>
  <c r="Q421" i="2"/>
  <c r="P421" i="2"/>
  <c r="S420" i="2"/>
  <c r="R420" i="2"/>
  <c r="Q420" i="2"/>
  <c r="P420" i="2"/>
  <c r="S419" i="2"/>
  <c r="R419" i="2"/>
  <c r="Q419" i="2"/>
  <c r="P419" i="2"/>
  <c r="S418" i="2"/>
  <c r="R418" i="2"/>
  <c r="Q418" i="2"/>
  <c r="P418" i="2"/>
  <c r="S417" i="2"/>
  <c r="R417" i="2"/>
  <c r="Q417" i="2"/>
  <c r="P417" i="2"/>
  <c r="S416" i="2"/>
  <c r="R416" i="2"/>
  <c r="Q416" i="2"/>
  <c r="P416" i="2"/>
  <c r="S415" i="2"/>
  <c r="R415" i="2"/>
  <c r="Q415" i="2"/>
  <c r="P415" i="2"/>
  <c r="S414" i="2"/>
  <c r="R414" i="2"/>
  <c r="Q414" i="2"/>
  <c r="P414" i="2"/>
  <c r="S413" i="2"/>
  <c r="R413" i="2"/>
  <c r="Q413" i="2"/>
  <c r="P413" i="2"/>
  <c r="S412" i="2"/>
  <c r="R412" i="2"/>
  <c r="Q412" i="2"/>
  <c r="P412" i="2"/>
  <c r="S411" i="2"/>
  <c r="R411" i="2"/>
  <c r="Q411" i="2"/>
  <c r="P411" i="2"/>
  <c r="S410" i="2"/>
  <c r="R410" i="2"/>
  <c r="Q410" i="2"/>
  <c r="P410" i="2"/>
  <c r="S409" i="2"/>
  <c r="R409" i="2"/>
  <c r="Q409" i="2"/>
  <c r="P409" i="2"/>
  <c r="S408" i="2"/>
  <c r="R408" i="2"/>
  <c r="Q408" i="2"/>
  <c r="P408" i="2"/>
  <c r="S407" i="2"/>
  <c r="R407" i="2"/>
  <c r="Q407" i="2"/>
  <c r="P407" i="2"/>
  <c r="S406" i="2"/>
  <c r="R406" i="2"/>
  <c r="Q406" i="2"/>
  <c r="P406" i="2"/>
  <c r="S405" i="2"/>
  <c r="R405" i="2"/>
  <c r="Q405" i="2"/>
  <c r="P405" i="2"/>
  <c r="S404" i="2"/>
  <c r="R404" i="2"/>
  <c r="Q404" i="2"/>
  <c r="P404" i="2"/>
  <c r="S403" i="2"/>
  <c r="R403" i="2"/>
  <c r="Q403" i="2"/>
  <c r="P403" i="2"/>
  <c r="S402" i="2"/>
  <c r="R402" i="2"/>
  <c r="Q402" i="2"/>
  <c r="P402" i="2"/>
  <c r="S401" i="2"/>
  <c r="R401" i="2"/>
  <c r="Q401" i="2"/>
  <c r="P401" i="2"/>
  <c r="S400" i="2"/>
  <c r="R400" i="2"/>
  <c r="Q400" i="2"/>
  <c r="P400" i="2"/>
  <c r="S399" i="2"/>
  <c r="R399" i="2"/>
  <c r="Q399" i="2"/>
  <c r="P399" i="2"/>
  <c r="S398" i="2"/>
  <c r="R398" i="2"/>
  <c r="Q398" i="2"/>
  <c r="P398" i="2"/>
  <c r="S397" i="2"/>
  <c r="R397" i="2"/>
  <c r="Q397" i="2"/>
  <c r="P397" i="2"/>
  <c r="S396" i="2"/>
  <c r="R396" i="2"/>
  <c r="Q396" i="2"/>
  <c r="P396" i="2"/>
  <c r="S395" i="2"/>
  <c r="R395" i="2"/>
  <c r="Q395" i="2"/>
  <c r="P395" i="2"/>
  <c r="S394" i="2"/>
  <c r="R394" i="2"/>
  <c r="Q394" i="2"/>
  <c r="P394" i="2"/>
  <c r="S393" i="2"/>
  <c r="R393" i="2"/>
  <c r="Q393" i="2"/>
  <c r="P393" i="2"/>
  <c r="S392" i="2"/>
  <c r="R392" i="2"/>
  <c r="Q392" i="2"/>
  <c r="P392" i="2"/>
  <c r="S391" i="2"/>
  <c r="R391" i="2"/>
  <c r="Q391" i="2"/>
  <c r="P391" i="2"/>
  <c r="S390" i="2"/>
  <c r="R390" i="2"/>
  <c r="Q390" i="2"/>
  <c r="P390" i="2"/>
  <c r="S389" i="2"/>
  <c r="R389" i="2"/>
  <c r="Q389" i="2"/>
  <c r="P389" i="2"/>
  <c r="S388" i="2"/>
  <c r="R388" i="2"/>
  <c r="Q388" i="2"/>
  <c r="P388" i="2"/>
  <c r="S387" i="2"/>
  <c r="R387" i="2"/>
  <c r="Q387" i="2"/>
  <c r="P387" i="2"/>
  <c r="S386" i="2"/>
  <c r="R386" i="2"/>
  <c r="Q386" i="2"/>
  <c r="P386" i="2"/>
  <c r="S385" i="2"/>
  <c r="R385" i="2"/>
  <c r="Q385" i="2"/>
  <c r="P385" i="2"/>
  <c r="S384" i="2"/>
  <c r="R384" i="2"/>
  <c r="Q384" i="2"/>
  <c r="P384" i="2"/>
  <c r="S383" i="2"/>
  <c r="R383" i="2"/>
  <c r="Q383" i="2"/>
  <c r="P383" i="2"/>
  <c r="S382" i="2"/>
  <c r="R382" i="2"/>
  <c r="Q382" i="2"/>
  <c r="P382" i="2"/>
  <c r="S381" i="2"/>
  <c r="R381" i="2"/>
  <c r="Q381" i="2"/>
  <c r="P381" i="2"/>
  <c r="S380" i="2"/>
  <c r="R380" i="2"/>
  <c r="Q380" i="2"/>
  <c r="P380" i="2"/>
  <c r="S379" i="2"/>
  <c r="R379" i="2"/>
  <c r="Q379" i="2"/>
  <c r="P379" i="2"/>
  <c r="S378" i="2"/>
  <c r="R378" i="2"/>
  <c r="Q378" i="2"/>
  <c r="P378" i="2"/>
  <c r="S377" i="2"/>
  <c r="R377" i="2"/>
  <c r="Q377" i="2"/>
  <c r="P377" i="2"/>
  <c r="S376" i="2"/>
  <c r="R376" i="2"/>
  <c r="Q376" i="2"/>
  <c r="P376" i="2"/>
  <c r="S375" i="2"/>
  <c r="R375" i="2"/>
  <c r="Q375" i="2"/>
  <c r="P375" i="2"/>
  <c r="S374" i="2"/>
  <c r="R374" i="2"/>
  <c r="Q374" i="2"/>
  <c r="P374" i="2"/>
  <c r="S373" i="2"/>
  <c r="R373" i="2"/>
  <c r="Q373" i="2"/>
  <c r="P373" i="2"/>
  <c r="S372" i="2"/>
  <c r="R372" i="2"/>
  <c r="Q372" i="2"/>
  <c r="P372" i="2"/>
  <c r="S371" i="2"/>
  <c r="R371" i="2"/>
  <c r="Q371" i="2"/>
  <c r="P371" i="2"/>
  <c r="S370" i="2"/>
  <c r="R370" i="2"/>
  <c r="Q370" i="2"/>
  <c r="P370" i="2"/>
  <c r="S369" i="2"/>
  <c r="R369" i="2"/>
  <c r="Q369" i="2"/>
  <c r="P369" i="2"/>
  <c r="S368" i="2"/>
  <c r="R368" i="2"/>
  <c r="Q368" i="2"/>
  <c r="P368" i="2"/>
  <c r="S367" i="2"/>
  <c r="R367" i="2"/>
  <c r="Q367" i="2"/>
  <c r="P367" i="2"/>
  <c r="S366" i="2"/>
  <c r="R366" i="2"/>
  <c r="Q366" i="2"/>
  <c r="P366" i="2"/>
  <c r="S365" i="2"/>
  <c r="R365" i="2"/>
  <c r="Q365" i="2"/>
  <c r="P365" i="2"/>
  <c r="S364" i="2"/>
  <c r="R364" i="2"/>
  <c r="Q364" i="2"/>
  <c r="P364" i="2"/>
  <c r="S363" i="2"/>
  <c r="R363" i="2"/>
  <c r="Q363" i="2"/>
  <c r="P363" i="2"/>
  <c r="S362" i="2"/>
  <c r="R362" i="2"/>
  <c r="Q362" i="2"/>
  <c r="P362" i="2"/>
  <c r="S361" i="2"/>
  <c r="R361" i="2"/>
  <c r="Q361" i="2"/>
  <c r="P361" i="2"/>
  <c r="S360" i="2"/>
  <c r="R360" i="2"/>
  <c r="Q360" i="2"/>
  <c r="P360" i="2"/>
  <c r="S359" i="2"/>
  <c r="R359" i="2"/>
  <c r="Q359" i="2"/>
  <c r="P359" i="2"/>
  <c r="S358" i="2"/>
  <c r="R358" i="2"/>
  <c r="Q358" i="2"/>
  <c r="P358" i="2"/>
  <c r="S357" i="2"/>
  <c r="R357" i="2"/>
  <c r="Q357" i="2"/>
  <c r="P357" i="2"/>
  <c r="S356" i="2"/>
  <c r="R356" i="2"/>
  <c r="Q356" i="2"/>
  <c r="P356" i="2"/>
  <c r="S355" i="2"/>
  <c r="R355" i="2"/>
  <c r="Q355" i="2"/>
  <c r="P355" i="2"/>
  <c r="S354" i="2"/>
  <c r="R354" i="2"/>
  <c r="Q354" i="2"/>
  <c r="P354" i="2"/>
  <c r="S353" i="2"/>
  <c r="R353" i="2"/>
  <c r="Q353" i="2"/>
  <c r="P353" i="2"/>
  <c r="S352" i="2"/>
  <c r="R352" i="2"/>
  <c r="Q352" i="2"/>
  <c r="P352" i="2"/>
  <c r="S351" i="2"/>
  <c r="R351" i="2"/>
  <c r="Q351" i="2"/>
  <c r="P351" i="2"/>
  <c r="S350" i="2"/>
  <c r="R350" i="2"/>
  <c r="Q350" i="2"/>
  <c r="P350" i="2"/>
  <c r="S349" i="2"/>
  <c r="R349" i="2"/>
  <c r="Q349" i="2"/>
  <c r="P349" i="2"/>
  <c r="S348" i="2"/>
  <c r="R348" i="2"/>
  <c r="Q348" i="2"/>
  <c r="P348" i="2"/>
  <c r="S347" i="2"/>
  <c r="R347" i="2"/>
  <c r="Q347" i="2"/>
  <c r="P347" i="2"/>
  <c r="S346" i="2"/>
  <c r="R346" i="2"/>
  <c r="Q346" i="2"/>
  <c r="P346" i="2"/>
  <c r="S345" i="2"/>
  <c r="R345" i="2"/>
  <c r="Q345" i="2"/>
  <c r="P345" i="2"/>
  <c r="S344" i="2"/>
  <c r="R344" i="2"/>
  <c r="Q344" i="2"/>
  <c r="P344" i="2"/>
  <c r="S343" i="2"/>
  <c r="R343" i="2"/>
  <c r="Q343" i="2"/>
  <c r="P343" i="2"/>
  <c r="S342" i="2"/>
  <c r="R342" i="2"/>
  <c r="Q342" i="2"/>
  <c r="P342" i="2"/>
  <c r="S341" i="2"/>
  <c r="R341" i="2"/>
  <c r="Q341" i="2"/>
  <c r="P341" i="2"/>
  <c r="S340" i="2"/>
  <c r="R340" i="2"/>
  <c r="Q340" i="2"/>
  <c r="P340" i="2"/>
  <c r="S339" i="2"/>
  <c r="R339" i="2"/>
  <c r="Q339" i="2"/>
  <c r="P339" i="2"/>
  <c r="S338" i="2"/>
  <c r="R338" i="2"/>
  <c r="Q338" i="2"/>
  <c r="P338" i="2"/>
  <c r="S337" i="2"/>
  <c r="R337" i="2"/>
  <c r="Q337" i="2"/>
  <c r="P337" i="2"/>
  <c r="S336" i="2"/>
  <c r="R336" i="2"/>
  <c r="Q336" i="2"/>
  <c r="P336" i="2"/>
  <c r="S335" i="2"/>
  <c r="R335" i="2"/>
  <c r="Q335" i="2"/>
  <c r="P335" i="2"/>
  <c r="S334" i="2"/>
  <c r="R334" i="2"/>
  <c r="Q334" i="2"/>
  <c r="P334" i="2"/>
  <c r="S333" i="2"/>
  <c r="R333" i="2"/>
  <c r="Q333" i="2"/>
  <c r="P333" i="2"/>
  <c r="S332" i="2"/>
  <c r="R332" i="2"/>
  <c r="Q332" i="2"/>
  <c r="P332" i="2"/>
  <c r="S331" i="2"/>
  <c r="R331" i="2"/>
  <c r="Q331" i="2"/>
  <c r="P331" i="2"/>
  <c r="S330" i="2"/>
  <c r="R330" i="2"/>
  <c r="Q330" i="2"/>
  <c r="P330" i="2"/>
  <c r="S329" i="2"/>
  <c r="R329" i="2"/>
  <c r="Q329" i="2"/>
  <c r="P329" i="2"/>
  <c r="S328" i="2"/>
  <c r="R328" i="2"/>
  <c r="Q328" i="2"/>
  <c r="P328" i="2"/>
  <c r="S327" i="2"/>
  <c r="R327" i="2"/>
  <c r="Q327" i="2"/>
  <c r="P327" i="2"/>
  <c r="S326" i="2"/>
  <c r="R326" i="2"/>
  <c r="Q326" i="2"/>
  <c r="P326" i="2"/>
  <c r="S325" i="2"/>
  <c r="R325" i="2"/>
  <c r="Q325" i="2"/>
  <c r="P325" i="2"/>
  <c r="S324" i="2"/>
  <c r="R324" i="2"/>
  <c r="Q324" i="2"/>
  <c r="P324" i="2"/>
  <c r="S323" i="2"/>
  <c r="R323" i="2"/>
  <c r="Q323" i="2"/>
  <c r="P323" i="2"/>
  <c r="S322" i="2"/>
  <c r="R322" i="2"/>
  <c r="Q322" i="2"/>
  <c r="P322" i="2"/>
  <c r="S321" i="2"/>
  <c r="R321" i="2"/>
  <c r="Q321" i="2"/>
  <c r="P321" i="2"/>
  <c r="S320" i="2"/>
  <c r="R320" i="2"/>
  <c r="Q320" i="2"/>
  <c r="P320" i="2"/>
  <c r="S319" i="2"/>
  <c r="R319" i="2"/>
  <c r="Q319" i="2"/>
  <c r="P319" i="2"/>
  <c r="S318" i="2"/>
  <c r="R318" i="2"/>
  <c r="Q318" i="2"/>
  <c r="P318" i="2"/>
  <c r="S317" i="2"/>
  <c r="R317" i="2"/>
  <c r="Q317" i="2"/>
  <c r="P317" i="2"/>
  <c r="S316" i="2"/>
  <c r="R316" i="2"/>
  <c r="Q316" i="2"/>
  <c r="P316" i="2"/>
  <c r="S315" i="2"/>
  <c r="R315" i="2"/>
  <c r="Q315" i="2"/>
  <c r="P315" i="2"/>
  <c r="S314" i="2"/>
  <c r="R314" i="2"/>
  <c r="Q314" i="2"/>
  <c r="P314" i="2"/>
  <c r="S313" i="2"/>
  <c r="R313" i="2"/>
  <c r="Q313" i="2"/>
  <c r="P313" i="2"/>
  <c r="S312" i="2"/>
  <c r="R312" i="2"/>
  <c r="Q312" i="2"/>
  <c r="P312" i="2"/>
  <c r="S311" i="2"/>
  <c r="R311" i="2"/>
  <c r="Q311" i="2"/>
  <c r="P311" i="2"/>
  <c r="S310" i="2"/>
  <c r="R310" i="2"/>
  <c r="Q310" i="2"/>
  <c r="P310" i="2"/>
  <c r="S309" i="2"/>
  <c r="R309" i="2"/>
  <c r="Q309" i="2"/>
  <c r="P309" i="2"/>
  <c r="S308" i="2"/>
  <c r="R308" i="2"/>
  <c r="Q308" i="2"/>
  <c r="P308" i="2"/>
  <c r="P294" i="2"/>
  <c r="P293" i="2"/>
  <c r="R293" i="2" s="1"/>
  <c r="S293" i="2" s="1"/>
  <c r="P292" i="2"/>
  <c r="R292" i="2" s="1"/>
  <c r="S292" i="2" s="1"/>
  <c r="P291" i="2"/>
  <c r="Q291" i="2" s="1"/>
  <c r="P290" i="2"/>
  <c r="R290" i="2" s="1"/>
  <c r="S290" i="2" s="1"/>
  <c r="P289" i="2"/>
  <c r="R289" i="2" s="1"/>
  <c r="S289" i="2" s="1"/>
  <c r="P288" i="2"/>
  <c r="Q288" i="2" s="1"/>
  <c r="P287" i="2"/>
  <c r="R287" i="2" s="1"/>
  <c r="S287" i="2" s="1"/>
  <c r="P286" i="2"/>
  <c r="R286" i="2" s="1"/>
  <c r="S286" i="2" s="1"/>
  <c r="P285" i="2"/>
  <c r="Q285" i="2" s="1"/>
  <c r="P284" i="2"/>
  <c r="R284" i="2" s="1"/>
  <c r="S284" i="2" s="1"/>
  <c r="P283" i="2"/>
  <c r="Q283" i="2" s="1"/>
  <c r="P282" i="2"/>
  <c r="Q282" i="2" s="1"/>
  <c r="P281" i="2"/>
  <c r="R281" i="2" s="1"/>
  <c r="S281" i="2" s="1"/>
  <c r="P280" i="2"/>
  <c r="Q280" i="2" s="1"/>
  <c r="P279" i="2"/>
  <c r="Q279" i="2" s="1"/>
  <c r="P278" i="2"/>
  <c r="R278" i="2" s="1"/>
  <c r="S278" i="2" s="1"/>
  <c r="P277" i="2"/>
  <c r="P276" i="2"/>
  <c r="Q276" i="2" s="1"/>
  <c r="P275" i="2"/>
  <c r="R275" i="2" s="1"/>
  <c r="S275" i="2" s="1"/>
  <c r="P274" i="2"/>
  <c r="Q274" i="2" s="1"/>
  <c r="P273" i="2"/>
  <c r="Q273" i="2" s="1"/>
  <c r="P272" i="2"/>
  <c r="R272" i="2" s="1"/>
  <c r="S272" i="2" s="1"/>
  <c r="P271" i="2"/>
  <c r="Q271" i="2" s="1"/>
  <c r="P270" i="2"/>
  <c r="P269" i="2"/>
  <c r="P268" i="2"/>
  <c r="R268" i="2" s="1"/>
  <c r="S268" i="2" s="1"/>
  <c r="P267" i="2"/>
  <c r="P266" i="2"/>
  <c r="Q266" i="2" s="1"/>
  <c r="P265" i="2"/>
  <c r="P264" i="2"/>
  <c r="Q264" i="2" s="1"/>
  <c r="P263" i="2"/>
  <c r="R263" i="2" s="1"/>
  <c r="S263" i="2" s="1"/>
  <c r="P262" i="2"/>
  <c r="Q262" i="2" s="1"/>
  <c r="P261" i="2"/>
  <c r="Q261" i="2" s="1"/>
  <c r="P260" i="2"/>
  <c r="P259" i="2"/>
  <c r="R259" i="2" s="1"/>
  <c r="S259" i="2" s="1"/>
  <c r="P258" i="2"/>
  <c r="Q258" i="2" s="1"/>
  <c r="P257" i="2"/>
  <c r="R257" i="2" s="1"/>
  <c r="S257" i="2" s="1"/>
  <c r="P256" i="2"/>
  <c r="P255" i="2"/>
  <c r="Q255" i="2" s="1"/>
  <c r="P254" i="2"/>
  <c r="R254" i="2" s="1"/>
  <c r="S254" i="2" s="1"/>
  <c r="P253" i="2"/>
  <c r="R253" i="2" s="1"/>
  <c r="S253" i="2" s="1"/>
  <c r="P252" i="2"/>
  <c r="P251" i="2"/>
  <c r="R251" i="2" s="1"/>
  <c r="S251" i="2" s="1"/>
  <c r="P250" i="2"/>
  <c r="R250" i="2" s="1"/>
  <c r="S250" i="2" s="1"/>
  <c r="P249" i="2"/>
  <c r="P248" i="2"/>
  <c r="P247" i="2"/>
  <c r="Q247" i="2" s="1"/>
  <c r="P246" i="2"/>
  <c r="P245" i="2"/>
  <c r="Q245" i="2" s="1"/>
  <c r="P244" i="2"/>
  <c r="R244" i="2" s="1"/>
  <c r="S244" i="2" s="1"/>
  <c r="P243" i="2"/>
  <c r="Q243" i="2" s="1"/>
  <c r="P242" i="2"/>
  <c r="Q242" i="2" s="1"/>
  <c r="P241" i="2"/>
  <c r="P240" i="2"/>
  <c r="Q240" i="2" s="1"/>
  <c r="P239" i="2"/>
  <c r="P238" i="2"/>
  <c r="Q238" i="2" s="1"/>
  <c r="P237" i="2"/>
  <c r="Q237" i="2" s="1"/>
  <c r="P236" i="2"/>
  <c r="R236" i="2" s="1"/>
  <c r="S236" i="2" s="1"/>
  <c r="P235" i="2"/>
  <c r="Q235" i="2" s="1"/>
  <c r="P234" i="2"/>
  <c r="P233" i="2"/>
  <c r="P232" i="2"/>
  <c r="R232" i="2" s="1"/>
  <c r="S232" i="2" s="1"/>
  <c r="P231" i="2"/>
  <c r="P230" i="2"/>
  <c r="R230" i="2" s="1"/>
  <c r="S230" i="2" s="1"/>
  <c r="P229" i="2"/>
  <c r="R229" i="2" s="1"/>
  <c r="S229" i="2" s="1"/>
  <c r="P228" i="2"/>
  <c r="Q228" i="2" s="1"/>
  <c r="P227" i="2"/>
  <c r="R227" i="2" s="1"/>
  <c r="S227" i="2" s="1"/>
  <c r="P226" i="2"/>
  <c r="Q226" i="2" s="1"/>
  <c r="P225" i="2"/>
  <c r="Q225" i="2" s="1"/>
  <c r="P224" i="2"/>
  <c r="Q224" i="2" s="1"/>
  <c r="P223" i="2"/>
  <c r="P222" i="2"/>
  <c r="Q222" i="2" s="1"/>
  <c r="P221" i="2"/>
  <c r="P220" i="2"/>
  <c r="P219" i="2"/>
  <c r="Q219" i="2" s="1"/>
  <c r="P218" i="2"/>
  <c r="Q218" i="2" s="1"/>
  <c r="P217" i="2"/>
  <c r="R217" i="2" s="1"/>
  <c r="S217" i="2" s="1"/>
  <c r="P216" i="2"/>
  <c r="P215" i="2"/>
  <c r="P214" i="2"/>
  <c r="R214" i="2" s="1"/>
  <c r="S214" i="2" s="1"/>
  <c r="P213" i="2"/>
  <c r="Q213" i="2" s="1"/>
  <c r="P212" i="2"/>
  <c r="P211" i="2"/>
  <c r="Q211" i="2" s="1"/>
  <c r="P210" i="2"/>
  <c r="P209" i="2"/>
  <c r="Q209" i="2" s="1"/>
  <c r="P208" i="2"/>
  <c r="R208" i="2" s="1"/>
  <c r="S208" i="2" s="1"/>
  <c r="P207" i="2"/>
  <c r="P206" i="2"/>
  <c r="Q206" i="2" s="1"/>
  <c r="P205" i="2"/>
  <c r="P204" i="2"/>
  <c r="Q204" i="2" s="1"/>
  <c r="P203" i="2"/>
  <c r="R203" i="2" s="1"/>
  <c r="S203" i="2" s="1"/>
  <c r="P202" i="2"/>
  <c r="Q202" i="2" s="1"/>
  <c r="P201" i="2"/>
  <c r="Q201" i="2" s="1"/>
  <c r="P200" i="2"/>
  <c r="R200" i="2" s="1"/>
  <c r="S200" i="2" s="1"/>
  <c r="P199" i="2"/>
  <c r="Q199" i="2" s="1"/>
  <c r="P198" i="2"/>
  <c r="Q198" i="2" s="1"/>
  <c r="P197" i="2"/>
  <c r="R197" i="2" s="1"/>
  <c r="S197" i="2" s="1"/>
  <c r="P196" i="2"/>
  <c r="R196" i="2" s="1"/>
  <c r="S196" i="2" s="1"/>
  <c r="P195" i="2"/>
  <c r="P194" i="2"/>
  <c r="R194" i="2" s="1"/>
  <c r="S194" i="2" s="1"/>
  <c r="P193" i="2"/>
  <c r="R193" i="2" s="1"/>
  <c r="S193" i="2" s="1"/>
  <c r="P192" i="2"/>
  <c r="Q192" i="2" s="1"/>
  <c r="P191" i="2"/>
  <c r="P190" i="2"/>
  <c r="Q190" i="2" s="1"/>
  <c r="P189" i="2"/>
  <c r="P188" i="2"/>
  <c r="R188" i="2" s="1"/>
  <c r="S188" i="2" s="1"/>
  <c r="P187" i="2"/>
  <c r="Q187" i="2" s="1"/>
  <c r="P186" i="2"/>
  <c r="P185" i="2"/>
  <c r="R185" i="2" s="1"/>
  <c r="S185" i="2" s="1"/>
  <c r="P184" i="2"/>
  <c r="R184" i="2" s="1"/>
  <c r="S184" i="2" s="1"/>
  <c r="P183" i="2"/>
  <c r="Q183" i="2" s="1"/>
  <c r="P182" i="2"/>
  <c r="Q182" i="2" s="1"/>
  <c r="P181" i="2"/>
  <c r="P180" i="2"/>
  <c r="P179" i="2"/>
  <c r="P178" i="2"/>
  <c r="R178" i="2" s="1"/>
  <c r="S178" i="2" s="1"/>
  <c r="P177" i="2"/>
  <c r="Q177" i="2" s="1"/>
  <c r="P176" i="2"/>
  <c r="R176" i="2" s="1"/>
  <c r="S176" i="2" s="1"/>
  <c r="P175" i="2"/>
  <c r="Q175" i="2" s="1"/>
  <c r="P174" i="2"/>
  <c r="Q174" i="2" s="1"/>
  <c r="P173" i="2"/>
  <c r="R173" i="2" s="1"/>
  <c r="S173" i="2" s="1"/>
  <c r="P172" i="2"/>
  <c r="R172" i="2" s="1"/>
  <c r="S172" i="2" s="1"/>
  <c r="P171" i="2"/>
  <c r="P170" i="2"/>
  <c r="R170" i="2" s="1"/>
  <c r="S170" i="2" s="1"/>
  <c r="P169" i="2"/>
  <c r="P168" i="2"/>
  <c r="P167" i="2"/>
  <c r="R167" i="2" s="1"/>
  <c r="S167" i="2" s="1"/>
  <c r="P166" i="2"/>
  <c r="Q166" i="2" s="1"/>
  <c r="P165" i="2"/>
  <c r="Q165" i="2" s="1"/>
  <c r="P164" i="2"/>
  <c r="R164" i="2" s="1"/>
  <c r="S164" i="2" s="1"/>
  <c r="P163" i="2"/>
  <c r="P162" i="2"/>
  <c r="Q162" i="2" s="1"/>
  <c r="P161" i="2"/>
  <c r="Q161" i="2" s="1"/>
  <c r="P160" i="2"/>
  <c r="P159" i="2"/>
  <c r="P158" i="2"/>
  <c r="P157" i="2"/>
  <c r="R157" i="2" s="1"/>
  <c r="S157" i="2" s="1"/>
  <c r="P156" i="2"/>
  <c r="Q156" i="2" s="1"/>
  <c r="P155" i="2"/>
  <c r="P154" i="2"/>
  <c r="Q154" i="2" s="1"/>
  <c r="P153" i="2"/>
  <c r="Q153" i="2" s="1"/>
  <c r="P152" i="2"/>
  <c r="R152" i="2" s="1"/>
  <c r="S152" i="2" s="1"/>
  <c r="P151" i="2"/>
  <c r="R151" i="2" s="1"/>
  <c r="S151" i="2" s="1"/>
  <c r="P150" i="2"/>
  <c r="Q150" i="2" s="1"/>
  <c r="P149" i="2"/>
  <c r="P148" i="2"/>
  <c r="R148" i="2" s="1"/>
  <c r="S148" i="2" s="1"/>
  <c r="P147" i="2"/>
  <c r="Q147" i="2" s="1"/>
  <c r="P146" i="2"/>
  <c r="R146" i="2" s="1"/>
  <c r="S146" i="2" s="1"/>
  <c r="P145" i="2"/>
  <c r="P144" i="2"/>
  <c r="P143" i="2"/>
  <c r="P142" i="2"/>
  <c r="R142" i="2" s="1"/>
  <c r="S142" i="2" s="1"/>
  <c r="P141" i="2"/>
  <c r="Q141" i="2" s="1"/>
  <c r="P140" i="2"/>
  <c r="Q140" i="2" s="1"/>
  <c r="P139" i="2"/>
  <c r="Q139" i="2" s="1"/>
  <c r="P138" i="2"/>
  <c r="Q138" i="2" s="1"/>
  <c r="P137" i="2"/>
  <c r="R137" i="2" s="1"/>
  <c r="S137" i="2" s="1"/>
  <c r="P136" i="2"/>
  <c r="R136" i="2" s="1"/>
  <c r="S136" i="2" s="1"/>
  <c r="P135" i="2"/>
  <c r="P134" i="2"/>
  <c r="P133" i="2"/>
  <c r="P132" i="2"/>
  <c r="Q132" i="2" s="1"/>
  <c r="P131" i="2"/>
  <c r="Q131" i="2" s="1"/>
  <c r="P130" i="2"/>
  <c r="Q130" i="2" s="1"/>
  <c r="P129" i="2"/>
  <c r="Q129" i="2" s="1"/>
  <c r="P128" i="2"/>
  <c r="R128" i="2" s="1"/>
  <c r="S128" i="2" s="1"/>
  <c r="P127" i="2"/>
  <c r="R127" i="2" s="1"/>
  <c r="S127" i="2" s="1"/>
  <c r="P126" i="2"/>
  <c r="Q126" i="2" s="1"/>
  <c r="P125" i="2"/>
  <c r="Q125" i="2" s="1"/>
  <c r="P124" i="2"/>
  <c r="P123" i="2"/>
  <c r="P122" i="2"/>
  <c r="R122" i="2" s="1"/>
  <c r="S122" i="2" s="1"/>
  <c r="P121" i="2"/>
  <c r="R121" i="2" s="1"/>
  <c r="S121" i="2" s="1"/>
  <c r="P120" i="2"/>
  <c r="Q120" i="2" s="1"/>
  <c r="P119" i="2"/>
  <c r="Q119" i="2" s="1"/>
  <c r="P118" i="2"/>
  <c r="Q118" i="2" s="1"/>
  <c r="P117" i="2"/>
  <c r="Q117" i="2" s="1"/>
  <c r="P116" i="2"/>
  <c r="R116" i="2" s="1"/>
  <c r="S116" i="2" s="1"/>
  <c r="P115" i="2"/>
  <c r="P114" i="2"/>
  <c r="Q114" i="2" s="1"/>
  <c r="P113" i="2"/>
  <c r="P112" i="2"/>
  <c r="R112" i="2" s="1"/>
  <c r="S112" i="2" s="1"/>
  <c r="P111" i="2"/>
  <c r="Q111" i="2" s="1"/>
  <c r="P110" i="2"/>
  <c r="Q110" i="2" s="1"/>
  <c r="P109" i="2"/>
  <c r="P108" i="2"/>
  <c r="P107" i="2"/>
  <c r="P106" i="2"/>
  <c r="R106" i="2" s="1"/>
  <c r="S106" i="2" s="1"/>
  <c r="P105" i="2"/>
  <c r="Q105" i="2" s="1"/>
  <c r="P104" i="2"/>
  <c r="P103" i="2"/>
  <c r="Q103" i="2" s="1"/>
  <c r="P102" i="2"/>
  <c r="P101" i="2"/>
  <c r="R101" i="2" s="1"/>
  <c r="S101" i="2" s="1"/>
  <c r="P100" i="2"/>
  <c r="Q100" i="2" s="1"/>
  <c r="P99" i="2"/>
  <c r="P98" i="2"/>
  <c r="R98" i="2" s="1"/>
  <c r="S98" i="2" s="1"/>
  <c r="P97" i="2"/>
  <c r="P96" i="2"/>
  <c r="Q96" i="2" s="1"/>
  <c r="P95" i="2"/>
  <c r="Q95" i="2" s="1"/>
  <c r="P94" i="2"/>
  <c r="P93" i="2"/>
  <c r="Q93" i="2" s="1"/>
  <c r="P92" i="2"/>
  <c r="P91" i="2"/>
  <c r="R91" i="2" s="1"/>
  <c r="S91" i="2" s="1"/>
  <c r="P90" i="2"/>
  <c r="Q90" i="2" s="1"/>
  <c r="P89" i="2"/>
  <c r="Q89" i="2" s="1"/>
  <c r="P88" i="2"/>
  <c r="R88" i="2" s="1"/>
  <c r="S88" i="2" s="1"/>
  <c r="P87" i="2"/>
  <c r="P86" i="2"/>
  <c r="R86" i="2" s="1"/>
  <c r="S86" i="2" s="1"/>
  <c r="P85" i="2"/>
  <c r="R85" i="2" s="1"/>
  <c r="S85" i="2" s="1"/>
  <c r="P84" i="2"/>
  <c r="Q84" i="2" s="1"/>
  <c r="P83" i="2"/>
  <c r="R83" i="2" s="1"/>
  <c r="S83" i="2" s="1"/>
  <c r="P82" i="2"/>
  <c r="Q82" i="2" s="1"/>
  <c r="P81" i="2"/>
  <c r="Q81" i="2" s="1"/>
  <c r="P80" i="2"/>
  <c r="R80" i="2" s="1"/>
  <c r="S80" i="2" s="1"/>
  <c r="P79" i="2"/>
  <c r="R79" i="2" s="1"/>
  <c r="S79" i="2" s="1"/>
  <c r="P78" i="2"/>
  <c r="Q78" i="2" s="1"/>
  <c r="P77" i="2"/>
  <c r="P76" i="2"/>
  <c r="R76" i="2" s="1"/>
  <c r="S76" i="2" s="1"/>
  <c r="P75" i="2"/>
  <c r="Q75" i="2" s="1"/>
  <c r="P74" i="2"/>
  <c r="R74" i="2" s="1"/>
  <c r="S74" i="2" s="1"/>
  <c r="P73" i="2"/>
  <c r="P72" i="2"/>
  <c r="P71" i="2"/>
  <c r="R71" i="2" s="1"/>
  <c r="S71" i="2" s="1"/>
  <c r="P70" i="2"/>
  <c r="R70" i="2" s="1"/>
  <c r="S70" i="2" s="1"/>
  <c r="P69" i="2"/>
  <c r="Q69" i="2" s="1"/>
  <c r="P68" i="2"/>
  <c r="P67" i="2"/>
  <c r="Q67" i="2" s="1"/>
  <c r="P66" i="2"/>
  <c r="Q66" i="2" s="1"/>
  <c r="P65" i="2"/>
  <c r="R65" i="2" s="1"/>
  <c r="S65" i="2" s="1"/>
  <c r="P64" i="2"/>
  <c r="Q64" i="2" s="1"/>
  <c r="P63" i="2"/>
  <c r="P62" i="2"/>
  <c r="Q62" i="2" s="1"/>
  <c r="P61" i="2"/>
  <c r="P60" i="2"/>
  <c r="Q60" i="2" s="1"/>
  <c r="P59" i="2"/>
  <c r="R59" i="2" s="1"/>
  <c r="S59" i="2" s="1"/>
  <c r="P58" i="2"/>
  <c r="Q58" i="2" s="1"/>
  <c r="P57" i="2"/>
  <c r="Q57" i="2" s="1"/>
  <c r="P56" i="2"/>
  <c r="Q56" i="2" s="1"/>
  <c r="P55" i="2"/>
  <c r="R55" i="2" s="1"/>
  <c r="S55" i="2" s="1"/>
  <c r="P54" i="2"/>
  <c r="Q54" i="2" s="1"/>
  <c r="P53" i="2"/>
  <c r="R53" i="2" s="1"/>
  <c r="S53" i="2" s="1"/>
  <c r="P52" i="2"/>
  <c r="R52" i="2" s="1"/>
  <c r="S52" i="2" s="1"/>
  <c r="P51" i="2"/>
  <c r="P50" i="2"/>
  <c r="R50" i="2" s="1"/>
  <c r="S50" i="2" s="1"/>
  <c r="P49" i="2"/>
  <c r="R49" i="2" s="1"/>
  <c r="S49" i="2" s="1"/>
  <c r="P48" i="2"/>
  <c r="Q48" i="2" s="1"/>
  <c r="P47" i="2"/>
  <c r="Q47" i="2" s="1"/>
  <c r="P46" i="2"/>
  <c r="P45" i="2"/>
  <c r="Q45" i="2" s="1"/>
  <c r="P44" i="2"/>
  <c r="R44" i="2" s="1"/>
  <c r="S44" i="2" s="1"/>
  <c r="P43" i="2"/>
  <c r="P42" i="2"/>
  <c r="Q42" i="2" s="1"/>
  <c r="P41" i="2"/>
  <c r="Q41" i="2" s="1"/>
  <c r="P40" i="2"/>
  <c r="R40" i="2" s="1"/>
  <c r="S40" i="2" s="1"/>
  <c r="P39" i="2"/>
  <c r="R39" i="2" s="1"/>
  <c r="S39" i="2" s="1"/>
  <c r="P38" i="2"/>
  <c r="P37" i="2"/>
  <c r="R37" i="2" s="1"/>
  <c r="S37" i="2" s="1"/>
  <c r="P36" i="2"/>
  <c r="R36" i="2" s="1"/>
  <c r="S36" i="2" s="1"/>
  <c r="P35" i="2"/>
  <c r="R35" i="2" s="1"/>
  <c r="S35" i="2" s="1"/>
  <c r="P34" i="2"/>
  <c r="R34" i="2" s="1"/>
  <c r="S34" i="2" s="1"/>
  <c r="P33" i="2"/>
  <c r="Q33" i="2" s="1"/>
  <c r="P32" i="2"/>
  <c r="Q32" i="2" s="1"/>
  <c r="P31" i="2"/>
  <c r="P30" i="2"/>
  <c r="R30" i="2" s="1"/>
  <c r="S30" i="2" s="1"/>
  <c r="P29" i="2"/>
  <c r="Q29" i="2" s="1"/>
  <c r="P28" i="2"/>
  <c r="R28" i="2" s="1"/>
  <c r="S28" i="2" s="1"/>
  <c r="P27" i="2"/>
  <c r="R27" i="2" s="1"/>
  <c r="S27" i="2" s="1"/>
  <c r="P26" i="2"/>
  <c r="R26" i="2" s="1"/>
  <c r="S26" i="2" s="1"/>
  <c r="P25" i="2"/>
  <c r="R25" i="2" s="1"/>
  <c r="S25" i="2" s="1"/>
  <c r="P24" i="2"/>
  <c r="R24" i="2" s="1"/>
  <c r="S24" i="2" s="1"/>
  <c r="P23" i="2"/>
  <c r="R23" i="2" s="1"/>
  <c r="S23" i="2" s="1"/>
  <c r="P22" i="2"/>
  <c r="R22" i="2" s="1"/>
  <c r="S22" i="2" s="1"/>
  <c r="P21" i="2"/>
  <c r="R21" i="2" s="1"/>
  <c r="S21" i="2" s="1"/>
  <c r="P20" i="2"/>
  <c r="R20" i="2" s="1"/>
  <c r="S20" i="2" s="1"/>
  <c r="P19" i="2"/>
  <c r="R19" i="2" s="1"/>
  <c r="S19" i="2" s="1"/>
  <c r="P18" i="2"/>
  <c r="R18" i="2" s="1"/>
  <c r="S18" i="2" s="1"/>
  <c r="P17" i="2"/>
  <c r="R17" i="2" s="1"/>
  <c r="S17" i="2" s="1"/>
  <c r="P16" i="2"/>
  <c r="R16" i="2" s="1"/>
  <c r="S16" i="2" s="1"/>
  <c r="P15" i="2"/>
  <c r="R15" i="2" s="1"/>
  <c r="S15" i="2" s="1"/>
  <c r="P14" i="2"/>
  <c r="Q14" i="2" s="1"/>
  <c r="P13" i="2"/>
  <c r="R13" i="2" s="1"/>
  <c r="S13" i="2" s="1"/>
  <c r="P12" i="2"/>
  <c r="R12" i="2" s="1"/>
  <c r="S12" i="2" s="1"/>
  <c r="P11" i="2"/>
  <c r="Q11" i="2" s="1"/>
  <c r="P10" i="2"/>
  <c r="R10" i="2" s="1"/>
  <c r="S10" i="2" s="1"/>
  <c r="P9" i="2"/>
  <c r="R9" i="2" s="1"/>
  <c r="S9" i="2" s="1"/>
  <c r="P8" i="2"/>
  <c r="R8" i="2" s="1"/>
  <c r="S8" i="2" s="1"/>
  <c r="P7" i="2"/>
  <c r="R7" i="2" s="1"/>
  <c r="S7" i="2" s="1"/>
  <c r="P6" i="2"/>
  <c r="R6" i="2" s="1"/>
  <c r="S6" i="2" s="1"/>
  <c r="P5" i="2"/>
  <c r="P4" i="2"/>
  <c r="R4" i="2" s="1"/>
  <c r="S4" i="2" s="1"/>
  <c r="P3" i="2"/>
  <c r="R3" i="2" s="1"/>
  <c r="S3" i="2" s="1"/>
  <c r="P2" i="2"/>
  <c r="R2" i="2" s="1"/>
  <c r="S2" i="2" s="1"/>
  <c r="I99" i="1"/>
  <c r="H99" i="1"/>
  <c r="G99" i="1"/>
  <c r="I98" i="1"/>
  <c r="H98" i="1"/>
  <c r="G98" i="1"/>
  <c r="D39" i="3" s="1"/>
  <c r="I97" i="1"/>
  <c r="H97" i="1"/>
  <c r="G97" i="1"/>
  <c r="I96" i="1"/>
  <c r="H96" i="1"/>
  <c r="G96" i="1"/>
  <c r="I95" i="1"/>
  <c r="H95" i="1"/>
  <c r="G95" i="1"/>
  <c r="D2" i="3" s="1"/>
  <c r="I94" i="1"/>
  <c r="H94" i="1"/>
  <c r="G94" i="1"/>
  <c r="D23" i="3" s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D54" i="3" s="1"/>
  <c r="I81" i="1"/>
  <c r="H81" i="1"/>
  <c r="G81" i="1"/>
  <c r="I80" i="1"/>
  <c r="H80" i="1"/>
  <c r="G80" i="1"/>
  <c r="I79" i="1"/>
  <c r="H79" i="1"/>
  <c r="G79" i="1"/>
  <c r="I78" i="1"/>
  <c r="H78" i="1"/>
  <c r="G78" i="1"/>
  <c r="D58" i="3" s="1"/>
  <c r="I77" i="1"/>
  <c r="H77" i="1"/>
  <c r="G77" i="1"/>
  <c r="I76" i="1"/>
  <c r="H76" i="1"/>
  <c r="G76" i="1"/>
  <c r="I75" i="1"/>
  <c r="H75" i="1"/>
  <c r="G75" i="1"/>
  <c r="I74" i="1"/>
  <c r="H74" i="1"/>
  <c r="G74" i="1"/>
  <c r="D30" i="3" s="1"/>
  <c r="I73" i="1"/>
  <c r="H73" i="1"/>
  <c r="G73" i="1"/>
  <c r="I72" i="1"/>
  <c r="H72" i="1"/>
  <c r="G72" i="1"/>
  <c r="I71" i="1"/>
  <c r="H71" i="1"/>
  <c r="G71" i="1"/>
  <c r="I70" i="1"/>
  <c r="H70" i="1"/>
  <c r="G70" i="1"/>
  <c r="D18" i="3" s="1"/>
  <c r="I69" i="1"/>
  <c r="H69" i="1"/>
  <c r="G69" i="1"/>
  <c r="I68" i="1"/>
  <c r="H68" i="1"/>
  <c r="G68" i="1"/>
  <c r="I67" i="1"/>
  <c r="H67" i="1"/>
  <c r="G67" i="1"/>
  <c r="I66" i="1"/>
  <c r="H66" i="1"/>
  <c r="G66" i="1"/>
  <c r="D63" i="3" s="1"/>
  <c r="I65" i="1"/>
  <c r="H65" i="1"/>
  <c r="G65" i="1"/>
  <c r="I64" i="1"/>
  <c r="H64" i="1"/>
  <c r="G64" i="1"/>
  <c r="I63" i="1"/>
  <c r="H63" i="1"/>
  <c r="G63" i="1"/>
  <c r="I62" i="1"/>
  <c r="H62" i="1"/>
  <c r="G62" i="1"/>
  <c r="D26" i="3" s="1"/>
  <c r="I61" i="1"/>
  <c r="H61" i="1"/>
  <c r="G61" i="1"/>
  <c r="I60" i="1"/>
  <c r="H60" i="1"/>
  <c r="G60" i="1"/>
  <c r="I59" i="1"/>
  <c r="H59" i="1"/>
  <c r="G59" i="1"/>
  <c r="I58" i="1"/>
  <c r="H58" i="1"/>
  <c r="G58" i="1"/>
  <c r="D38" i="3" s="1"/>
  <c r="I57" i="1"/>
  <c r="H57" i="1"/>
  <c r="G57" i="1"/>
  <c r="I56" i="1"/>
  <c r="H56" i="1"/>
  <c r="G56" i="1"/>
  <c r="I55" i="1"/>
  <c r="H55" i="1"/>
  <c r="G55" i="1"/>
  <c r="I54" i="1"/>
  <c r="H54" i="1"/>
  <c r="G54" i="1"/>
  <c r="D37" i="3" s="1"/>
  <c r="I53" i="1"/>
  <c r="H53" i="1"/>
  <c r="G53" i="1"/>
  <c r="I52" i="1"/>
  <c r="H52" i="1"/>
  <c r="G52" i="1"/>
  <c r="I51" i="1"/>
  <c r="H51" i="1"/>
  <c r="G51" i="1"/>
  <c r="D4" i="3" s="1"/>
  <c r="I50" i="1"/>
  <c r="H50" i="1"/>
  <c r="G50" i="1"/>
  <c r="I49" i="1"/>
  <c r="H49" i="1"/>
  <c r="G49" i="1"/>
  <c r="I48" i="1"/>
  <c r="H48" i="1"/>
  <c r="G48" i="1"/>
  <c r="I47" i="1"/>
  <c r="H47" i="1"/>
  <c r="G47" i="1"/>
  <c r="D50" i="3" s="1"/>
  <c r="I46" i="1"/>
  <c r="H46" i="1"/>
  <c r="G46" i="1"/>
  <c r="D45" i="3" s="1"/>
  <c r="I45" i="1"/>
  <c r="H45" i="1"/>
  <c r="G45" i="1"/>
  <c r="I44" i="1"/>
  <c r="H44" i="1"/>
  <c r="G44" i="1"/>
  <c r="I43" i="1"/>
  <c r="H43" i="1"/>
  <c r="G43" i="1"/>
  <c r="D57" i="3" s="1"/>
  <c r="I42" i="1"/>
  <c r="H42" i="1"/>
  <c r="G42" i="1"/>
  <c r="D34" i="3" s="1"/>
  <c r="I41" i="1"/>
  <c r="H41" i="1"/>
  <c r="G41" i="1"/>
  <c r="I40" i="1"/>
  <c r="H40" i="1"/>
  <c r="G40" i="1"/>
  <c r="I39" i="1"/>
  <c r="H39" i="1"/>
  <c r="G39" i="1"/>
  <c r="I38" i="1"/>
  <c r="H38" i="1"/>
  <c r="G38" i="1"/>
  <c r="D62" i="3" s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D31" i="3" s="1"/>
  <c r="I25" i="1"/>
  <c r="H25" i="1"/>
  <c r="G25" i="1"/>
  <c r="I24" i="1"/>
  <c r="H24" i="1"/>
  <c r="G24" i="1"/>
  <c r="I23" i="1"/>
  <c r="H23" i="1"/>
  <c r="G23" i="1"/>
  <c r="D14" i="3" s="1"/>
  <c r="I22" i="1"/>
  <c r="H22" i="1"/>
  <c r="G22" i="1"/>
  <c r="D35" i="3" s="1"/>
  <c r="I21" i="1"/>
  <c r="H21" i="1"/>
  <c r="G21" i="1"/>
  <c r="I20" i="1"/>
  <c r="H20" i="1"/>
  <c r="G20" i="1"/>
  <c r="I19" i="1"/>
  <c r="H19" i="1"/>
  <c r="G19" i="1"/>
  <c r="I18" i="1"/>
  <c r="H18" i="1"/>
  <c r="G18" i="1"/>
  <c r="D13" i="3" s="1"/>
  <c r="I17" i="1"/>
  <c r="H17" i="1"/>
  <c r="G17" i="1"/>
  <c r="I16" i="1"/>
  <c r="H16" i="1"/>
  <c r="G16" i="1"/>
  <c r="I15" i="1"/>
  <c r="H15" i="1"/>
  <c r="G15" i="1"/>
  <c r="I14" i="1"/>
  <c r="H14" i="1"/>
  <c r="G14" i="1"/>
  <c r="D44" i="3" s="1"/>
  <c r="I13" i="1"/>
  <c r="H13" i="1"/>
  <c r="G13" i="1"/>
  <c r="I12" i="1"/>
  <c r="H12" i="1"/>
  <c r="G12" i="1"/>
  <c r="I11" i="1"/>
  <c r="H11" i="1"/>
  <c r="G11" i="1"/>
  <c r="D17" i="3" s="1"/>
  <c r="I10" i="1"/>
  <c r="H10" i="1"/>
  <c r="G10" i="1"/>
  <c r="D20" i="3" s="1"/>
  <c r="I9" i="1"/>
  <c r="H9" i="1"/>
  <c r="G9" i="1"/>
  <c r="I8" i="1"/>
  <c r="H8" i="1"/>
  <c r="G8" i="1"/>
  <c r="I7" i="1"/>
  <c r="H7" i="1"/>
  <c r="G7" i="1"/>
  <c r="D60" i="3" s="1"/>
  <c r="I6" i="1"/>
  <c r="H6" i="1"/>
  <c r="G6" i="1"/>
  <c r="D25" i="3" s="1"/>
  <c r="I5" i="1"/>
  <c r="H5" i="1"/>
  <c r="G5" i="1"/>
  <c r="I4" i="1"/>
  <c r="H4" i="1"/>
  <c r="G4" i="1"/>
  <c r="I3" i="1"/>
  <c r="H3" i="1"/>
  <c r="G3" i="1"/>
  <c r="D24" i="3" s="1"/>
  <c r="I2" i="1"/>
  <c r="H2" i="1"/>
  <c r="G2" i="1"/>
  <c r="D40" i="3" s="1"/>
  <c r="D61" i="3"/>
  <c r="D59" i="3"/>
  <c r="D56" i="3"/>
  <c r="D55" i="3"/>
  <c r="D53" i="3"/>
  <c r="D51" i="3"/>
  <c r="D49" i="3"/>
  <c r="D48" i="3"/>
  <c r="D47" i="3"/>
  <c r="D46" i="3"/>
  <c r="D43" i="3"/>
  <c r="D42" i="3"/>
  <c r="D41" i="3"/>
  <c r="D33" i="3"/>
  <c r="D32" i="3"/>
  <c r="D27" i="3"/>
  <c r="D22" i="3"/>
  <c r="D21" i="3"/>
  <c r="D19" i="3"/>
  <c r="D16" i="3"/>
  <c r="D15" i="3"/>
  <c r="D12" i="3"/>
  <c r="D10" i="3"/>
  <c r="D9" i="3"/>
  <c r="D8" i="3"/>
  <c r="D7" i="3"/>
  <c r="R302" i="2" l="1"/>
  <c r="S302" i="2" s="1"/>
  <c r="R301" i="2"/>
  <c r="S301" i="2" s="1"/>
  <c r="Q290" i="2"/>
  <c r="R140" i="2"/>
  <c r="S140" i="2" s="1"/>
  <c r="R130" i="2"/>
  <c r="S130" i="2" s="1"/>
  <c r="R224" i="2"/>
  <c r="S224" i="2" s="1"/>
  <c r="R225" i="2"/>
  <c r="S225" i="2" s="1"/>
  <c r="R280" i="2"/>
  <c r="S280" i="2" s="1"/>
  <c r="R29" i="2"/>
  <c r="S29" i="2" s="1"/>
  <c r="Q86" i="2"/>
  <c r="Q52" i="2"/>
  <c r="Q17" i="2"/>
  <c r="Q50" i="2"/>
  <c r="R105" i="2"/>
  <c r="S105" i="2" s="1"/>
  <c r="Q116" i="2"/>
  <c r="R271" i="2"/>
  <c r="S271" i="2" s="1"/>
  <c r="R95" i="2"/>
  <c r="S95" i="2" s="1"/>
  <c r="R261" i="2"/>
  <c r="S261" i="2" s="1"/>
  <c r="R11" i="2"/>
  <c r="S11" i="2" s="1"/>
  <c r="Q244" i="2"/>
  <c r="R166" i="2"/>
  <c r="S166" i="2" s="1"/>
  <c r="Q39" i="2"/>
  <c r="R100" i="2"/>
  <c r="S100" i="2" s="1"/>
  <c r="Q197" i="2"/>
  <c r="R14" i="2"/>
  <c r="S14" i="2" s="1"/>
  <c r="R47" i="2"/>
  <c r="S47" i="2" s="1"/>
  <c r="R56" i="2"/>
  <c r="S56" i="2" s="1"/>
  <c r="R64" i="2"/>
  <c r="S64" i="2" s="1"/>
  <c r="Q164" i="2"/>
  <c r="Q178" i="2"/>
  <c r="R187" i="2"/>
  <c r="S187" i="2" s="1"/>
  <c r="R32" i="2"/>
  <c r="S32" i="2" s="1"/>
  <c r="R41" i="2"/>
  <c r="S41" i="2" s="1"/>
  <c r="Q230" i="2"/>
  <c r="R247" i="2"/>
  <c r="S247" i="2" s="1"/>
  <c r="Q26" i="2"/>
  <c r="Q137" i="2"/>
  <c r="Q278" i="2"/>
  <c r="R45" i="2"/>
  <c r="S45" i="2" s="1"/>
  <c r="R62" i="2"/>
  <c r="S62" i="2" s="1"/>
  <c r="R132" i="2"/>
  <c r="S132" i="2" s="1"/>
  <c r="R150" i="2"/>
  <c r="S150" i="2" s="1"/>
  <c r="R161" i="2"/>
  <c r="S161" i="2" s="1"/>
  <c r="R175" i="2"/>
  <c r="S175" i="2" s="1"/>
  <c r="Q203" i="2"/>
  <c r="R209" i="2"/>
  <c r="S209" i="2" s="1"/>
  <c r="R235" i="2"/>
  <c r="S235" i="2" s="1"/>
  <c r="Q71" i="2"/>
  <c r="R89" i="2"/>
  <c r="S89" i="2" s="1"/>
  <c r="R218" i="2"/>
  <c r="S218" i="2" s="1"/>
  <c r="Q275" i="2"/>
  <c r="R117" i="2"/>
  <c r="S117" i="2" s="1"/>
  <c r="R125" i="2"/>
  <c r="S125" i="2" s="1"/>
  <c r="R141" i="2"/>
  <c r="S141" i="2" s="1"/>
  <c r="Q170" i="2"/>
  <c r="R245" i="2"/>
  <c r="S245" i="2" s="1"/>
  <c r="R266" i="2"/>
  <c r="S266" i="2" s="1"/>
  <c r="R283" i="2"/>
  <c r="S283" i="2" s="1"/>
  <c r="Q83" i="2"/>
  <c r="R110" i="2"/>
  <c r="S110" i="2" s="1"/>
  <c r="R119" i="2"/>
  <c r="S119" i="2" s="1"/>
  <c r="R213" i="2"/>
  <c r="S213" i="2" s="1"/>
  <c r="Q172" i="2"/>
  <c r="R198" i="2"/>
  <c r="S198" i="2" s="1"/>
  <c r="R206" i="2"/>
  <c r="S206" i="2" s="1"/>
  <c r="R240" i="2"/>
  <c r="S240" i="2" s="1"/>
  <c r="Q286" i="2"/>
  <c r="R33" i="2"/>
  <c r="S33" i="2" s="1"/>
  <c r="Q214" i="2"/>
  <c r="Q44" i="2"/>
  <c r="R60" i="2"/>
  <c r="S60" i="2" s="1"/>
  <c r="R78" i="2"/>
  <c r="S78" i="2" s="1"/>
  <c r="Q122" i="2"/>
  <c r="Q173" i="2"/>
  <c r="R182" i="2"/>
  <c r="S182" i="2" s="1"/>
  <c r="Q208" i="2"/>
  <c r="R69" i="2"/>
  <c r="S69" i="2" s="1"/>
  <c r="Q106" i="2"/>
  <c r="R131" i="2"/>
  <c r="S131" i="2" s="1"/>
  <c r="Q167" i="2"/>
  <c r="R191" i="2"/>
  <c r="S191" i="2" s="1"/>
  <c r="Q191" i="2"/>
  <c r="Q263" i="2"/>
  <c r="R163" i="2"/>
  <c r="S163" i="2" s="1"/>
  <c r="Q163" i="2"/>
  <c r="Q272" i="2"/>
  <c r="Q168" i="2"/>
  <c r="R168" i="2"/>
  <c r="S168" i="2" s="1"/>
  <c r="Q234" i="2"/>
  <c r="R234" i="2"/>
  <c r="S234" i="2" s="1"/>
  <c r="Q257" i="2"/>
  <c r="Q55" i="2"/>
  <c r="Q8" i="2"/>
  <c r="R38" i="2"/>
  <c r="S38" i="2" s="1"/>
  <c r="Q38" i="2"/>
  <c r="Q70" i="2"/>
  <c r="Q115" i="2"/>
  <c r="R115" i="2"/>
  <c r="S115" i="2" s="1"/>
  <c r="Q128" i="2"/>
  <c r="Q142" i="2"/>
  <c r="Q186" i="2"/>
  <c r="R186" i="2"/>
  <c r="S186" i="2" s="1"/>
  <c r="Q194" i="2"/>
  <c r="R221" i="2"/>
  <c r="S221" i="2" s="1"/>
  <c r="Q221" i="2"/>
  <c r="Q236" i="2"/>
  <c r="Q251" i="2"/>
  <c r="R258" i="2"/>
  <c r="S258" i="2" s="1"/>
  <c r="Q5" i="2"/>
  <c r="R5" i="2"/>
  <c r="S5" i="2" s="1"/>
  <c r="Q155" i="2"/>
  <c r="R155" i="2"/>
  <c r="S155" i="2" s="1"/>
  <c r="R162" i="2"/>
  <c r="S162" i="2" s="1"/>
  <c r="R248" i="2"/>
  <c r="S248" i="2" s="1"/>
  <c r="Q248" i="2"/>
  <c r="Q23" i="2"/>
  <c r="R183" i="2"/>
  <c r="S183" i="2" s="1"/>
  <c r="R204" i="2"/>
  <c r="S204" i="2" s="1"/>
  <c r="Q249" i="2"/>
  <c r="R249" i="2"/>
  <c r="S249" i="2" s="1"/>
  <c r="R212" i="2"/>
  <c r="S212" i="2" s="1"/>
  <c r="Q212" i="2"/>
  <c r="Q157" i="2"/>
  <c r="R177" i="2"/>
  <c r="S177" i="2" s="1"/>
  <c r="R199" i="2"/>
  <c r="S199" i="2" s="1"/>
  <c r="R92" i="2"/>
  <c r="S92" i="2" s="1"/>
  <c r="Q92" i="2"/>
  <c r="R158" i="2"/>
  <c r="S158" i="2" s="1"/>
  <c r="Q158" i="2"/>
  <c r="Q35" i="2"/>
  <c r="R54" i="2"/>
  <c r="S54" i="2" s="1"/>
  <c r="R68" i="2"/>
  <c r="S68" i="2" s="1"/>
  <c r="Q68" i="2"/>
  <c r="R75" i="2"/>
  <c r="S75" i="2" s="1"/>
  <c r="R96" i="2"/>
  <c r="S96" i="2" s="1"/>
  <c r="R104" i="2"/>
  <c r="S104" i="2" s="1"/>
  <c r="Q104" i="2"/>
  <c r="Q30" i="2"/>
  <c r="Q49" i="2"/>
  <c r="R265" i="2"/>
  <c r="S265" i="2" s="1"/>
  <c r="Q265" i="2"/>
  <c r="Q80" i="2"/>
  <c r="Q94" i="2"/>
  <c r="R94" i="2"/>
  <c r="S94" i="2" s="1"/>
  <c r="Q152" i="2"/>
  <c r="Q268" i="2"/>
  <c r="Q2" i="2"/>
  <c r="Q40" i="2"/>
  <c r="Q46" i="2"/>
  <c r="R46" i="2"/>
  <c r="S46" i="2" s="1"/>
  <c r="Q59" i="2"/>
  <c r="Q65" i="2"/>
  <c r="Q101" i="2"/>
  <c r="R124" i="2"/>
  <c r="S124" i="2" s="1"/>
  <c r="Q124" i="2"/>
  <c r="R138" i="2"/>
  <c r="S138" i="2" s="1"/>
  <c r="Q188" i="2"/>
  <c r="R215" i="2"/>
  <c r="S215" i="2" s="1"/>
  <c r="Q215" i="2"/>
  <c r="R239" i="2"/>
  <c r="S239" i="2" s="1"/>
  <c r="Q239" i="2"/>
  <c r="R269" i="2"/>
  <c r="S269" i="2" s="1"/>
  <c r="Q269" i="2"/>
  <c r="R149" i="2"/>
  <c r="S149" i="2" s="1"/>
  <c r="Q149" i="2"/>
  <c r="R242" i="2"/>
  <c r="S242" i="2" s="1"/>
  <c r="R223" i="2"/>
  <c r="S223" i="2" s="1"/>
  <c r="Q223" i="2"/>
  <c r="R160" i="2"/>
  <c r="S160" i="2" s="1"/>
  <c r="Q160" i="2"/>
  <c r="Q270" i="2"/>
  <c r="R270" i="2"/>
  <c r="S270" i="2" s="1"/>
  <c r="R43" i="2"/>
  <c r="S43" i="2" s="1"/>
  <c r="Q43" i="2"/>
  <c r="Q127" i="2"/>
  <c r="R134" i="2"/>
  <c r="S134" i="2" s="1"/>
  <c r="Q134" i="2"/>
  <c r="Q148" i="2"/>
  <c r="R77" i="2"/>
  <c r="S77" i="2" s="1"/>
  <c r="Q77" i="2"/>
  <c r="Q91" i="2"/>
  <c r="R113" i="2"/>
  <c r="S113" i="2" s="1"/>
  <c r="Q113" i="2"/>
  <c r="R31" i="2"/>
  <c r="S31" i="2" s="1"/>
  <c r="Q31" i="2"/>
  <c r="R107" i="2"/>
  <c r="S107" i="2" s="1"/>
  <c r="Q107" i="2"/>
  <c r="R143" i="2"/>
  <c r="S143" i="2" s="1"/>
  <c r="Q143" i="2"/>
  <c r="R179" i="2"/>
  <c r="S179" i="2" s="1"/>
  <c r="Q179" i="2"/>
  <c r="R260" i="2"/>
  <c r="S260" i="2" s="1"/>
  <c r="Q260" i="2"/>
  <c r="Q34" i="2"/>
  <c r="R81" i="2"/>
  <c r="S81" i="2" s="1"/>
  <c r="Q102" i="2"/>
  <c r="R102" i="2"/>
  <c r="S102" i="2" s="1"/>
  <c r="R153" i="2"/>
  <c r="S153" i="2" s="1"/>
  <c r="Q189" i="2"/>
  <c r="R189" i="2"/>
  <c r="S189" i="2" s="1"/>
  <c r="R233" i="2"/>
  <c r="S233" i="2" s="1"/>
  <c r="Q233" i="2"/>
  <c r="R262" i="2"/>
  <c r="S262" i="2" s="1"/>
  <c r="Q284" i="2"/>
  <c r="R82" i="2"/>
  <c r="S82" i="2" s="1"/>
  <c r="Q98" i="2"/>
  <c r="R139" i="2"/>
  <c r="S139" i="2" s="1"/>
  <c r="Q185" i="2"/>
  <c r="Q200" i="2"/>
  <c r="Q227" i="2"/>
  <c r="Q254" i="2"/>
  <c r="Q259" i="2"/>
  <c r="R274" i="2"/>
  <c r="S274" i="2" s="1"/>
  <c r="R42" i="2"/>
  <c r="S42" i="2" s="1"/>
  <c r="R67" i="2"/>
  <c r="S67" i="2" s="1"/>
  <c r="R103" i="2"/>
  <c r="S103" i="2" s="1"/>
  <c r="R154" i="2"/>
  <c r="S154" i="2" s="1"/>
  <c r="R190" i="2"/>
  <c r="S190" i="2" s="1"/>
  <c r="R211" i="2"/>
  <c r="S211" i="2" s="1"/>
  <c r="R238" i="2"/>
  <c r="S238" i="2" s="1"/>
  <c r="R291" i="2"/>
  <c r="S291" i="2" s="1"/>
  <c r="Q53" i="2"/>
  <c r="Q136" i="2"/>
  <c r="Q146" i="2"/>
  <c r="Q151" i="2"/>
  <c r="R255" i="2"/>
  <c r="S255" i="2" s="1"/>
  <c r="Q293" i="2"/>
  <c r="Q20" i="2"/>
  <c r="Q74" i="2"/>
  <c r="Q79" i="2"/>
  <c r="Q176" i="2"/>
  <c r="R202" i="2"/>
  <c r="S202" i="2" s="1"/>
  <c r="Q281" i="2"/>
  <c r="Q287" i="2"/>
  <c r="R58" i="2"/>
  <c r="S58" i="2" s="1"/>
  <c r="R90" i="2"/>
  <c r="S90" i="2" s="1"/>
  <c r="R126" i="2"/>
  <c r="S126" i="2" s="1"/>
  <c r="Q250" i="2"/>
  <c r="R276" i="2"/>
  <c r="S276" i="2" s="1"/>
  <c r="R205" i="2"/>
  <c r="S205" i="2" s="1"/>
  <c r="Q205" i="2"/>
  <c r="Q246" i="2"/>
  <c r="R246" i="2"/>
  <c r="S246" i="2" s="1"/>
  <c r="Q4" i="2"/>
  <c r="Q12" i="2"/>
  <c r="Q16" i="2"/>
  <c r="Q24" i="2"/>
  <c r="Q28" i="2"/>
  <c r="Q37" i="2"/>
  <c r="Q76" i="2"/>
  <c r="R145" i="2"/>
  <c r="S145" i="2" s="1"/>
  <c r="Q145" i="2"/>
  <c r="Q184" i="2"/>
  <c r="Q210" i="2"/>
  <c r="R210" i="2"/>
  <c r="S210" i="2" s="1"/>
  <c r="R219" i="2"/>
  <c r="S219" i="2" s="1"/>
  <c r="R256" i="2"/>
  <c r="S256" i="2" s="1"/>
  <c r="Q256" i="2"/>
  <c r="Q171" i="2"/>
  <c r="R171" i="2"/>
  <c r="S171" i="2" s="1"/>
  <c r="Q72" i="2"/>
  <c r="R72" i="2"/>
  <c r="S72" i="2" s="1"/>
  <c r="Q85" i="2"/>
  <c r="R111" i="2"/>
  <c r="S111" i="2" s="1"/>
  <c r="Q180" i="2"/>
  <c r="R180" i="2"/>
  <c r="S180" i="2" s="1"/>
  <c r="Q193" i="2"/>
  <c r="Q229" i="2"/>
  <c r="R97" i="2"/>
  <c r="S97" i="2" s="1"/>
  <c r="Q97" i="2"/>
  <c r="Q63" i="2"/>
  <c r="R63" i="2"/>
  <c r="S63" i="2" s="1"/>
  <c r="D11" i="3"/>
  <c r="Q9" i="2"/>
  <c r="Q13" i="2"/>
  <c r="Q21" i="2"/>
  <c r="Q25" i="2"/>
  <c r="Q51" i="2"/>
  <c r="R51" i="2"/>
  <c r="S51" i="2" s="1"/>
  <c r="R133" i="2"/>
  <c r="S133" i="2" s="1"/>
  <c r="Q133" i="2"/>
  <c r="Q159" i="2"/>
  <c r="R159" i="2"/>
  <c r="S159" i="2" s="1"/>
  <c r="Q252" i="2"/>
  <c r="R252" i="2"/>
  <c r="S252" i="2" s="1"/>
  <c r="R220" i="2"/>
  <c r="S220" i="2" s="1"/>
  <c r="Q220" i="2"/>
  <c r="R73" i="2"/>
  <c r="S73" i="2" s="1"/>
  <c r="Q73" i="2"/>
  <c r="Q112" i="2"/>
  <c r="R181" i="2"/>
  <c r="S181" i="2" s="1"/>
  <c r="Q181" i="2"/>
  <c r="Q216" i="2"/>
  <c r="R216" i="2"/>
  <c r="S216" i="2" s="1"/>
  <c r="Q207" i="2"/>
  <c r="R207" i="2"/>
  <c r="S207" i="2" s="1"/>
  <c r="Q6" i="2"/>
  <c r="Q10" i="2"/>
  <c r="Q18" i="2"/>
  <c r="Q22" i="2"/>
  <c r="Q108" i="2"/>
  <c r="R108" i="2"/>
  <c r="S108" i="2" s="1"/>
  <c r="Q121" i="2"/>
  <c r="R147" i="2"/>
  <c r="S147" i="2" s="1"/>
  <c r="R222" i="2"/>
  <c r="S222" i="2" s="1"/>
  <c r="R226" i="2"/>
  <c r="S226" i="2" s="1"/>
  <c r="Q267" i="2"/>
  <c r="R267" i="2"/>
  <c r="S267" i="2" s="1"/>
  <c r="Q123" i="2"/>
  <c r="R123" i="2"/>
  <c r="S123" i="2" s="1"/>
  <c r="Q99" i="2"/>
  <c r="R99" i="2"/>
  <c r="S99" i="2" s="1"/>
  <c r="R61" i="2"/>
  <c r="S61" i="2" s="1"/>
  <c r="Q61" i="2"/>
  <c r="Q87" i="2"/>
  <c r="R87" i="2"/>
  <c r="S87" i="2" s="1"/>
  <c r="R169" i="2"/>
  <c r="S169" i="2" s="1"/>
  <c r="Q169" i="2"/>
  <c r="Q195" i="2"/>
  <c r="R195" i="2"/>
  <c r="S195" i="2" s="1"/>
  <c r="Q231" i="2"/>
  <c r="R231" i="2"/>
  <c r="S231" i="2" s="1"/>
  <c r="R109" i="2"/>
  <c r="S109" i="2" s="1"/>
  <c r="Q109" i="2"/>
  <c r="Q3" i="2"/>
  <c r="Q7" i="2"/>
  <c r="Q15" i="2"/>
  <c r="Q19" i="2"/>
  <c r="Q27" i="2"/>
  <c r="Q36" i="2"/>
  <c r="R66" i="2"/>
  <c r="S66" i="2" s="1"/>
  <c r="Q88" i="2"/>
  <c r="R114" i="2"/>
  <c r="S114" i="2" s="1"/>
  <c r="R118" i="2"/>
  <c r="S118" i="2" s="1"/>
  <c r="Q135" i="2"/>
  <c r="R135" i="2"/>
  <c r="S135" i="2" s="1"/>
  <c r="R174" i="2"/>
  <c r="S174" i="2" s="1"/>
  <c r="Q196" i="2"/>
  <c r="Q232" i="2"/>
  <c r="R277" i="2"/>
  <c r="S277" i="2" s="1"/>
  <c r="Q277" i="2"/>
  <c r="Q144" i="2"/>
  <c r="R144" i="2"/>
  <c r="S144" i="2" s="1"/>
  <c r="R241" i="2"/>
  <c r="S241" i="2" s="1"/>
  <c r="Q241" i="2"/>
  <c r="R288" i="2"/>
  <c r="S288" i="2" s="1"/>
  <c r="R285" i="2"/>
  <c r="S285" i="2" s="1"/>
  <c r="R282" i="2"/>
  <c r="S282" i="2" s="1"/>
  <c r="Q292" i="2"/>
  <c r="Q217" i="2"/>
  <c r="R243" i="2"/>
  <c r="S243" i="2" s="1"/>
  <c r="Q253" i="2"/>
  <c r="R279" i="2"/>
  <c r="S279" i="2" s="1"/>
  <c r="Q289" i="2"/>
  <c r="R57" i="2"/>
  <c r="S57" i="2" s="1"/>
  <c r="R93" i="2"/>
  <c r="S93" i="2" s="1"/>
  <c r="R129" i="2"/>
  <c r="S129" i="2" s="1"/>
  <c r="R165" i="2"/>
  <c r="S165" i="2" s="1"/>
  <c r="R201" i="2"/>
  <c r="S201" i="2" s="1"/>
  <c r="R237" i="2"/>
  <c r="S237" i="2" s="1"/>
  <c r="R273" i="2"/>
  <c r="S273" i="2" s="1"/>
  <c r="R48" i="2"/>
  <c r="S48" i="2" s="1"/>
  <c r="R84" i="2"/>
  <c r="S84" i="2" s="1"/>
  <c r="R120" i="2"/>
  <c r="S120" i="2" s="1"/>
  <c r="R156" i="2"/>
  <c r="S156" i="2" s="1"/>
  <c r="R192" i="2"/>
  <c r="S192" i="2" s="1"/>
  <c r="R228" i="2"/>
  <c r="S228" i="2" s="1"/>
  <c r="R264" i="2"/>
  <c r="S264" i="2" s="1"/>
  <c r="R294" i="2"/>
  <c r="S294" i="2" s="1"/>
  <c r="Q294" i="2"/>
  <c r="C25" i="3" l="1"/>
  <c r="E25" i="3" s="1"/>
  <c r="C60" i="3"/>
  <c r="C50" i="3"/>
  <c r="C41" i="3"/>
  <c r="C32" i="3"/>
  <c r="C40" i="3"/>
  <c r="C17" i="3"/>
  <c r="C6" i="3"/>
  <c r="C3" i="3"/>
  <c r="C36" i="3"/>
  <c r="C4" i="3"/>
  <c r="C31" i="3"/>
  <c r="C43" i="3"/>
  <c r="C63" i="3"/>
  <c r="C54" i="3"/>
  <c r="C49" i="3"/>
  <c r="C35" i="3"/>
  <c r="C26" i="3"/>
  <c r="C44" i="3"/>
  <c r="C8" i="3"/>
  <c r="C2" i="3"/>
  <c r="C52" i="3"/>
  <c r="C34" i="3"/>
  <c r="C30" i="3"/>
  <c r="C57" i="3"/>
  <c r="C20" i="3"/>
  <c r="C11" i="3"/>
  <c r="C33" i="3"/>
  <c r="C47" i="3"/>
  <c r="C38" i="3"/>
  <c r="C13" i="3"/>
  <c r="C42" i="3"/>
  <c r="C58" i="3"/>
  <c r="C46" i="3"/>
  <c r="C16" i="3"/>
  <c r="C45" i="3"/>
  <c r="C61" i="3"/>
  <c r="C14" i="3"/>
  <c r="C37" i="3"/>
  <c r="C19" i="3"/>
  <c r="C48" i="3"/>
  <c r="C64" i="3"/>
  <c r="C23" i="3"/>
  <c r="C22" i="3"/>
  <c r="C51" i="3"/>
  <c r="C9" i="3"/>
  <c r="C12" i="3"/>
  <c r="C5" i="3"/>
  <c r="C28" i="3"/>
  <c r="C53" i="3"/>
  <c r="C15" i="3"/>
  <c r="C56" i="3"/>
  <c r="C18" i="3"/>
  <c r="C59" i="3"/>
  <c r="C21" i="3"/>
  <c r="C62" i="3"/>
  <c r="C24" i="3"/>
  <c r="C7" i="3"/>
  <c r="C29" i="3"/>
  <c r="C27" i="3"/>
  <c r="C10" i="3"/>
  <c r="C39" i="3"/>
  <c r="C55" i="3"/>
  <c r="F25" i="3" l="1"/>
  <c r="F53" i="3"/>
  <c r="E53" i="3"/>
  <c r="F29" i="3"/>
  <c r="E29" i="3"/>
  <c r="E12" i="3"/>
  <c r="F12" i="3"/>
  <c r="F16" i="3"/>
  <c r="E16" i="3"/>
  <c r="E34" i="3"/>
  <c r="F34" i="3"/>
  <c r="F4" i="3"/>
  <c r="E4" i="3"/>
  <c r="F5" i="3"/>
  <c r="E5" i="3"/>
  <c r="F9" i="3"/>
  <c r="E9" i="3"/>
  <c r="F46" i="3"/>
  <c r="E46" i="3"/>
  <c r="F52" i="3"/>
  <c r="E52" i="3"/>
  <c r="F36" i="3"/>
  <c r="E36" i="3"/>
  <c r="F27" i="3"/>
  <c r="E27" i="3"/>
  <c r="F24" i="3"/>
  <c r="E24" i="3"/>
  <c r="F51" i="3"/>
  <c r="E51" i="3"/>
  <c r="F58" i="3"/>
  <c r="E58" i="3"/>
  <c r="F2" i="3"/>
  <c r="E2" i="3"/>
  <c r="E3" i="3"/>
  <c r="F3" i="3"/>
  <c r="E55" i="3"/>
  <c r="F55" i="3"/>
  <c r="F7" i="3"/>
  <c r="E7" i="3"/>
  <c r="F62" i="3"/>
  <c r="E62" i="3"/>
  <c r="F22" i="3"/>
  <c r="E22" i="3"/>
  <c r="F42" i="3"/>
  <c r="E42" i="3"/>
  <c r="F8" i="3"/>
  <c r="E8" i="3"/>
  <c r="F6" i="3"/>
  <c r="E6" i="3"/>
  <c r="F39" i="3"/>
  <c r="E39" i="3"/>
  <c r="E21" i="3"/>
  <c r="F21" i="3"/>
  <c r="E23" i="3"/>
  <c r="F23" i="3"/>
  <c r="F13" i="3"/>
  <c r="E13" i="3"/>
  <c r="E44" i="3"/>
  <c r="F44" i="3"/>
  <c r="F17" i="3"/>
  <c r="E17" i="3"/>
  <c r="F59" i="3"/>
  <c r="E59" i="3"/>
  <c r="F64" i="3"/>
  <c r="E64" i="3"/>
  <c r="F26" i="3"/>
  <c r="E26" i="3"/>
  <c r="F40" i="3"/>
  <c r="E40" i="3"/>
  <c r="F10" i="3"/>
  <c r="E10" i="3"/>
  <c r="E38" i="3"/>
  <c r="F38" i="3"/>
  <c r="F18" i="3"/>
  <c r="E18" i="3"/>
  <c r="F48" i="3"/>
  <c r="E48" i="3"/>
  <c r="E47" i="3"/>
  <c r="F47" i="3"/>
  <c r="F35" i="3"/>
  <c r="E35" i="3"/>
  <c r="F32" i="3"/>
  <c r="E32" i="3"/>
  <c r="F56" i="3"/>
  <c r="E56" i="3"/>
  <c r="F19" i="3"/>
  <c r="E19" i="3"/>
  <c r="E33" i="3"/>
  <c r="F33" i="3"/>
  <c r="F49" i="3"/>
  <c r="E49" i="3"/>
  <c r="E41" i="3"/>
  <c r="F41" i="3"/>
  <c r="F37" i="3"/>
  <c r="E37" i="3"/>
  <c r="F11" i="3"/>
  <c r="E11" i="3"/>
  <c r="F54" i="3"/>
  <c r="E54" i="3"/>
  <c r="E50" i="3"/>
  <c r="F50" i="3"/>
  <c r="E14" i="3"/>
  <c r="F14" i="3"/>
  <c r="F20" i="3"/>
  <c r="E20" i="3"/>
  <c r="F63" i="3"/>
  <c r="E63" i="3"/>
  <c r="E60" i="3"/>
  <c r="F60" i="3"/>
  <c r="E28" i="3"/>
  <c r="F28" i="3"/>
  <c r="F61" i="3"/>
  <c r="E61" i="3"/>
  <c r="F57" i="3"/>
  <c r="E57" i="3"/>
  <c r="F43" i="3"/>
  <c r="E43" i="3"/>
  <c r="F15" i="3"/>
  <c r="E15" i="3"/>
  <c r="F45" i="3"/>
  <c r="E45" i="3"/>
  <c r="E30" i="3"/>
  <c r="F30" i="3"/>
  <c r="E31" i="3"/>
  <c r="F31" i="3"/>
</calcChain>
</file>

<file path=xl/sharedStrings.xml><?xml version="1.0" encoding="utf-8"?>
<sst xmlns="http://schemas.openxmlformats.org/spreadsheetml/2006/main" count="2127" uniqueCount="1011">
  <si>
    <t>Familia</t>
  </si>
  <si>
    <t>UM ultima compra</t>
  </si>
  <si>
    <t>Stock</t>
  </si>
  <si>
    <t>Consumo</t>
  </si>
  <si>
    <t>Diferencia</t>
  </si>
  <si>
    <t>Cobertura</t>
  </si>
  <si>
    <t>Estado</t>
  </si>
  <si>
    <t>Ultima OC</t>
  </si>
  <si>
    <t>Proveedor</t>
  </si>
  <si>
    <t>GUANTE PROPILENO</t>
  </si>
  <si>
    <t>CLP</t>
  </si>
  <si>
    <t>INDIVIDUAL HOSPITAL BRITANICO</t>
  </si>
  <si>
    <t>Druck</t>
  </si>
  <si>
    <t>BANDEJA 101</t>
  </si>
  <si>
    <t>Pendiente turnado 28.04</t>
  </si>
  <si>
    <t>Pack Express</t>
  </si>
  <si>
    <t>INDIVIDUAL FINOCCHIETO</t>
  </si>
  <si>
    <t>INDIVIDUAL IAF</t>
  </si>
  <si>
    <t>INDIVIDUAL SWISS MEDICAL</t>
  </si>
  <si>
    <t>Entrega directa en cliente</t>
  </si>
  <si>
    <t>SERVILLETA C/ LOGO C. GOURMET 33X21.5</t>
  </si>
  <si>
    <t>Pendiente entrega lustramax</t>
  </si>
  <si>
    <t>AGITADORES</t>
  </si>
  <si>
    <t>SERVILLETA SWISS MEDICAL</t>
  </si>
  <si>
    <t>DL CLEAN</t>
  </si>
  <si>
    <t>CUCHARA SUNDAE</t>
  </si>
  <si>
    <t>Achaplast</t>
  </si>
  <si>
    <t>VASO TERMICO 180</t>
  </si>
  <si>
    <t>FILM PVC 38</t>
  </si>
  <si>
    <t>Remplazar film</t>
  </si>
  <si>
    <t>CUCHILLO</t>
  </si>
  <si>
    <t>SERVILLETA ELITE 30X30</t>
  </si>
  <si>
    <t>BARBIJOS</t>
  </si>
  <si>
    <t>Mollon</t>
  </si>
  <si>
    <t>TAPA BOWL COMPOSTABLE 960CC</t>
  </si>
  <si>
    <t>Biopackaging</t>
  </si>
  <si>
    <t>SERVILLETA 30X30</t>
  </si>
  <si>
    <t>VASO PLASTICO 300CC</t>
  </si>
  <si>
    <t>Papelera Colon</t>
  </si>
  <si>
    <t>BOWL COMPOSTABLE 960CC</t>
  </si>
  <si>
    <t>ARRANQUE 50X70</t>
  </si>
  <si>
    <t>Polyfilm</t>
  </si>
  <si>
    <t>ESCARBADIENTE</t>
  </si>
  <si>
    <t>Food Packaging</t>
  </si>
  <si>
    <t>VASO TERMICO 240</t>
  </si>
  <si>
    <t>ARRANQUE 15x20</t>
  </si>
  <si>
    <t>ROLLO ALUMINIO 40</t>
  </si>
  <si>
    <t>BANDEJA 103</t>
  </si>
  <si>
    <t>Pranamar</t>
  </si>
  <si>
    <t>INDIVIDUAL CHEF GOURMET</t>
  </si>
  <si>
    <t>Transferencia reclamada 28.04</t>
  </si>
  <si>
    <t>Transfe moreno</t>
  </si>
  <si>
    <t>VASO TERMICO 300</t>
  </si>
  <si>
    <t>COFIAS</t>
  </si>
  <si>
    <t>SERVILLETAS ELITE 21x11</t>
  </si>
  <si>
    <t>Feprol</t>
  </si>
  <si>
    <t>ARRANQUE 20x30</t>
  </si>
  <si>
    <t>INDIVIDIDUAL HEALTH</t>
  </si>
  <si>
    <t>TAPA 101</t>
  </si>
  <si>
    <t>GUANTE NITRILO M</t>
  </si>
  <si>
    <t>ARRANQUE 40x60</t>
  </si>
  <si>
    <t>ANTORCHITAS</t>
  </si>
  <si>
    <t>Ingresa miercoles 29.04</t>
  </si>
  <si>
    <t>BOLSA CAMISETA 40X50</t>
  </si>
  <si>
    <t>GUANTE LATEX M</t>
  </si>
  <si>
    <t>BANDEJA 105</t>
  </si>
  <si>
    <t>4200293178, 4600121740</t>
  </si>
  <si>
    <t>SERVILLETAS SWISS 18x18</t>
  </si>
  <si>
    <t>INDIVIDUAL GL SUPPORT</t>
  </si>
  <si>
    <t>TENEDOR</t>
  </si>
  <si>
    <t>BOLSA CAMISETA BIO 40x50</t>
  </si>
  <si>
    <t>FILM PVC 30</t>
  </si>
  <si>
    <t>TAPA 103</t>
  </si>
  <si>
    <t>TAPA 102</t>
  </si>
  <si>
    <t>VASO PLASTICO 165CC</t>
  </si>
  <si>
    <t>INDIVIDUAL SWISS MEDICAL LIQUIDOS</t>
  </si>
  <si>
    <t>PANERA</t>
  </si>
  <si>
    <t>INDIVIDUAL FINOCCHIETO RECOMENDACIONES</t>
  </si>
  <si>
    <t>BOLSA CAMISETA BIO 50X60</t>
  </si>
  <si>
    <t>SERVILLETAS ELITE 16X21</t>
  </si>
  <si>
    <t>BANDEJA 105 BIO</t>
  </si>
  <si>
    <t>GUANTE LATEX L</t>
  </si>
  <si>
    <t>SIMIL TELA S/ LOGO</t>
  </si>
  <si>
    <t>SERVILLETA C/ LOGO HEALTH 33X21.5</t>
  </si>
  <si>
    <t>TAPA 105</t>
  </si>
  <si>
    <t>SERVILLETA C/ LOGO BLUE 33X21.5</t>
  </si>
  <si>
    <t>FILM PVC 45</t>
  </si>
  <si>
    <t>SERVILLETAS BRITANICO 33x33</t>
  </si>
  <si>
    <t>BANDEJA 102 NEGRA</t>
  </si>
  <si>
    <t>BANDEJA 102 BIO</t>
  </si>
  <si>
    <t>BANDEJA 102</t>
  </si>
  <si>
    <t>GUANTE NITRILO L</t>
  </si>
  <si>
    <t>EAN</t>
  </si>
  <si>
    <t>COD SAP</t>
  </si>
  <si>
    <t>GrpAbr</t>
  </si>
  <si>
    <t>UM</t>
  </si>
  <si>
    <t>Consumo total</t>
  </si>
  <si>
    <t>Ean2</t>
  </si>
  <si>
    <t>Esta en necesidad?</t>
  </si>
  <si>
    <t>7790000000245</t>
  </si>
  <si>
    <t>SERVILLETAS S.MEDICAL 18 X 18 X2000UN</t>
  </si>
  <si>
    <t>7795618000094</t>
  </si>
  <si>
    <t>ROLLO ARRANQUE 15x20 SONB 290GR X12UN</t>
  </si>
  <si>
    <t>7795618000193</t>
  </si>
  <si>
    <t>ROLLO ARRANQUE 20x25 SONB 750GR X12UN</t>
  </si>
  <si>
    <t>7790000000253</t>
  </si>
  <si>
    <t>VASO  MD PLASTIVAS 0,30 LT X100UN</t>
  </si>
  <si>
    <t>9992017900491</t>
  </si>
  <si>
    <t>ROLLO ALUM. 28CM 4.2MT 9MIC ALUMAX X1UN</t>
  </si>
  <si>
    <t>9992017901825</t>
  </si>
  <si>
    <t>SERVILLETAS H.BRITANICO 33 X 33 X1000UN</t>
  </si>
  <si>
    <t>17798038127119</t>
  </si>
  <si>
    <t>VASO TERMICO ESTISOL 0.300 LT X1000UN</t>
  </si>
  <si>
    <t>7790000000197</t>
  </si>
  <si>
    <t>BOLSA CAMISETA BIO.FECULA 40X50 X1500UN</t>
  </si>
  <si>
    <t>7790000000218</t>
  </si>
  <si>
    <t>BOWL COMPOST.17x7 960CC BIO X600UN</t>
  </si>
  <si>
    <t>7790000000250</t>
  </si>
  <si>
    <t>TAPA BOWL COMPOS.17x7 960CC BIO X600UN</t>
  </si>
  <si>
    <t>7790000000249</t>
  </si>
  <si>
    <t>TAPA BANDEJA 121 MICRO. COTNYL X100UN</t>
  </si>
  <si>
    <t>7790000000192</t>
  </si>
  <si>
    <t>BANDEJA 102 RECT. NEGRA COTNYL X100UN</t>
  </si>
  <si>
    <t>7790000000227</t>
  </si>
  <si>
    <t>FILM PVC 30 CM  2,645 KG X1UN</t>
  </si>
  <si>
    <t>7790000000229</t>
  </si>
  <si>
    <t>FILM PVC 45 CM 4,3 KG MPROP X1UN</t>
  </si>
  <si>
    <t>7790000000191</t>
  </si>
  <si>
    <t>AGITADORES PLAST BCOS 9CM CLAUSER X1000</t>
  </si>
  <si>
    <t>1112017200010</t>
  </si>
  <si>
    <t>VO_BI GUANTES DE POLIPROPILENO X100U</t>
  </si>
  <si>
    <t>7790000000228</t>
  </si>
  <si>
    <t>FILM PVC 38 CM 3,390 KG MPROPIA X1UN</t>
  </si>
  <si>
    <t>7798362410546</t>
  </si>
  <si>
    <t>COFIAS DESCARTABLES MD M.PROPIA X100UN</t>
  </si>
  <si>
    <t>7790000000195</t>
  </si>
  <si>
    <t>BARBIJOS TRICAPA PR MARCA PROPIA X50UN</t>
  </si>
  <si>
    <t>7896061975325</t>
  </si>
  <si>
    <t xml:space="preserve">SERVILLETAS INTER 21x11CM ELITE X18000U </t>
  </si>
  <si>
    <t>7790000000222</t>
  </si>
  <si>
    <t>BSA DE ARRANQUE MD   40 X 50 A/D X12UN</t>
  </si>
  <si>
    <t>7790000000225</t>
  </si>
  <si>
    <t>CUCHILLO DESC. BLANCO ALUMAX X1000UN</t>
  </si>
  <si>
    <t>7790000000241</t>
  </si>
  <si>
    <t>ROLLO ARRANQUE 40x60 ALEGRA 660G X12UN</t>
  </si>
  <si>
    <t>7790000000235</t>
  </si>
  <si>
    <t>INDIVID. CHEF GOURMET HEALTH X1000UN</t>
  </si>
  <si>
    <t>7790000000221</t>
  </si>
  <si>
    <t>BSA DE ARRANQUE MD   20 X 30 A/D X12UN</t>
  </si>
  <si>
    <t>7790000000236</t>
  </si>
  <si>
    <t>INDIVIDUAL CHEF GOURMET FOOD UN X1000UN</t>
  </si>
  <si>
    <t>7790000000247</t>
  </si>
  <si>
    <t>TAPA BAND. 103 MICR. COTNYL X100UN</t>
  </si>
  <si>
    <t>7790000000231</t>
  </si>
  <si>
    <t>INDIV. CHEF GOURMET GL SUPPORT X1000UN</t>
  </si>
  <si>
    <t>7790000000251</t>
  </si>
  <si>
    <t>TENEDOR DESC. BLANCO ALUMAX X1000UN</t>
  </si>
  <si>
    <t>7790000000234</t>
  </si>
  <si>
    <t>INDIV. HOSP.BRITANICO 25X35CM X1000UN</t>
  </si>
  <si>
    <t>7790000000232</t>
  </si>
  <si>
    <t>INDIV. SWISS MEDICAL LIQUIDOS X1000UN</t>
  </si>
  <si>
    <t>7790000000237</t>
  </si>
  <si>
    <t>INDIVIDUAL FINOCHIETTO  X1000UN</t>
  </si>
  <si>
    <t>7790000000238</t>
  </si>
  <si>
    <t>INDIVIDUAL IAF 46x27.5CM X1000UN</t>
  </si>
  <si>
    <t>7790000000255</t>
  </si>
  <si>
    <t>VASO MD BELLA CUP 0.165 LT X3000UN</t>
  </si>
  <si>
    <t>17798038127102</t>
  </si>
  <si>
    <t>VASO TERMICO ESTISOL 0.240 LT X1000UN</t>
  </si>
  <si>
    <t>7790000000342</t>
  </si>
  <si>
    <t>TAPA BANDEJA MICRO 102 X 50 UNID</t>
  </si>
  <si>
    <t>7790000000379</t>
  </si>
  <si>
    <t>GL_BANDEJA 102 BIODEG. X 1400U MPROPIA</t>
  </si>
  <si>
    <t>7790000000380</t>
  </si>
  <si>
    <t>GL_BANDEJA 103 BIODEG. X 900U MPROPIA</t>
  </si>
  <si>
    <t>BANDEJA 103 BIO</t>
  </si>
  <si>
    <t>7790000000381</t>
  </si>
  <si>
    <t>GL_BANDEJA 105 BIODEG. X 700UN MPROPIA</t>
  </si>
  <si>
    <t>7790000000404</t>
  </si>
  <si>
    <t>PANERA OVALADA PLASTICA MPROP XU</t>
  </si>
  <si>
    <t>7798209711881</t>
  </si>
  <si>
    <t>GUANTES DESC.NITRILO NEGRO M TOPSAL 100U</t>
  </si>
  <si>
    <t>7790000000344</t>
  </si>
  <si>
    <t xml:space="preserve">TAPA BAND. 105 MICR. COTNYL X50UN  </t>
  </si>
  <si>
    <t>9992017900507</t>
  </si>
  <si>
    <t>VO ROLLO ALUMINIO 38CM 1K ALUMAX XU</t>
  </si>
  <si>
    <t>7798011210046</t>
  </si>
  <si>
    <t xml:space="preserve">TAPA BAND. 102 MICR. COTNYL X100UN </t>
  </si>
  <si>
    <t>7790000000343</t>
  </si>
  <si>
    <t xml:space="preserve">TAPA BAND. 103 MICR. COTNYL X50UN  </t>
  </si>
  <si>
    <t>7790000000488</t>
  </si>
  <si>
    <t>GL_MANTEL INDIV FINOCH RECOM X1000UN</t>
  </si>
  <si>
    <t>7790000002198</t>
  </si>
  <si>
    <t xml:space="preserve">BOLSA CAMISETA 40X50X60U           </t>
  </si>
  <si>
    <t>7790026000196</t>
  </si>
  <si>
    <t xml:space="preserve">BOBINA DE ARRANQUE 25X35X12U       </t>
  </si>
  <si>
    <t>ARRANQUE 20X30</t>
  </si>
  <si>
    <t>7790023000196</t>
  </si>
  <si>
    <t xml:space="preserve">BOBINA DE ARRANQUE 20X30X12U       </t>
  </si>
  <si>
    <t>7790000000272</t>
  </si>
  <si>
    <t>BANDEJA 101 PIM MICRO. COTNYL X100U</t>
  </si>
  <si>
    <t>7790022000196</t>
  </si>
  <si>
    <t xml:space="preserve">BOBINA DE ARRANQUE 50X70X12U       </t>
  </si>
  <si>
    <t>7790025000196</t>
  </si>
  <si>
    <t xml:space="preserve">BOBINA DE ARRANQUE 40X50X12U       </t>
  </si>
  <si>
    <t>ARRANQUE 40X60</t>
  </si>
  <si>
    <t>7790000000198</t>
  </si>
  <si>
    <t xml:space="preserve">BOLSA CAMISETA 40X50X9000UN        </t>
  </si>
  <si>
    <t>7790000000276</t>
  </si>
  <si>
    <t xml:space="preserve">BOLSA CAMISETA BIODEGRADABLE 50X60 </t>
  </si>
  <si>
    <t>7790021000196</t>
  </si>
  <si>
    <t xml:space="preserve">BOBINA DE ARRANQUE 40X60X12U       </t>
  </si>
  <si>
    <t>7798452810034</t>
  </si>
  <si>
    <t xml:space="preserve">GUANTES LATEX L X100U ALUMAX      </t>
  </si>
  <si>
    <t>7798452810027</t>
  </si>
  <si>
    <t xml:space="preserve">GUANTES LATEX M X100U ALUMAX      </t>
  </si>
  <si>
    <t>7798098701093</t>
  </si>
  <si>
    <t xml:space="preserve">CUCHARA SUNDAE KOVALPLAS X1000UN   </t>
  </si>
  <si>
    <t>7798011210053</t>
  </si>
  <si>
    <t xml:space="preserve">BANDEJA 103 MICRO COTNYL X100U     </t>
  </si>
  <si>
    <t>7798011210060</t>
  </si>
  <si>
    <t xml:space="preserve">TAPA BAND 103 MICRO COTNYL X50UN   </t>
  </si>
  <si>
    <t>7798011211043</t>
  </si>
  <si>
    <t xml:space="preserve">BANDEJA 103  X100U MICRO COTNYL    </t>
  </si>
  <si>
    <t>7790000000702</t>
  </si>
  <si>
    <t>GL GUANTES NITRILO X100U ALUMAX</t>
  </si>
  <si>
    <t>7790250000365</t>
  </si>
  <si>
    <t xml:space="preserve">SERVILLETAS S/H X1000UN ELITE      </t>
  </si>
  <si>
    <t>7798011210077</t>
  </si>
  <si>
    <t xml:space="preserve">BANDEJA 105 X100U COTNY            </t>
  </si>
  <si>
    <t>7798011210039</t>
  </si>
  <si>
    <t>GL BANDEJA 102 MICRO COTNYL X100U</t>
  </si>
  <si>
    <t>7790000000695</t>
  </si>
  <si>
    <t>GL SERVILLETAS SIMIL TELA SWISS X1600U</t>
  </si>
  <si>
    <t xml:space="preserve">7790000000233       </t>
  </si>
  <si>
    <t>2007189</t>
  </si>
  <si>
    <t>INDIV. GRANDE SWISS MEDICAL X1000UN</t>
  </si>
  <si>
    <t>7790000000713</t>
  </si>
  <si>
    <t xml:space="preserve">SERV SIMIL TELA S/LOGO X2000U      </t>
  </si>
  <si>
    <t>SERVILLETAS S/LOGO BAR. 27X33CM X1000UN</t>
  </si>
  <si>
    <t>SERVILLETAS BARMAN 24X24 CM X2000UN</t>
  </si>
  <si>
    <t>7790000000254</t>
  </si>
  <si>
    <t xml:space="preserve">VASO  MD PLASTIVAS 0,33 LT X100UN  </t>
  </si>
  <si>
    <t>17798038127096</t>
  </si>
  <si>
    <t xml:space="preserve">GL_VASO TERMICO 180CCX1000U ETISOL </t>
  </si>
  <si>
    <t>77896061975324</t>
  </si>
  <si>
    <t xml:space="preserve">SERVI INTER 21X11CM ELITE X18000U  </t>
  </si>
  <si>
    <t>7798188651727</t>
  </si>
  <si>
    <t xml:space="preserve">SERVILLETA S/LOGO 30X30X1000U      </t>
  </si>
  <si>
    <t>7790000000707</t>
  </si>
  <si>
    <t xml:space="preserve">SERVILLETA 33X21.5 HEALTH X1000UN  </t>
  </si>
  <si>
    <t>7790000000705</t>
  </si>
  <si>
    <t xml:space="preserve">SERVILLETA 33X21.5 C.GOURMET X1000 </t>
  </si>
  <si>
    <t>7790000000708</t>
  </si>
  <si>
    <t>SERV 33X21.5 BLUE CATTERING X1000UN</t>
  </si>
  <si>
    <t>798011214860</t>
  </si>
  <si>
    <t xml:space="preserve">BANDEJA 101 X100U COTNYL           </t>
  </si>
  <si>
    <t>0648260488628</t>
  </si>
  <si>
    <t xml:space="preserve">ESCARBADIENTES X500UN              </t>
  </si>
  <si>
    <t>714604111849</t>
  </si>
  <si>
    <t xml:space="preserve">CUCHARA SUNDAE BCA X1000U OASIS    </t>
  </si>
  <si>
    <t>7798161675702</t>
  </si>
  <si>
    <t xml:space="preserve">GL_GUANTE LATEX L X100UN EUROMIX   </t>
  </si>
  <si>
    <t>17790250912825</t>
  </si>
  <si>
    <t xml:space="preserve">SERVILLETA ELITE 16X21 X8400U      </t>
  </si>
  <si>
    <t>SERVILLETAS INTER 21x11CM ELITE X18000U</t>
  </si>
  <si>
    <t>7794459003066</t>
  </si>
  <si>
    <t xml:space="preserve">ROLLO ARRANQUE 50X70 X6U 1500GR    </t>
  </si>
  <si>
    <t>7795618000506</t>
  </si>
  <si>
    <t>ROLLO ARRANQUE 15X25 SONB 290GR X12</t>
  </si>
  <si>
    <t>7794459001383</t>
  </si>
  <si>
    <t xml:space="preserve">ROLLO ARRAN. 15 X 20 X12U 750GR    </t>
  </si>
  <si>
    <t>7790000000240</t>
  </si>
  <si>
    <t>ROLLO BOL ARRAN 25X35SONB 1.5KGX12U</t>
  </si>
  <si>
    <t>7798161678789</t>
  </si>
  <si>
    <t xml:space="preserve">BARBIJO C/ELAST TRICAPA X50U       </t>
  </si>
  <si>
    <t>71404111849</t>
  </si>
  <si>
    <t xml:space="preserve">CUCHARA DESC.SUNDAE X1000U         </t>
  </si>
  <si>
    <t>13069000A</t>
  </si>
  <si>
    <t xml:space="preserve">AGITADOR X1000U                    </t>
  </si>
  <si>
    <t>0736372273444</t>
  </si>
  <si>
    <t xml:space="preserve">ROLLO ALUM. 38CM 14MT 20MIC ALUMAX </t>
  </si>
  <si>
    <t>4968420500356</t>
  </si>
  <si>
    <t xml:space="preserve">GUANTES LATEX TALLE L X100U        </t>
  </si>
  <si>
    <t>7790000000472</t>
  </si>
  <si>
    <t xml:space="preserve">GL_VASO TERM 240CCX1000UN ETISOL   </t>
  </si>
  <si>
    <t>0754697508508</t>
  </si>
  <si>
    <t xml:space="preserve">GUANTE POLIPROPILENO X100U         </t>
  </si>
  <si>
    <t>GL ANTORCHITAS X24U</t>
  </si>
  <si>
    <t>GUANTES DESC.NITRILO NEGRO L TOPSAL 100U</t>
  </si>
  <si>
    <t>798011210077</t>
  </si>
  <si>
    <t xml:space="preserve">GL BANDEJA 105 X100U COTNYL MICRO  </t>
  </si>
  <si>
    <t>888277409203</t>
  </si>
  <si>
    <t xml:space="preserve">GUANTE NITRILO L X100U             </t>
  </si>
  <si>
    <t>Columna1</t>
  </si>
  <si>
    <t>CtroDistrib</t>
  </si>
  <si>
    <t>Empresa</t>
  </si>
  <si>
    <t>DescrNivelInt5</t>
  </si>
  <si>
    <t>Articulo</t>
  </si>
  <si>
    <t>Material SAP</t>
  </si>
  <si>
    <t>Fisico</t>
  </si>
  <si>
    <t>PendGuardar</t>
  </si>
  <si>
    <t>NoApto</t>
  </si>
  <si>
    <t>PedSinOP</t>
  </si>
  <si>
    <t>PendPreparar</t>
  </si>
  <si>
    <t>PendImportacion</t>
  </si>
  <si>
    <t>StockDisp</t>
  </si>
  <si>
    <t>Ean Normalizado</t>
  </si>
  <si>
    <t>UM producto</t>
  </si>
  <si>
    <t>Total</t>
  </si>
  <si>
    <t xml:space="preserve">CDM02 - MORENO 2              </t>
  </si>
  <si>
    <t xml:space="preserve">SERVICIOS ATLANTICO SA        </t>
  </si>
  <si>
    <t>MATE COCIDO SAQ S/TACC</t>
  </si>
  <si>
    <t xml:space="preserve">7790387800050       </t>
  </si>
  <si>
    <t xml:space="preserve">MATE COCIDO CLAS TARAGUI X25 SAQ   </t>
  </si>
  <si>
    <t xml:space="preserve">UNIDAD              </t>
  </si>
  <si>
    <t>YERBA MATE</t>
  </si>
  <si>
    <t xml:space="preserve">7790387014617       </t>
  </si>
  <si>
    <t xml:space="preserve">YERBA UNIÓN CON PALO X1000G        </t>
  </si>
  <si>
    <t xml:space="preserve">CDM03 - MORENO 3              </t>
  </si>
  <si>
    <t xml:space="preserve">TENEDOR </t>
  </si>
  <si>
    <t xml:space="preserve">7790000000251       </t>
  </si>
  <si>
    <t xml:space="preserve">CD MORENO                     </t>
  </si>
  <si>
    <t>PAN MIGNON SALVADO</t>
  </si>
  <si>
    <t xml:space="preserve">7792590005505       </t>
  </si>
  <si>
    <t xml:space="preserve">PAN MIGNON SALVADO CONG X267U      </t>
  </si>
  <si>
    <t xml:space="preserve">7790000000207       </t>
  </si>
  <si>
    <t xml:space="preserve">BOLSA RES AMARILL 60X90CM30MCX50UN </t>
  </si>
  <si>
    <t xml:space="preserve">PALLET              </t>
  </si>
  <si>
    <t>SANITIZANTE</t>
  </si>
  <si>
    <t xml:space="preserve">7798332280780       </t>
  </si>
  <si>
    <t xml:space="preserve">GL_DESINF LIQ FRU/HORT X5LT SPARCH </t>
  </si>
  <si>
    <t>BOLSAS ARRANQUE</t>
  </si>
  <si>
    <t xml:space="preserve">7794459001406       </t>
  </si>
  <si>
    <t xml:space="preserve">ROLLO ARRAN. 20 X 25 X12U 750GR    </t>
  </si>
  <si>
    <t>VASO TERMICO</t>
  </si>
  <si>
    <t xml:space="preserve">7790000000472       </t>
  </si>
  <si>
    <t>LENTEJAS SECAS</t>
  </si>
  <si>
    <t xml:space="preserve">7791476034059       </t>
  </si>
  <si>
    <t xml:space="preserve">LENTEJAS EGRAN BSA 5 KG XU         </t>
  </si>
  <si>
    <t xml:space="preserve">7790000000707       </t>
  </si>
  <si>
    <t>SERVILLETA DESC S/LOGO</t>
  </si>
  <si>
    <t xml:space="preserve">7798188651727       </t>
  </si>
  <si>
    <t>QUESO BARRA</t>
  </si>
  <si>
    <t xml:space="preserve">7790000000636       </t>
  </si>
  <si>
    <t xml:space="preserve">QUESO BARRA MD LA PAULINA  KG      </t>
  </si>
  <si>
    <t xml:space="preserve">Kgs                 </t>
  </si>
  <si>
    <t>CAJA NAVIDEÑA</t>
  </si>
  <si>
    <t xml:space="preserve">REG000007           </t>
  </si>
  <si>
    <t xml:space="preserve">CAJA NAVIDADEÑA XUN                </t>
  </si>
  <si>
    <t>TE BOLDO</t>
  </si>
  <si>
    <t xml:space="preserve">7790387001419       </t>
  </si>
  <si>
    <t xml:space="preserve">TE TARAGUI BOLDO 6X20              </t>
  </si>
  <si>
    <t>VINAGRE ALCOHOL</t>
  </si>
  <si>
    <t xml:space="preserve">7792378001477       </t>
  </si>
  <si>
    <t xml:space="preserve">VINAGRE ALCOHOL X5LT GUSTOSO       </t>
  </si>
  <si>
    <t>ALCOHOL EN GEL</t>
  </si>
  <si>
    <t xml:space="preserve">7798188650362       </t>
  </si>
  <si>
    <t xml:space="preserve">GL ALCOHOL EN GEL X 5 LT THAMES    </t>
  </si>
  <si>
    <t>FRANELA</t>
  </si>
  <si>
    <t xml:space="preserve">7798287511748       </t>
  </si>
  <si>
    <t xml:space="preserve">FRANELA XUN                        </t>
  </si>
  <si>
    <t>EDULCORANTE SOBRE GL SUPPORT</t>
  </si>
  <si>
    <t xml:space="preserve">7798011977390       </t>
  </si>
  <si>
    <t xml:space="preserve">EDULCORANTE SOB 8GR ABEDUL X400U   </t>
  </si>
  <si>
    <t>PULVERIZADORES C/GATILLO</t>
  </si>
  <si>
    <t xml:space="preserve">7790000000462       </t>
  </si>
  <si>
    <t xml:space="preserve">GL_GATILLOS PULV REFORZ MPROPIA    </t>
  </si>
  <si>
    <t xml:space="preserve">7896004009193       </t>
  </si>
  <si>
    <t xml:space="preserve">PAPAS FRIT.CREM/CEB. PRINGLES 40GR </t>
  </si>
  <si>
    <t xml:space="preserve">4001152             </t>
  </si>
  <si>
    <t xml:space="preserve">MANGO MD M.PROPIA  KG              </t>
  </si>
  <si>
    <t xml:space="preserve">7790387015317       </t>
  </si>
  <si>
    <t xml:space="preserve">YERBA MAÑANITA X1000G              </t>
  </si>
  <si>
    <t xml:space="preserve">7790000000508       </t>
  </si>
  <si>
    <t xml:space="preserve">GL_SUJETA MOPA XUN MPROPIA         </t>
  </si>
  <si>
    <t>BARBIJO DESCARTABLE</t>
  </si>
  <si>
    <t xml:space="preserve">7790000000195       </t>
  </si>
  <si>
    <t>BARBIJOS TRICAPA PR MARCA PROP X50U</t>
  </si>
  <si>
    <t xml:space="preserve">7790000000197       </t>
  </si>
  <si>
    <t>BOLSA CAMISETA BIO FECU 40X50X1500U</t>
  </si>
  <si>
    <t xml:space="preserve">4001223             </t>
  </si>
  <si>
    <t xml:space="preserve">TOMATE PERITA  KG                  </t>
  </si>
  <si>
    <t>BOLSA RESIDUO AZUL</t>
  </si>
  <si>
    <t xml:space="preserve">7790000000481       </t>
  </si>
  <si>
    <t xml:space="preserve">GL_BOLSA RESIDUO AZUL 60X90CMX50UN </t>
  </si>
  <si>
    <t>DISCO LIMPIEZA</t>
  </si>
  <si>
    <t xml:space="preserve">LIM000505           </t>
  </si>
  <si>
    <t xml:space="preserve">GL_PA#O NEGRO P/PISO 17 XUN        </t>
  </si>
  <si>
    <t>MANTEL LOGO HEALTH</t>
  </si>
  <si>
    <t xml:space="preserve">7790000000235       </t>
  </si>
  <si>
    <t xml:space="preserve">INDIVIDIDUAL HEALTH X1000          </t>
  </si>
  <si>
    <t xml:space="preserve">7795618000193       </t>
  </si>
  <si>
    <t>ROLLO ARRANQUE 20X25 SONB 750GRX12U</t>
  </si>
  <si>
    <t>BOLSA RESIDUO</t>
  </si>
  <si>
    <t xml:space="preserve">7790000000478       </t>
  </si>
  <si>
    <t xml:space="preserve">GL_BOLSA CESTO BLANCA 45X60X50UN   </t>
  </si>
  <si>
    <t xml:space="preserve">BOLSA RESIDUO AMARRILLA </t>
  </si>
  <si>
    <t xml:space="preserve">7790000000465       </t>
  </si>
  <si>
    <t>GL_BOLSA RESID AMLLA 90X110X50UX30M</t>
  </si>
  <si>
    <t xml:space="preserve">7790000000216       </t>
  </si>
  <si>
    <t>BOLSA RES. VERD 110X120CM40MIC X50U</t>
  </si>
  <si>
    <t xml:space="preserve">4001155             </t>
  </si>
  <si>
    <t xml:space="preserve">MELON BLANCO  KG                   </t>
  </si>
  <si>
    <t xml:space="preserve">4001142             </t>
  </si>
  <si>
    <t xml:space="preserve">ANANA  KG                          </t>
  </si>
  <si>
    <t xml:space="preserve">9992014501035       </t>
  </si>
  <si>
    <t>TOALLA ROLLO BLANCA ECOLO 200MTX4UN</t>
  </si>
  <si>
    <t>POSTRE DE MANI</t>
  </si>
  <si>
    <t xml:space="preserve">7792860005655       </t>
  </si>
  <si>
    <t xml:space="preserve">POSTRE DE MANI X110GR              </t>
  </si>
  <si>
    <t>TE ENSOB FRUTAS ROJAS</t>
  </si>
  <si>
    <t xml:space="preserve">7790387013252       </t>
  </si>
  <si>
    <t xml:space="preserve">TE FRUTAS ROJAS TARAGUI X20 SAQ    </t>
  </si>
  <si>
    <t xml:space="preserve">7790000000192       </t>
  </si>
  <si>
    <t>BANDEJA 102 RECT NEGRA COTNYL X100U</t>
  </si>
  <si>
    <t xml:space="preserve">7790000000210       </t>
  </si>
  <si>
    <t xml:space="preserve">BOLSA RES. NEG 120X130CM60MIC X50U </t>
  </si>
  <si>
    <t>TAPA BOWL BIODEGRADABLE</t>
  </si>
  <si>
    <t xml:space="preserve">7790000000835       </t>
  </si>
  <si>
    <t xml:space="preserve">TAPA BOWL BIO BAJA 960CC X600U     </t>
  </si>
  <si>
    <t>ROLLO DE PAPEL PARA DISPENSER</t>
  </si>
  <si>
    <t xml:space="preserve">7790000000758       </t>
  </si>
  <si>
    <t xml:space="preserve">BOBINA 300MX2U HS 2.4KG            </t>
  </si>
  <si>
    <t>MOPA</t>
  </si>
  <si>
    <t xml:space="preserve">7790000000468       </t>
  </si>
  <si>
    <t xml:space="preserve">GL_MOPIN ROJO XUN MARCA PROPIA     </t>
  </si>
  <si>
    <t>SIDRA S/ALCOHOL</t>
  </si>
  <si>
    <t xml:space="preserve">7790000000213       </t>
  </si>
  <si>
    <t xml:space="preserve">BOLSA RES. NEG 90X110CM40MIC X50U  </t>
  </si>
  <si>
    <t xml:space="preserve">7790000000476       </t>
  </si>
  <si>
    <t xml:space="preserve">GL_ARMAZON PARA MOPA X 80CM        </t>
  </si>
  <si>
    <t xml:space="preserve">7790520025746       </t>
  </si>
  <si>
    <t>GL_INSECTICIDA AERO P/HORM RAID 360</t>
  </si>
  <si>
    <t xml:space="preserve">7790000000505       </t>
  </si>
  <si>
    <t xml:space="preserve">GL_BOLSA CONS BCA 80X100X50UN MPR  </t>
  </si>
  <si>
    <t>HUEVO EN POLVO</t>
  </si>
  <si>
    <t xml:space="preserve">7790000000617       </t>
  </si>
  <si>
    <t xml:space="preserve">HUEVO ENT POLVOBOLSA X25KG         </t>
  </si>
  <si>
    <t>SERVILLETA INTERC S/LOGO</t>
  </si>
  <si>
    <t xml:space="preserve">17790250912825      </t>
  </si>
  <si>
    <t xml:space="preserve">7798011210046       </t>
  </si>
  <si>
    <t xml:space="preserve">TAPA BAND. 102 MICR. COTNYL X50UN  </t>
  </si>
  <si>
    <t xml:space="preserve">4001211             </t>
  </si>
  <si>
    <t xml:space="preserve">PIMIENTO AMARILLO  KG              </t>
  </si>
  <si>
    <t xml:space="preserve">7790387015324       </t>
  </si>
  <si>
    <t xml:space="preserve">YERBA MAÑANITA X500G               </t>
  </si>
  <si>
    <t xml:space="preserve">4001193             </t>
  </si>
  <si>
    <t xml:space="preserve">CIBOULETTE  KG                     </t>
  </si>
  <si>
    <t>AGITADOR</t>
  </si>
  <si>
    <t xml:space="preserve">13069000A           </t>
  </si>
  <si>
    <t>PAPEL ALUMINIO</t>
  </si>
  <si>
    <t xml:space="preserve">0736372273444       </t>
  </si>
  <si>
    <t>SAL FINA INDIVIDUAL GL SUPPORT</t>
  </si>
  <si>
    <t xml:space="preserve">7798011977420       </t>
  </si>
  <si>
    <t xml:space="preserve">SAL SOB 5GR GL SUPPORT 1000U       </t>
  </si>
  <si>
    <t xml:space="preserve">7798090050427       </t>
  </si>
  <si>
    <t xml:space="preserve">DETERGENTE P/MAQ SUPERPLUS 24KG    </t>
  </si>
  <si>
    <t>PAN RALLADO</t>
  </si>
  <si>
    <t xml:space="preserve">7791990000059       </t>
  </si>
  <si>
    <t xml:space="preserve">PAN RALLADO X5KG ROSA BLANCA       </t>
  </si>
  <si>
    <t xml:space="preserve">7795618000094       </t>
  </si>
  <si>
    <t>ROLLO ARRANQUE 15X20 SONB 290GRX12U</t>
  </si>
  <si>
    <t>DESENGRASANTE</t>
  </si>
  <si>
    <t xml:space="preserve">7798188650515       </t>
  </si>
  <si>
    <t xml:space="preserve">DESENG.RAPID PLUS 5L SENASA THAMES </t>
  </si>
  <si>
    <t xml:space="preserve">4002219             </t>
  </si>
  <si>
    <t xml:space="preserve">JENGIBRE  MD MARCA PROPIA          </t>
  </si>
  <si>
    <t xml:space="preserve">7790000000247       </t>
  </si>
  <si>
    <t xml:space="preserve">TAPA BAND. 103 MICR. COTNYL X100UN </t>
  </si>
  <si>
    <t xml:space="preserve">0648260488628       </t>
  </si>
  <si>
    <t>TRAPO REJILLA</t>
  </si>
  <si>
    <t xml:space="preserve">7798035491049       </t>
  </si>
  <si>
    <t xml:space="preserve">GL_TRAPO REJILLA XUN MPROP         </t>
  </si>
  <si>
    <t>RESINITE PVC</t>
  </si>
  <si>
    <t xml:space="preserve">7790000000227       </t>
  </si>
  <si>
    <t xml:space="preserve">FILM PVC 30 CM  2,645 KG X1UN      </t>
  </si>
  <si>
    <t>PANADERIA CONGELADA</t>
  </si>
  <si>
    <t xml:space="preserve">17792180005950      </t>
  </si>
  <si>
    <t xml:space="preserve">PANAL MEMBR CONG 50GX72U CANUELAS  </t>
  </si>
  <si>
    <t xml:space="preserve">GARRAPIÑADA </t>
  </si>
  <si>
    <t xml:space="preserve">7790380037705       </t>
  </si>
  <si>
    <t xml:space="preserve">GARRAPIÑADA MANI X80GR GEORGALOS   </t>
  </si>
  <si>
    <t xml:space="preserve">7790000000202       </t>
  </si>
  <si>
    <t>BOLSA CRIST VIRG 90X110CM40MIC X50U</t>
  </si>
  <si>
    <t xml:space="preserve">7798362410546       </t>
  </si>
  <si>
    <t xml:space="preserve">COFIAS DESCARTABLES MPROPIA X100UN </t>
  </si>
  <si>
    <t>CAFE SAQUITO</t>
  </si>
  <si>
    <t xml:space="preserve">7792360094968       </t>
  </si>
  <si>
    <t xml:space="preserve">CAFE SOBRE 18UX5GR BONAFIDE        </t>
  </si>
  <si>
    <t xml:space="preserve">7790000000713       </t>
  </si>
  <si>
    <t xml:space="preserve">7798012211091       </t>
  </si>
  <si>
    <t xml:space="preserve">GL_PLUMERO GLOBO XUN MPROP         </t>
  </si>
  <si>
    <t>PAÑO MICROFIBRA</t>
  </si>
  <si>
    <t xml:space="preserve">7790000000459       </t>
  </si>
  <si>
    <t xml:space="preserve">GL_PANO MICROF.MULT AZUL CLEANTEX  </t>
  </si>
  <si>
    <t>ACEITE MAIZ INDIV</t>
  </si>
  <si>
    <t xml:space="preserve">7798011976461       </t>
  </si>
  <si>
    <t xml:space="preserve">ACEITE MAIZ 8CC X198U ABEDUL       </t>
  </si>
  <si>
    <t xml:space="preserve">4004650             </t>
  </si>
  <si>
    <t xml:space="preserve">ZAPALLO KABUTIA  KG                </t>
  </si>
  <si>
    <t>BAND 102</t>
  </si>
  <si>
    <t xml:space="preserve">7790000000379       </t>
  </si>
  <si>
    <t>BANDEJA 102 BIODEG. X 1400U MARCA P</t>
  </si>
  <si>
    <t xml:space="preserve">7790000000404       </t>
  </si>
  <si>
    <t xml:space="preserve">PANERA OVALADA PLASTICA MPROP XU   </t>
  </si>
  <si>
    <t xml:space="preserve">7798090052551       </t>
  </si>
  <si>
    <t xml:space="preserve">DESENGRAS ALCALINO 210 X5LTX4UNI   </t>
  </si>
  <si>
    <t xml:space="preserve">BULTOS              </t>
  </si>
  <si>
    <t>BAND 101</t>
  </si>
  <si>
    <t xml:space="preserve">798011214860        </t>
  </si>
  <si>
    <t xml:space="preserve">7790000000219       </t>
  </si>
  <si>
    <t xml:space="preserve">BSA COMPACT MD   80X100 40MICX50U  </t>
  </si>
  <si>
    <t xml:space="preserve">7790000000651       </t>
  </si>
  <si>
    <t>GL_EST P/POCHOCLOS PDST290 XUN MPRO</t>
  </si>
  <si>
    <t>FIDEOS SOPEROS</t>
  </si>
  <si>
    <t xml:space="preserve">7790070318374       </t>
  </si>
  <si>
    <t xml:space="preserve">FIDEO AVE MARIA 500GR LUCHETTI     </t>
  </si>
  <si>
    <t xml:space="preserve">7798011210039       </t>
  </si>
  <si>
    <t xml:space="preserve">BANDEJA 102 MICRO COTNYL X100U     </t>
  </si>
  <si>
    <t xml:space="preserve">7790000000206       </t>
  </si>
  <si>
    <t>BOLSA RESIDUO 60X9030MIC NEGRASX50U</t>
  </si>
  <si>
    <t>GUANTE POLIPROPILENO</t>
  </si>
  <si>
    <t xml:space="preserve">0754697508508       </t>
  </si>
  <si>
    <t xml:space="preserve">4001157             </t>
  </si>
  <si>
    <t xml:space="preserve">PERA COMERCIAL  KG                 </t>
  </si>
  <si>
    <t xml:space="preserve">4001129             </t>
  </si>
  <si>
    <t>MANZ.GRANNY SMITH ELEGIDA N# 100 KG</t>
  </si>
  <si>
    <t>REPUESTO DE MOPA</t>
  </si>
  <si>
    <t xml:space="preserve">7790000000513       </t>
  </si>
  <si>
    <t>GL_MOPA SECA ACRIL PRO 80CM XUN MPR</t>
  </si>
  <si>
    <t xml:space="preserve">4001201             </t>
  </si>
  <si>
    <t xml:space="preserve">LECHUGA CRIOLLA  KG                </t>
  </si>
  <si>
    <t xml:space="preserve">7790000000466       </t>
  </si>
  <si>
    <t xml:space="preserve">GL_BOLSAS RESID AZUL 90X110X50UN   </t>
  </si>
  <si>
    <t xml:space="preserve">7790000000674       </t>
  </si>
  <si>
    <t>GL PAPEL PARAFI 30X40 CUADRITOS X10</t>
  </si>
  <si>
    <t xml:space="preserve">4001946             </t>
  </si>
  <si>
    <t xml:space="preserve">MELON AMARILLO KG                  </t>
  </si>
  <si>
    <t>VIANDA PARA CELIACOS</t>
  </si>
  <si>
    <t xml:space="preserve">7790000000320       </t>
  </si>
  <si>
    <t xml:space="preserve">BOLSA RESIDUO VERDE 110X120        </t>
  </si>
  <si>
    <t xml:space="preserve">4001154             </t>
  </si>
  <si>
    <t xml:space="preserve">MANZANA RED COMERCIAL KG           </t>
  </si>
  <si>
    <t xml:space="preserve">07798090058980      </t>
  </si>
  <si>
    <t>DETERG. DESENG. FORTE SUTTER 5K X4U</t>
  </si>
  <si>
    <t xml:space="preserve">4001207             </t>
  </si>
  <si>
    <t xml:space="preserve">PALTA  KG                          </t>
  </si>
  <si>
    <t xml:space="preserve">ESCOBILLON  </t>
  </si>
  <si>
    <t xml:space="preserve">67798152430299      </t>
  </si>
  <si>
    <t xml:space="preserve">ESCOBILLON FRANCES PLAST 80CM      </t>
  </si>
  <si>
    <t xml:space="preserve">7798095841310       </t>
  </si>
  <si>
    <t xml:space="preserve">GL_REVIVIDOR DE GOMAS ZELNOVA 5LT  </t>
  </si>
  <si>
    <t xml:space="preserve">4001216             </t>
  </si>
  <si>
    <t xml:space="preserve">RADICHETA  KG                      </t>
  </si>
  <si>
    <t>PAPEL HIGIENICO</t>
  </si>
  <si>
    <t xml:space="preserve">7790250061137       </t>
  </si>
  <si>
    <t xml:space="preserve">GL_PAPEL HIG S/H 300MTX4U ELITE    </t>
  </si>
  <si>
    <t xml:space="preserve">7790000000467       </t>
  </si>
  <si>
    <t xml:space="preserve">GL_ARMAZON PARA MOPA X100CM        </t>
  </si>
  <si>
    <t xml:space="preserve">9992017900491       </t>
  </si>
  <si>
    <t xml:space="preserve">ROLLO ALUM. 28CM 4.2MT 9MIC ALUMAX </t>
  </si>
  <si>
    <t>DESINFECTANTE</t>
  </si>
  <si>
    <t xml:space="preserve">7798057860489       </t>
  </si>
  <si>
    <t xml:space="preserve">LAVANDINA END BAC II 5LX4UN        </t>
  </si>
  <si>
    <t xml:space="preserve">7798012210311       </t>
  </si>
  <si>
    <t>GL_BALDE PLAST 15LT C/ESCURRID MPRO</t>
  </si>
  <si>
    <t>TE SOBRE MANZ Y CANELA</t>
  </si>
  <si>
    <t xml:space="preserve">7790387013306       </t>
  </si>
  <si>
    <t xml:space="preserve">TE MANZ CAN Y MIELTARAGUI X20 SAQ  </t>
  </si>
  <si>
    <t xml:space="preserve">7794990866069       </t>
  </si>
  <si>
    <t>GL LECHE POLVO S/TACC MOLFINO 25 KG</t>
  </si>
  <si>
    <t xml:space="preserve">7798011977413       </t>
  </si>
  <si>
    <t xml:space="preserve">SAL SOB 5GR CHEF GOURMET 1000U     </t>
  </si>
  <si>
    <t>BANDEJA 105 CUADRADA</t>
  </si>
  <si>
    <t xml:space="preserve">798011210077        </t>
  </si>
  <si>
    <t xml:space="preserve">7790520995285       </t>
  </si>
  <si>
    <t xml:space="preserve">GL_DESINFEC AER LYSOFORM 0.36L     </t>
  </si>
  <si>
    <t>MANI CON CHOCOLATE</t>
  </si>
  <si>
    <t xml:space="preserve">7792360097112       </t>
  </si>
  <si>
    <t xml:space="preserve">MANI BAÑADO CHOCO X80G             </t>
  </si>
  <si>
    <t xml:space="preserve">7798287510833       </t>
  </si>
  <si>
    <t xml:space="preserve">ARMAZON P/MOPA 1MT                 </t>
  </si>
  <si>
    <t xml:space="preserve">992014500205        </t>
  </si>
  <si>
    <t>TOALLA PAP INTER BEIGE VYMAT X2000U</t>
  </si>
  <si>
    <t xml:space="preserve">7790387014624       </t>
  </si>
  <si>
    <t xml:space="preserve">YERBA UNIÓN CON PALO X500G         </t>
  </si>
  <si>
    <t>FILET MERLUZA CONGELADA</t>
  </si>
  <si>
    <t xml:space="preserve">7798221742566       </t>
  </si>
  <si>
    <t xml:space="preserve">FILET MERLUZA IQF X6KG             </t>
  </si>
  <si>
    <t xml:space="preserve">7790387015331       </t>
  </si>
  <si>
    <t xml:space="preserve">YERBA MAÑANITA X250G               </t>
  </si>
  <si>
    <t xml:space="preserve">7790387001785       </t>
  </si>
  <si>
    <t xml:space="preserve">TE VERDE TARAGUI X20 SAQ           </t>
  </si>
  <si>
    <t>ARROZ PARBOIL</t>
  </si>
  <si>
    <t xml:space="preserve">7790503000029       </t>
  </si>
  <si>
    <t xml:space="preserve">ARROZ PARBOIL X 5K DOS HERMA       </t>
  </si>
  <si>
    <t xml:space="preserve">7792180007988       </t>
  </si>
  <si>
    <t xml:space="preserve">ACEITE DE GIRASOL CA#UELAS 5 LT XU </t>
  </si>
  <si>
    <t xml:space="preserve">7790000000220       </t>
  </si>
  <si>
    <t xml:space="preserve">BSA COMPACT MD   80X100 50 MICX50U </t>
  </si>
  <si>
    <t xml:space="preserve">7790000000205       </t>
  </si>
  <si>
    <t xml:space="preserve">BOLSA PARA CESTO 50X70CM X50UN     </t>
  </si>
  <si>
    <t>CARNE ENTERA CONGELADA</t>
  </si>
  <si>
    <t xml:space="preserve">7790000000622       </t>
  </si>
  <si>
    <t xml:space="preserve">GL LOMO CONG ENV.AL VACIO XKG      </t>
  </si>
  <si>
    <t xml:space="preserve">7794459003066       </t>
  </si>
  <si>
    <t xml:space="preserve">4001225             </t>
  </si>
  <si>
    <t xml:space="preserve">TOMILLO FRESCO  KG                 </t>
  </si>
  <si>
    <t>LIMPIADOR DESINFECTANTE VIODEX</t>
  </si>
  <si>
    <t xml:space="preserve">7798057860274       </t>
  </si>
  <si>
    <t xml:space="preserve">GL_LIMPIADOR STRIDE X5LT DIVERSEY  </t>
  </si>
  <si>
    <t xml:space="preserve">17798038127119      </t>
  </si>
  <si>
    <t>VASO TERMICO MD ESTISOL 0,3LTX1000U</t>
  </si>
  <si>
    <t xml:space="preserve">7790000000506       </t>
  </si>
  <si>
    <t>GL_BOLSA RESID BCA 60X90X50UN 30MIC</t>
  </si>
  <si>
    <t>MANTEL LOGO GL</t>
  </si>
  <si>
    <t xml:space="preserve">7790000000231       </t>
  </si>
  <si>
    <t xml:space="preserve">INDIVIDUAL GL SUPPORT X1000        </t>
  </si>
  <si>
    <t>MATE COCIDO SOB S/TACC</t>
  </si>
  <si>
    <t xml:space="preserve">7790387010046       </t>
  </si>
  <si>
    <t xml:space="preserve">MATE COCIDO TARAGUI ENSOB X40G     </t>
  </si>
  <si>
    <t xml:space="preserve">4001218             </t>
  </si>
  <si>
    <t xml:space="preserve">REPOLLO BLANCO  KG                 </t>
  </si>
  <si>
    <t>TRAPOS DE PISO</t>
  </si>
  <si>
    <t xml:space="preserve">7798349550012       </t>
  </si>
  <si>
    <t xml:space="preserve">TRAPO DE PISO GRIS X U             </t>
  </si>
  <si>
    <t>GUANTE NITRILO</t>
  </si>
  <si>
    <t xml:space="preserve">888277409203        </t>
  </si>
  <si>
    <t>BALDE PRENSAMOPA</t>
  </si>
  <si>
    <t xml:space="preserve">67792205205926      </t>
  </si>
  <si>
    <t>GL_BALDE ESCURR/RUEDAS AZUL ITALIMP</t>
  </si>
  <si>
    <t>LECHE POLVO DESC INDIV</t>
  </si>
  <si>
    <t xml:space="preserve">7798011976300       </t>
  </si>
  <si>
    <t>LECHE POLV IND DESCX 5G X100 ABEDUL</t>
  </si>
  <si>
    <t xml:space="preserve">4001148             </t>
  </si>
  <si>
    <t xml:space="preserve">KIWI  KG                           </t>
  </si>
  <si>
    <t xml:space="preserve">7790000000237       </t>
  </si>
  <si>
    <t xml:space="preserve">INDIVIDUAL FINOCHIETTO  X1000UN    </t>
  </si>
  <si>
    <t xml:space="preserve">7790000000477       </t>
  </si>
  <si>
    <t xml:space="preserve">GL_BOLSA CESTO 60X90X50UN          </t>
  </si>
  <si>
    <t>ALCOHOL LIQ</t>
  </si>
  <si>
    <t xml:space="preserve">7790139101039       </t>
  </si>
  <si>
    <t xml:space="preserve">ALCOHOL 70% 5LT BIALCOHOL          </t>
  </si>
  <si>
    <t xml:space="preserve">7790250062837       </t>
  </si>
  <si>
    <t xml:space="preserve">TOALLA PAPEL INTERC.BCA.X10 ELITE  </t>
  </si>
  <si>
    <t>BALLERINA</t>
  </si>
  <si>
    <t xml:space="preserve">7796322010270       </t>
  </si>
  <si>
    <t xml:space="preserve">GL_ BALLERINA AMARILLA XUN MPROP   </t>
  </si>
  <si>
    <t>SECADOR LIMPIA VIDRIOS</t>
  </si>
  <si>
    <t xml:space="preserve">7790000000507       </t>
  </si>
  <si>
    <t>GL_LAVASECAVIDRIO 25CM XUN MAPROPIA</t>
  </si>
  <si>
    <t xml:space="preserve">77896061975324      </t>
  </si>
  <si>
    <t xml:space="preserve">77922052059330      </t>
  </si>
  <si>
    <t>GL_BALDE ESCURR/RUEDAS RJO ITALIMPI</t>
  </si>
  <si>
    <t xml:space="preserve">7790000000234       </t>
  </si>
  <si>
    <t>INDIV HOSP.BRITANICO 25X35CM X1000U</t>
  </si>
  <si>
    <t xml:space="preserve">4001986             </t>
  </si>
  <si>
    <t xml:space="preserve">MANDARINA  KG                      </t>
  </si>
  <si>
    <t xml:space="preserve">4001226             </t>
  </si>
  <si>
    <t xml:space="preserve">ZANAHORIA MD M.PROPIA  KG          </t>
  </si>
  <si>
    <t>MANTEL LOGO FINO</t>
  </si>
  <si>
    <t xml:space="preserve">7790000000488       </t>
  </si>
  <si>
    <t>GL_MANTEL INDIV FINOCH RECOM X1000U</t>
  </si>
  <si>
    <t>CEPILLOS LIMPIEZA</t>
  </si>
  <si>
    <t xml:space="preserve">7792205061889       </t>
  </si>
  <si>
    <t xml:space="preserve">GL_CEPILLO BARREND XUN AZUL MPROP  </t>
  </si>
  <si>
    <t xml:space="preserve">7790387014631       </t>
  </si>
  <si>
    <t xml:space="preserve">YERBA UNIÓN CON PALO X250G         </t>
  </si>
  <si>
    <t xml:space="preserve">7790000000232       </t>
  </si>
  <si>
    <t>INDIV SWISS MEDICAL LIQUIDOS X1000U</t>
  </si>
  <si>
    <t xml:space="preserve">7790000000240       </t>
  </si>
  <si>
    <t xml:space="preserve">4001131             </t>
  </si>
  <si>
    <t xml:space="preserve">MANZANA RED ELEGIDA N# 72 KG       </t>
  </si>
  <si>
    <t>LIMPIADOR DESINFECTANTE</t>
  </si>
  <si>
    <t xml:space="preserve">7798332280100       </t>
  </si>
  <si>
    <t xml:space="preserve">GL_CLEAN BY PEROXY 4UX5LT SPARTAN  </t>
  </si>
  <si>
    <t xml:space="preserve">7790000000460       </t>
  </si>
  <si>
    <t xml:space="preserve">GL_PANO MICROF.MULT  ROJO CLEANTEX </t>
  </si>
  <si>
    <t xml:space="preserve">7896004009186       </t>
  </si>
  <si>
    <t xml:space="preserve">PAPAS FRITAS TRAD. PRINGLES 40GR   </t>
  </si>
  <si>
    <t xml:space="preserve">7790000000249       </t>
  </si>
  <si>
    <t>TAPA BANDEJA 121 MICRO COTNYL X100U</t>
  </si>
  <si>
    <t xml:space="preserve">7798188650423       </t>
  </si>
  <si>
    <t xml:space="preserve">DESENGRASANTE HI-POWER 5L          </t>
  </si>
  <si>
    <t>SECUESTRANTE</t>
  </si>
  <si>
    <t xml:space="preserve">7798332280117       </t>
  </si>
  <si>
    <t>GL_LIMPIADOR POL LIMP AC/INOX SPART</t>
  </si>
  <si>
    <t>KETCHUP INDIV</t>
  </si>
  <si>
    <t xml:space="preserve">7798011976614       </t>
  </si>
  <si>
    <t xml:space="preserve">KETCHUP IND 8CC X198U ABEDUL       </t>
  </si>
  <si>
    <t xml:space="preserve">4001181             </t>
  </si>
  <si>
    <t xml:space="preserve">ANCO  KG                           </t>
  </si>
  <si>
    <t>TE ENSOB LIMON Y MIEL</t>
  </si>
  <si>
    <t xml:space="preserve">7790387800203       </t>
  </si>
  <si>
    <t>TE LIMON MIEL Y JENG TARAGUI X20 SA</t>
  </si>
  <si>
    <t>CABOS ALUMINIO</t>
  </si>
  <si>
    <t xml:space="preserve">7792205105224       </t>
  </si>
  <si>
    <t xml:space="preserve">GL_CABO ALUM 1.40MTXUN VERDE MPROP </t>
  </si>
  <si>
    <t>TE MANZANILLA</t>
  </si>
  <si>
    <t xml:space="preserve">7790387001426       </t>
  </si>
  <si>
    <t xml:space="preserve">TE TARAGUI MANZANILLA 6X20         </t>
  </si>
  <si>
    <t xml:space="preserve">17798038127096      </t>
  </si>
  <si>
    <t xml:space="preserve">7790000000199       </t>
  </si>
  <si>
    <t>BOLSA CRIST VIRG 45X60CM30MICX1000U</t>
  </si>
  <si>
    <t xml:space="preserve">4001199             </t>
  </si>
  <si>
    <t xml:space="preserve">HINOJO  KG                         </t>
  </si>
  <si>
    <t xml:space="preserve">7798411013148       </t>
  </si>
  <si>
    <t xml:space="preserve">TURRON MANI X80GR                  </t>
  </si>
  <si>
    <t xml:space="preserve">7790387013627       </t>
  </si>
  <si>
    <t xml:space="preserve">YERBA TARAGUI CON PALO X500G       </t>
  </si>
  <si>
    <t xml:space="preserve">7790000000483       </t>
  </si>
  <si>
    <t xml:space="preserve">GL_MOPIN AZUL XUN MARCA PROPIA     </t>
  </si>
  <si>
    <t xml:space="preserve">7790000000241       </t>
  </si>
  <si>
    <t xml:space="preserve">ROLLO ARRANQ 40X60 ALEGRA 660GX12U </t>
  </si>
  <si>
    <t xml:space="preserve">7798057860045       </t>
  </si>
  <si>
    <t>GL ESPUMA LIMPLEM 360CC X12U DIVERS</t>
  </si>
  <si>
    <t xml:space="preserve">7790000000255       </t>
  </si>
  <si>
    <t xml:space="preserve">VASO MD BELLA CUP 0.165 LT X3000UN </t>
  </si>
  <si>
    <t>BOLSAS RESIDUO 30 MICRO VERDES</t>
  </si>
  <si>
    <t xml:space="preserve">7790321000060       </t>
  </si>
  <si>
    <t xml:space="preserve">BOLSA RESIDUO VERDE 90X110X50U     </t>
  </si>
  <si>
    <t>TE TILO</t>
  </si>
  <si>
    <t xml:space="preserve">7790387001433       </t>
  </si>
  <si>
    <t xml:space="preserve">TE TARAGUI TILO 6X20               </t>
  </si>
  <si>
    <t xml:space="preserve">7790387800081       </t>
  </si>
  <si>
    <t xml:space="preserve">MATE COCIDO UNION X25 SAQ          </t>
  </si>
  <si>
    <t xml:space="preserve">7790000000458       </t>
  </si>
  <si>
    <t xml:space="preserve">GL_PANO MICROF AMAR CLEANTEX       </t>
  </si>
  <si>
    <t>PAPAS BASTON CONGELADAS</t>
  </si>
  <si>
    <t xml:space="preserve">7798302800079       </t>
  </si>
  <si>
    <t xml:space="preserve">PAPAS CONGELADAS BASTON BOL 2.5KG  </t>
  </si>
  <si>
    <t>CUCHILLOS</t>
  </si>
  <si>
    <t xml:space="preserve">714604111788        </t>
  </si>
  <si>
    <t xml:space="preserve">CUCHILLOS DESCARTABLES X1000U      </t>
  </si>
  <si>
    <t xml:space="preserve">9992017901825       </t>
  </si>
  <si>
    <t>SERVILLETAS H.BRITANICO 33X33X1000U</t>
  </si>
  <si>
    <t xml:space="preserve">7798057869413       </t>
  </si>
  <si>
    <t>DES.PISO FLASH CHERRY X4U 5L JOHNSO</t>
  </si>
  <si>
    <t xml:space="preserve">7798161678789       </t>
  </si>
  <si>
    <t xml:space="preserve">17792180006117      </t>
  </si>
  <si>
    <t xml:space="preserve">FACTURA PANAL BATATA CA#UELAS CAJA </t>
  </si>
  <si>
    <t>LIMPIADOR VIDRIOS</t>
  </si>
  <si>
    <t xml:space="preserve">7798057869604       </t>
  </si>
  <si>
    <t>GL LIMPIAVIDRIOS VIEW 5L X4U JOHNSO</t>
  </si>
  <si>
    <t>MAYONESA INDIVIDUAL</t>
  </si>
  <si>
    <t xml:space="preserve">7798011976591       </t>
  </si>
  <si>
    <t xml:space="preserve">MAYONESA IND 8CC  X198U ABEDUL     </t>
  </si>
  <si>
    <t>BAND 103</t>
  </si>
  <si>
    <t xml:space="preserve">7798011211043       </t>
  </si>
  <si>
    <t>GUANTE LATEX</t>
  </si>
  <si>
    <t xml:space="preserve">7798452810027       </t>
  </si>
  <si>
    <t xml:space="preserve">GUANTES LATEX M X100U ALUMAX       </t>
  </si>
  <si>
    <t>EDULCORANTE SOBRE</t>
  </si>
  <si>
    <t xml:space="preserve">7798011976010       </t>
  </si>
  <si>
    <t xml:space="preserve">EDULCORANTE 8G X 400 SOB ABEDUL    </t>
  </si>
  <si>
    <t>DESODORANTE DE PISO</t>
  </si>
  <si>
    <t xml:space="preserve">7798090050038       </t>
  </si>
  <si>
    <t>DESOD PISO LIQ. CHERRRY SUTTER 5L X</t>
  </si>
  <si>
    <t xml:space="preserve">7790000000461       </t>
  </si>
  <si>
    <t xml:space="preserve">GL_PANO MICROF.MULT VERDE CLEANTEX </t>
  </si>
  <si>
    <t xml:space="preserve">7790000000509       </t>
  </si>
  <si>
    <t>GL_BOLSA CARAM 60X90X50U 30MC MPROP</t>
  </si>
  <si>
    <t>TE HIERBAS</t>
  </si>
  <si>
    <t xml:space="preserve">7790387001440       </t>
  </si>
  <si>
    <t xml:space="preserve">TE TARAGUI MEZCLA HIERBAS 6X20     </t>
  </si>
  <si>
    <t xml:space="preserve">7798188651109       </t>
  </si>
  <si>
    <t xml:space="preserve">GL_ALCOHOL AL 70 % X 1 LT CLP      </t>
  </si>
  <si>
    <t>PEPAS</t>
  </si>
  <si>
    <t xml:space="preserve">7798048730722       </t>
  </si>
  <si>
    <t xml:space="preserve">GALL.FRUTILLA 160G DELIC NONA MINI </t>
  </si>
  <si>
    <t xml:space="preserve">7790000000245       </t>
  </si>
  <si>
    <t>SERVILLETAS S.MEDICAL 18X18 X2000UN</t>
  </si>
  <si>
    <t>MERMELADA IND CIRUELA</t>
  </si>
  <si>
    <t xml:space="preserve">7798011976690       </t>
  </si>
  <si>
    <t xml:space="preserve">MERMELADA CIRUE IND MD ABEDUL 120U </t>
  </si>
  <si>
    <t xml:space="preserve">4968420500356       </t>
  </si>
  <si>
    <t xml:space="preserve">4016736             </t>
  </si>
  <si>
    <t xml:space="preserve">LEÑA MARCA PROPIA  KG              </t>
  </si>
  <si>
    <t>CIABATTA CONGELADA</t>
  </si>
  <si>
    <t xml:space="preserve">17792180009422      </t>
  </si>
  <si>
    <t xml:space="preserve">CIABATTA CONG 112GX69U CANUELAS    </t>
  </si>
  <si>
    <t xml:space="preserve">7790000000198       </t>
  </si>
  <si>
    <t xml:space="preserve">7790000000203       </t>
  </si>
  <si>
    <t xml:space="preserve">BOLSA P/ CESTO MP 45X60 AMAR. X50U </t>
  </si>
  <si>
    <t xml:space="preserve">7798209711881       </t>
  </si>
  <si>
    <t>GUANTES DESC.NITRILO NEGRO M SUPLIM</t>
  </si>
  <si>
    <t>GALLE RELLENA</t>
  </si>
  <si>
    <t xml:space="preserve">7790040139657       </t>
  </si>
  <si>
    <t xml:space="preserve">GALLE MERENGADA 88G                </t>
  </si>
  <si>
    <t xml:space="preserve">7798011210022       </t>
  </si>
  <si>
    <t>TAPA BOWL ECOLOGICA</t>
  </si>
  <si>
    <t xml:space="preserve">7790000000250       </t>
  </si>
  <si>
    <t xml:space="preserve">GL TAPA BOWL COMP 17X7 960C X600U  </t>
  </si>
  <si>
    <t xml:space="preserve">7790001400217       </t>
  </si>
  <si>
    <t xml:space="preserve">BOLSA RESIDUO 45X60X50U            </t>
  </si>
  <si>
    <t xml:space="preserve">7790000000229       </t>
  </si>
  <si>
    <t xml:space="preserve">FILM PVC 45 CM 4,3 KG MPROP X1UN   </t>
  </si>
  <si>
    <t xml:space="preserve">7798057860861       </t>
  </si>
  <si>
    <t>GL LIMP DES.AMON FORDW 5L X4U JONHS</t>
  </si>
  <si>
    <t xml:space="preserve">4001159             </t>
  </si>
  <si>
    <t xml:space="preserve">POMELO ROSADO  KG                  </t>
  </si>
  <si>
    <t xml:space="preserve">LIM000210           </t>
  </si>
  <si>
    <t xml:space="preserve">GL_FRANELA XUN MPROP               </t>
  </si>
  <si>
    <t>BOLSAS CAMISETA</t>
  </si>
  <si>
    <t xml:space="preserve">7790000002198       </t>
  </si>
  <si>
    <t xml:space="preserve">7790000000637       </t>
  </si>
  <si>
    <t xml:space="preserve">QUESO CREMOSO MD LA PAULINA  KG    </t>
  </si>
  <si>
    <t xml:space="preserve">7790000000342       </t>
  </si>
  <si>
    <t>CEBOLLA</t>
  </si>
  <si>
    <t xml:space="preserve">4001189             </t>
  </si>
  <si>
    <t xml:space="preserve">GL CEBOLLON KG                     </t>
  </si>
  <si>
    <t xml:space="preserve">7790000000254       </t>
  </si>
  <si>
    <t>ACEITE GIRASOL</t>
  </si>
  <si>
    <t xml:space="preserve">7792180001665       </t>
  </si>
  <si>
    <t xml:space="preserve">ACEITE CAÑUELAS 1.5LTS             </t>
  </si>
  <si>
    <t xml:space="preserve">7794459001383       </t>
  </si>
  <si>
    <t xml:space="preserve">7790000000253       </t>
  </si>
  <si>
    <t xml:space="preserve">VASO  MD PLASTIVAS 0,30 LT X100UN  </t>
  </si>
  <si>
    <t xml:space="preserve">7790000000599       </t>
  </si>
  <si>
    <t xml:space="preserve">CHORIZO BOMBON CERDO CONG XKG      </t>
  </si>
  <si>
    <t xml:space="preserve">4001156             </t>
  </si>
  <si>
    <t xml:space="preserve">NARANJA COMERCIAL  KG              </t>
  </si>
  <si>
    <t xml:space="preserve">7798057861592       </t>
  </si>
  <si>
    <t>GL_CERA AUTO INCOL 8M 5LX4U JOHNSON</t>
  </si>
  <si>
    <t xml:space="preserve">7794459003240       </t>
  </si>
  <si>
    <t xml:space="preserve">BOLSA CAMISETA 30 X 40 CM X2000UN  </t>
  </si>
  <si>
    <t>MANTEL LOGO CHEF</t>
  </si>
  <si>
    <t xml:space="preserve">7790000000236       </t>
  </si>
  <si>
    <t>INDIVIDUAL CHEF GOURMET FOOD X1000U</t>
  </si>
  <si>
    <t xml:space="preserve">7790000000225       </t>
  </si>
  <si>
    <t>CUCHILLO DESC. BLANCO ALUMAX X1000U</t>
  </si>
  <si>
    <t xml:space="preserve">9992018210896       </t>
  </si>
  <si>
    <t>TOALLA PAP INTER BEIGE VYMAT X2500U</t>
  </si>
  <si>
    <t xml:space="preserve">4003995             </t>
  </si>
  <si>
    <t xml:space="preserve">CARBON  KG                         </t>
  </si>
  <si>
    <t>LIMPIADOR NEUTRAL</t>
  </si>
  <si>
    <t xml:space="preserve">7798188650034       </t>
  </si>
  <si>
    <t>GL_LIMPIADOR LIQ.ESPUM 0.36LT THAME</t>
  </si>
  <si>
    <t xml:space="preserve">7790000000222       </t>
  </si>
  <si>
    <t xml:space="preserve">BSA DE ARRANQUE MD  40X50 A/D X12U </t>
  </si>
  <si>
    <t>BALDE PLASTICO 4LT</t>
  </si>
  <si>
    <t xml:space="preserve">7898319325524       </t>
  </si>
  <si>
    <t xml:space="preserve">GL_BALDE AZUL 4LT XUN THAMES       </t>
  </si>
  <si>
    <t xml:space="preserve">07798090052551      </t>
  </si>
  <si>
    <t xml:space="preserve">DESENG ALCALINO 210 4UX5LT         </t>
  </si>
  <si>
    <t xml:space="preserve">7790000000424       </t>
  </si>
  <si>
    <t xml:space="preserve">PAN MIGNON BCO.CONG.CA#UELAS 11.5K </t>
  </si>
  <si>
    <t xml:space="preserve">BAZ001139           </t>
  </si>
  <si>
    <t>CONTENEDOR ISOTERMICO CODIGO CT1000</t>
  </si>
  <si>
    <t xml:space="preserve">7790000000695       </t>
  </si>
  <si>
    <t>SERVILLETAS SIMIL TELA SWISS X1600U</t>
  </si>
  <si>
    <t xml:space="preserve">7790000000510       </t>
  </si>
  <si>
    <t xml:space="preserve">GL_DISCO ROJO 17" XUN MPROPIA      </t>
  </si>
  <si>
    <t xml:space="preserve">7790000000482       </t>
  </si>
  <si>
    <t>GL_BOLSA RESID AMRLLA 60X90X50U 30M</t>
  </si>
  <si>
    <t xml:space="preserve">7798011210053       </t>
  </si>
  <si>
    <t>ACELGA CONGELADA</t>
  </si>
  <si>
    <t xml:space="preserve">7790670002437       </t>
  </si>
  <si>
    <t xml:space="preserve">ACELGA CONGELADA X2.5 KG           </t>
  </si>
  <si>
    <t xml:space="preserve">4001202             </t>
  </si>
  <si>
    <t xml:space="preserve">LECHUGA FRANCESA   KG              </t>
  </si>
  <si>
    <t>CUCHARAS</t>
  </si>
  <si>
    <t xml:space="preserve">71404111849         </t>
  </si>
  <si>
    <t xml:space="preserve">7790000000380       </t>
  </si>
  <si>
    <t>BANDEJA 103 BIODEG. X 900U MARCA PR</t>
  </si>
  <si>
    <t xml:space="preserve">TURRON DE MANI CON MIEL </t>
  </si>
  <si>
    <t xml:space="preserve">7790380012108       </t>
  </si>
  <si>
    <t xml:space="preserve">TURRON MANI C/ MIEL X120G          </t>
  </si>
  <si>
    <t xml:space="preserve">7790000000381       </t>
  </si>
  <si>
    <t>BANDEJA 105 BIODEG. X 700UN MARCA P</t>
  </si>
  <si>
    <t xml:space="preserve">4001214             </t>
  </si>
  <si>
    <t xml:space="preserve">PUERRO  KG                         </t>
  </si>
  <si>
    <t xml:space="preserve">7790000000282       </t>
  </si>
  <si>
    <t>TOA.PAP.INT.BEI. DELMAR 20X24 2500U</t>
  </si>
  <si>
    <t xml:space="preserve">4001149             </t>
  </si>
  <si>
    <t xml:space="preserve">LIMON  KG                          </t>
  </si>
  <si>
    <t xml:space="preserve">7790250066163       </t>
  </si>
  <si>
    <t xml:space="preserve">GL_PAPEL HIG DH 30MTX4U ELITE      </t>
  </si>
  <si>
    <t>LAVANDINA</t>
  </si>
  <si>
    <t xml:space="preserve">7798188650508       </t>
  </si>
  <si>
    <t xml:space="preserve">GL LAVANDINA BIO X5L THAMES        </t>
  </si>
  <si>
    <t xml:space="preserve">7798113401151       </t>
  </si>
  <si>
    <t xml:space="preserve">GL_SHAMPOO P/AUTOS ZELNOVA BID 5LT </t>
  </si>
  <si>
    <t xml:space="preserve">7798057860472       </t>
  </si>
  <si>
    <t xml:space="preserve">GL DESENGR. EMEREL 5L X4U JOHNSON  </t>
  </si>
  <si>
    <t xml:space="preserve">7790000000427       </t>
  </si>
  <si>
    <t xml:space="preserve">PAN LOMITERO CONG. CA#UELAS X 65U  </t>
  </si>
  <si>
    <t xml:space="preserve">7790025000196       </t>
  </si>
  <si>
    <t xml:space="preserve">7798332280797       </t>
  </si>
  <si>
    <t>JAB LIQ XPRESS ANTISEP 4X5L SPARTAN</t>
  </si>
  <si>
    <t>MEDIALUNA MANT CONGELADA</t>
  </si>
  <si>
    <t xml:space="preserve">7792590005864       </t>
  </si>
  <si>
    <t xml:space="preserve">	 MEDIALU MANT CONGE X150UN CREMACH</t>
  </si>
  <si>
    <t>GALLE DULCE VAINILLA</t>
  </si>
  <si>
    <t xml:space="preserve">7790040139176       </t>
  </si>
  <si>
    <t xml:space="preserve">GALLETITAS POLVORITA X81GRS        </t>
  </si>
  <si>
    <t xml:space="preserve">7794782000374       </t>
  </si>
  <si>
    <t>GL_DESODORANTE X 5 LT CHERRY SERVID</t>
  </si>
  <si>
    <t xml:space="preserve">4001184             </t>
  </si>
  <si>
    <t xml:space="preserve">BATATA KG                          </t>
  </si>
  <si>
    <t xml:space="preserve">7790387013610       </t>
  </si>
  <si>
    <t xml:space="preserve">YERBA TARAGUI CON PALO X1000G      </t>
  </si>
  <si>
    <t xml:space="preserve">LIM000249           </t>
  </si>
  <si>
    <t xml:space="preserve">GL_TRAPO DE PISO BLANCO GRANDE XUN </t>
  </si>
  <si>
    <t>DESODORANTES AMBIENTE</t>
  </si>
  <si>
    <t xml:space="preserve">7790520996138       </t>
  </si>
  <si>
    <t xml:space="preserve">GL_DESODORANTE AMBIENTE 12CM GLADE </t>
  </si>
  <si>
    <t xml:space="preserve">7790000000209       </t>
  </si>
  <si>
    <t xml:space="preserve">BOLSA RES. NEG 110X120CM40MC X50UN </t>
  </si>
  <si>
    <t xml:space="preserve">7790000000802       </t>
  </si>
  <si>
    <t xml:space="preserve"> BANDEJA 102 PE X100U              </t>
  </si>
  <si>
    <t xml:space="preserve">7790000000615       </t>
  </si>
  <si>
    <t xml:space="preserve">FILET MER.DESP.IQF X10K VISTEMAR   </t>
  </si>
  <si>
    <t xml:space="preserve">7798092964043       </t>
  </si>
  <si>
    <t xml:space="preserve">FIBRA ESPONJA MAKE XU              </t>
  </si>
  <si>
    <t>BOLSA RESIDUOS CRISTAL</t>
  </si>
  <si>
    <t xml:space="preserve">7790001300217       </t>
  </si>
  <si>
    <t xml:space="preserve">BOLSA CRISTAL 45X60X1000U VIRGEN   </t>
  </si>
  <si>
    <t xml:space="preserve">7790000000344       </t>
  </si>
  <si>
    <t xml:space="preserve">7790000000569       </t>
  </si>
  <si>
    <t xml:space="preserve">LIMP NEUT QUIK FILL 310 10L ECOLAB </t>
  </si>
  <si>
    <t xml:space="preserve">7790000000436       </t>
  </si>
  <si>
    <t xml:space="preserve">HUEVO FRESCO BLANCO X 180U         </t>
  </si>
  <si>
    <t xml:space="preserve">7793071002488       </t>
  </si>
  <si>
    <t xml:space="preserve">GL_BALDE C/ESCURRIDOR XUN MPROPIA  </t>
  </si>
  <si>
    <t xml:space="preserve">4001209             </t>
  </si>
  <si>
    <t xml:space="preserve">PEPINO  KG                         </t>
  </si>
  <si>
    <t>TAPA DEGUSTADOR</t>
  </si>
  <si>
    <t xml:space="preserve">7790000000762       </t>
  </si>
  <si>
    <t xml:space="preserve">TAPA BOWL COMP 17X7 960C X300U     </t>
  </si>
  <si>
    <t xml:space="preserve">7798332281473       </t>
  </si>
  <si>
    <t>QUITA SARRO BOWL CLEANSE 6X1L SPART</t>
  </si>
  <si>
    <t xml:space="preserve">7790000000643       </t>
  </si>
  <si>
    <t xml:space="preserve">TAPA ASADO CONG ENV VACIO XKG      </t>
  </si>
  <si>
    <t xml:space="preserve">7790000000217       </t>
  </si>
  <si>
    <t xml:space="preserve">BOLSA RES. 45X60 NEG. 80MIC X 50UN </t>
  </si>
  <si>
    <t xml:space="preserve">7790000000238       </t>
  </si>
  <si>
    <t xml:space="preserve">INDIVIDUAL IAF 46X27.5CM X1000UN   </t>
  </si>
  <si>
    <t xml:space="preserve">7798011210060       </t>
  </si>
  <si>
    <t xml:space="preserve">4002244             </t>
  </si>
  <si>
    <t xml:space="preserve">CEBOLLON MORADO KG                 </t>
  </si>
  <si>
    <t xml:space="preserve">7798090050236       </t>
  </si>
  <si>
    <t>DETERG. LAVAV. DETER1 SUTTER 5LTX4U</t>
  </si>
  <si>
    <t xml:space="preserve">4001220             </t>
  </si>
  <si>
    <t xml:space="preserve">ROMERO FRESCO  KG                  </t>
  </si>
  <si>
    <t>VINAGRE INDIV</t>
  </si>
  <si>
    <t xml:space="preserve">7798011976485       </t>
  </si>
  <si>
    <t xml:space="preserve">VINAGRE IND X8CC X198U ABEDUL      </t>
  </si>
  <si>
    <t>CARNE PICADA VACUNA</t>
  </si>
  <si>
    <t xml:space="preserve">7790000000415       </t>
  </si>
  <si>
    <t xml:space="preserve">CARNE PICADA ESP.CONG. AL VACIO KG </t>
  </si>
  <si>
    <t xml:space="preserve">7790387010152       </t>
  </si>
  <si>
    <t xml:space="preserve">MATE COCIDO UNION ENSOB X40G       </t>
  </si>
  <si>
    <t xml:space="preserve">7790000000575       </t>
  </si>
  <si>
    <t xml:space="preserve">GL_CEPILLO BARREND XUN MPROPIA     </t>
  </si>
  <si>
    <t xml:space="preserve">4001160             </t>
  </si>
  <si>
    <t xml:space="preserve">SANDIA  KG                         </t>
  </si>
  <si>
    <t xml:space="preserve">7790000000343       </t>
  </si>
  <si>
    <t xml:space="preserve">7790000000428       </t>
  </si>
  <si>
    <t>CRIOLLITO LIBRITO CON.CA#UELAS X192</t>
  </si>
  <si>
    <t xml:space="preserve">7791000000217       </t>
  </si>
  <si>
    <t xml:space="preserve">BOLSA RES. NEGRA 80X100X 40MIC     </t>
  </si>
  <si>
    <t xml:space="preserve">7798334500275       </t>
  </si>
  <si>
    <t xml:space="preserve">FLAN POLVO VAINILLA RAVANA 5K X U  </t>
  </si>
  <si>
    <t xml:space="preserve">4001191             </t>
  </si>
  <si>
    <t xml:space="preserve">CHAUCHA   KG                       </t>
  </si>
  <si>
    <t xml:space="preserve">4001205             </t>
  </si>
  <si>
    <t xml:space="preserve">MENTA  KG                          </t>
  </si>
  <si>
    <t>ANTORCHITA</t>
  </si>
  <si>
    <t xml:space="preserve">7797390190505       </t>
  </si>
  <si>
    <t xml:space="preserve">ANTORCHITAS X24U                   </t>
  </si>
  <si>
    <t xml:space="preserve">7798057860059       </t>
  </si>
  <si>
    <t>LIMP. ALF/TAPI RUGBEE 360CC X12 JOH</t>
  </si>
  <si>
    <t xml:space="preserve">7798332280681       </t>
  </si>
  <si>
    <t>JAB LIQ HAND CLEANER FL 4X5L SPARTA</t>
  </si>
  <si>
    <t xml:space="preserve">4003164             </t>
  </si>
  <si>
    <t xml:space="preserve">LE#A MARCA PROPIA KG               </t>
  </si>
  <si>
    <t xml:space="preserve">4001213             </t>
  </si>
  <si>
    <t xml:space="preserve">PIMIENTO VERDE  KG                 </t>
  </si>
  <si>
    <t>LUSTRAMUEBLE</t>
  </si>
  <si>
    <t xml:space="preserve">7790520028747       </t>
  </si>
  <si>
    <t xml:space="preserve">GL_LUSTRAMUEBLE BLEM CLASICO XU    </t>
  </si>
  <si>
    <t xml:space="preserve">7796322010904       </t>
  </si>
  <si>
    <t>GL_TRAPO PANO BALLERINA VERDE XU SI</t>
  </si>
  <si>
    <t xml:space="preserve">4001163             </t>
  </si>
  <si>
    <t xml:space="preserve">UVA ROSADA  KG                     </t>
  </si>
  <si>
    <t xml:space="preserve">FIBRA ESPONJA  </t>
  </si>
  <si>
    <t xml:space="preserve">7790000000471       </t>
  </si>
  <si>
    <t>GL_ESPONJA FIBRA DOBLE USO M.PROPIA</t>
  </si>
  <si>
    <t xml:space="preserve">7796322010911       </t>
  </si>
  <si>
    <t xml:space="preserve">GL_PANO COCINA ROSA XUN MPROPIA    </t>
  </si>
  <si>
    <t xml:space="preserve">7790000000502       </t>
  </si>
  <si>
    <t xml:space="preserve">GL_MOPA BANDA PUNTA BUCLE XUN      </t>
  </si>
  <si>
    <t xml:space="preserve">7790000000574       </t>
  </si>
  <si>
    <t>GL_CABO TELESC.ALUMINIO 9MT MPROPIA</t>
  </si>
  <si>
    <t xml:space="preserve">4001153             </t>
  </si>
  <si>
    <t xml:space="preserve">MANZANA GRANNY SMITH COMERCIAL KG  </t>
  </si>
  <si>
    <t xml:space="preserve">LIM000052           </t>
  </si>
  <si>
    <t xml:space="preserve">GL_FIBRA PARRILLERA XUN MPROP      </t>
  </si>
  <si>
    <t xml:space="preserve">7790000000469       </t>
  </si>
  <si>
    <t xml:space="preserve">GL_CABO ALUM LISO 22CMX1.50M ROJO  </t>
  </si>
  <si>
    <t xml:space="preserve">7790000000579       </t>
  </si>
  <si>
    <t xml:space="preserve">GL_SECADOR ALUM GOMA 80CM MPROPIA  </t>
  </si>
  <si>
    <t xml:space="preserve">4001194             </t>
  </si>
  <si>
    <t xml:space="preserve">COLIFLOR SIN HOJA  KG              </t>
  </si>
  <si>
    <t>CABOS ALUMINIO COLOR</t>
  </si>
  <si>
    <t xml:space="preserve">7790000000503       </t>
  </si>
  <si>
    <t xml:space="preserve">GL_CABO ALUM 1.50MT AZUL XUN MPRO  </t>
  </si>
  <si>
    <t xml:space="preserve">7790000000573       </t>
  </si>
  <si>
    <t xml:space="preserve">GL_ESPATULA PINTOR XUN M.PROPIA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</si>
</sst>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auto="1"/>
        <bgColor theme="4" tint="0.79998168889431442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8"/>
      </top>
      <bottom style="thin">
        <color indexed="64"/>
      </bottom>
      <diagonal/>
    </border>
  </borders>
  <cellStyleXfs count="3">
    <xf numFmtId="0" fontId="0" fillId="0" borderId="0"/>
    <xf numFmtId="9" fontId="4" fillId="0" borderId="0"/>
    <xf numFmtId="0" fontId="6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" fontId="3" fillId="4" borderId="4" xfId="0" applyNumberFormat="1" applyFont="1" applyFill="1" applyBorder="1" applyAlignment="1">
      <alignment horizontal="center"/>
    </xf>
    <xf numFmtId="1" fontId="3" fillId="3" borderId="4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1" fontId="3" fillId="4" borderId="7" xfId="0" applyNumberFormat="1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9" fontId="3" fillId="0" borderId="4" xfId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9" fontId="3" fillId="0" borderId="11" xfId="1" applyFont="1" applyBorder="1" applyAlignment="1">
      <alignment horizontal="center" vertical="center"/>
    </xf>
    <xf numFmtId="0" fontId="6" fillId="0" borderId="1" xfId="2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" fontId="3" fillId="6" borderId="7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6" fillId="0" borderId="3" xfId="2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 applyAlignment="1">
      <alignment horizontal="center" vertical="center"/>
    </xf>
  </cellXfs>
  <cellStyles count="3">
    <cellStyle name="Normal" xfId="0" builtinId="0"/>
    <cellStyle name="Normal 2" xfId="2" xr:uid="{00000000-0005-0000-0000-000002000000}"/>
    <cellStyle name="Porcentaje" xfId="1" builtinId="5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13" formatCode="0%"/>
      <alignment horizontal="center" vertical="center"/>
      <border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5" tint="0.59999389629810485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9" tint="0.59999389629810485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bgColor auto="1"/>
        </patternFill>
      </fill>
      <alignment horizontal="center" vertical="center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bgColor auto="1"/>
        </patternFill>
      </fill>
      <alignment horizontal="center" vertical="center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bgColor auto="1"/>
        </patternFill>
      </fill>
      <alignment horizontal="center" vertical="center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theme="4" tint="0.79998168889431442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theme="4" tint="0.79998168889431442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theme="4" tint="0.79998168889431442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numFmt numFmtId="1" formatCode="0"/>
      <fill>
        <patternFill>
          <fgColor theme="4" tint="0.79998168889431442"/>
          <bgColor auto="1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consumos" displayName="tabla_consumos" ref="A1:I99" totalsRowShown="0" headerRowDxfId="25" dataDxfId="24" tableBorderDxfId="23">
  <autoFilter ref="A1:I99" xr:uid="{00000000-0009-0000-0100-000001000000}">
    <filterColumn colId="4">
      <filters>
        <filter val="SIMIL TELA S/ LOGO"/>
      </filters>
    </filterColumn>
  </autoFilter>
  <tableColumns count="9">
    <tableColumn id="5" xr3:uid="{00000000-0010-0000-0000-000005000000}" name="EAN" dataDxfId="22"/>
    <tableColumn id="1" xr3:uid="{00000000-0010-0000-0000-000001000000}" name="COD SAP" dataDxfId="21"/>
    <tableColumn id="2" xr3:uid="{00000000-0010-0000-0000-000002000000}" name="GrpAbr" dataDxfId="20"/>
    <tableColumn id="3" xr3:uid="{00000000-0010-0000-0000-000003000000}" name="UM" dataDxfId="19"/>
    <tableColumn id="4" xr3:uid="{00000000-0010-0000-0000-000004000000}" name="Familia" dataDxfId="18"/>
    <tableColumn id="6" xr3:uid="{00000000-0010-0000-0000-000006000000}" name="Consumo" dataDxfId="17"/>
    <tableColumn id="7" xr3:uid="{00000000-0010-0000-0000-000007000000}" name="Consumo total" dataDxfId="16">
      <calculatedColumnFormula>tabla_consumos[[#This Row],[Consumo]]*tabla_consumos[[#This Row],[UM]]</calculatedColumnFormula>
    </tableColumn>
    <tableColumn id="9" xr3:uid="{00000000-0010-0000-0000-000009000000}" name="Ean2" dataDxfId="15">
      <calculatedColumnFormula>TRIM(tabla_consumos[[#This Row],[EAN]])</calculatedColumnFormula>
    </tableColumn>
    <tableColumn id="8" xr3:uid="{00000000-0010-0000-0000-000008000000}" name="Esta en necesidad?" dataDxfId="14">
      <calculatedColumnFormula>IFERROR(_xlfn.XMATCH(tabla_consumos[[#This Row],[Familia]],Tabla2[Familia],0),"No esta")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" displayName="Tabla1" ref="A1:S307" totalsRowShown="0" headerRowDxfId="49" dataDxfId="47" headerRowBorderDxfId="48" tableBorderDxfId="46" totalsRowBorderDxfId="45">
  <tableColumns count="19">
    <tableColumn id="1" xr3:uid="{00000000-0010-0000-0100-000001000000}" name="Columna1" dataDxfId="44"/>
    <tableColumn id="2" xr3:uid="{00000000-0010-0000-0100-000002000000}" name="CtroDistrib" dataDxfId="43"/>
    <tableColumn id="3" xr3:uid="{00000000-0010-0000-0100-000003000000}" name="Empresa" dataDxfId="42"/>
    <tableColumn id="4" xr3:uid="{00000000-0010-0000-0100-000004000000}" name="DescrNivelInt5" dataDxfId="41"/>
    <tableColumn id="5" xr3:uid="{00000000-0010-0000-0100-000005000000}" name="Articulo" dataDxfId="40"/>
    <tableColumn id="6" xr3:uid="{00000000-0010-0000-0100-000006000000}" name="Material SAP" dataDxfId="39"/>
    <tableColumn id="7" xr3:uid="{00000000-0010-0000-0100-000007000000}" name="GrpAbr" dataDxfId="38"/>
    <tableColumn id="8" xr3:uid="{00000000-0010-0000-0100-000008000000}" name="UM" dataDxfId="37"/>
    <tableColumn id="9" xr3:uid="{00000000-0010-0000-0100-000009000000}" name="Fisico" dataDxfId="36"/>
    <tableColumn id="10" xr3:uid="{00000000-0010-0000-0100-00000A000000}" name="PendGuardar" dataDxfId="35"/>
    <tableColumn id="11" xr3:uid="{00000000-0010-0000-0100-00000B000000}" name="NoApto" dataDxfId="34"/>
    <tableColumn id="12" xr3:uid="{00000000-0010-0000-0100-00000C000000}" name="PedSinOP" dataDxfId="33"/>
    <tableColumn id="13" xr3:uid="{00000000-0010-0000-0100-00000D000000}" name="PendPreparar" dataDxfId="32"/>
    <tableColumn id="14" xr3:uid="{00000000-0010-0000-0100-00000E000000}" name="PendImportacion" dataDxfId="31"/>
    <tableColumn id="15" xr3:uid="{00000000-0010-0000-0100-00000F000000}" name="StockDisp" dataDxfId="30"/>
    <tableColumn id="16" xr3:uid="{00000000-0010-0000-0100-000010000000}" name="Ean Normalizado" dataDxfId="29">
      <calculatedColumnFormula>TRIM(Tabla1[[#This Row],[Articulo]])</calculatedColumnFormula>
    </tableColumn>
    <tableColumn id="17" xr3:uid="{00000000-0010-0000-0100-000011000000}" name="Familia" dataDxfId="28">
      <calculatedColumnFormula>_xlfn.XLOOKUP(Tabla1[[#This Row],[Ean Normalizado]],Consumos!A:A,Consumos!E:E)</calculatedColumnFormula>
    </tableColumn>
    <tableColumn id="18" xr3:uid="{00000000-0010-0000-0100-000012000000}" name="UM producto" dataDxfId="27">
      <calculatedColumnFormula>_xlfn.XLOOKUP(Tabla1[[#This Row],[Ean Normalizado]],tabla_consumos[EAN],tabla_consumos[UM])</calculatedColumnFormula>
    </tableColumn>
    <tableColumn id="19" xr3:uid="{00000000-0010-0000-0100-000013000000}" name="Total" dataDxfId="26">
      <calculatedColumnFormula>Tabla1[[#This Row],[StockDisp]]*Tabla1[[#This Row],[UM producto]]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2" displayName="Tabla2" ref="A1:I64" totalsRowShown="0" headerRowDxfId="13" dataDxfId="12" tableBorderDxfId="11">
  <autoFilter ref="A1:I64" xr:uid="{00000000-000C-0000-FFFF-FFFF02000000}">
    <filterColumn colId="5">
      <customFilters>
        <customFilter operator="lessThan" val="0.5"/>
      </customFilters>
    </filterColumn>
  </autoFilter>
  <tableColumns count="9">
    <tableColumn id="2" xr3:uid="{00000000-0010-0000-0200-000002000000}" name="Familia" dataDxfId="10"/>
    <tableColumn id="3" xr3:uid="{00000000-0010-0000-0200-000003000000}" name="UM ultima compra" dataDxfId="9"/>
    <tableColumn id="4" xr3:uid="{00000000-0010-0000-0200-000004000000}" name="Stock" dataDxfId="8">
      <calculatedColumnFormula>SUMIF(Tabla1[Familia],Tabla2[[#This Row],[Familia]],Tabla1[Total])/Tabla2[[#This Row],[UM ultima compra]]</calculatedColumnFormula>
    </tableColumn>
    <tableColumn id="5" xr3:uid="{00000000-0010-0000-0200-000005000000}" name="Consumo" dataDxfId="7">
      <calculatedColumnFormula>SUMIF(tabla_consumos[Familia],Tabla2[[#This Row],[Familia]],tabla_consumos[Consumo total])/Tabla2[[#This Row],[UM ultima compra]]</calculatedColumnFormula>
    </tableColumn>
    <tableColumn id="6" xr3:uid="{00000000-0010-0000-0200-000006000000}" name="Diferencia" dataDxfId="6">
      <calculatedColumnFormula>Tabla2[[#This Row],[Stock]]-Tabla2[[#This Row],[Consumo]]</calculatedColumnFormula>
    </tableColumn>
    <tableColumn id="1" xr3:uid="{00000000-0010-0000-0200-000001000000}" name="Cobertura" dataDxfId="5" dataCellStyle="Porcentaje">
      <calculatedColumnFormula>IFERROR(Tabla2[[#This Row],[Stock]]/Tabla2[[#This Row],[Consumo]],"Sin consumo")</calculatedColumnFormula>
    </tableColumn>
    <tableColumn id="7" xr3:uid="{00000000-0010-0000-0200-000007000000}" name="Estado" dataDxfId="4"/>
    <tableColumn id="8" xr3:uid="{00000000-0010-0000-0200-000008000000}" name="Ultima OC" dataDxfId="3"/>
    <tableColumn id="9" xr3:uid="{00000000-0010-0000-0200-000009000000}" name="Proveedor" dataDxfId="2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I99"/>
  <sheetViews>
    <sheetView workbookViewId="0">
      <selection activeCell="F100" sqref="F100"/>
    </sheetView>
  </sheetViews>
  <sheetFormatPr baseColWidth="10" defaultColWidth="11.453125" defaultRowHeight="14.5" x14ac:dyDescent="0.35"/>
  <cols>
    <col min="1" max="1" width="14.81640625" style="2" bestFit="1" customWidth="1"/>
    <col min="2" max="2" width="12.81640625" style="2" bestFit="1" customWidth="1"/>
    <col min="3" max="3" width="40.54296875" style="2" bestFit="1" customWidth="1"/>
    <col min="4" max="4" width="8.1796875" style="2" bestFit="1" customWidth="1"/>
    <col min="5" max="5" width="40.453125" bestFit="1" customWidth="1"/>
    <col min="8" max="8" width="14.81640625" bestFit="1" customWidth="1"/>
  </cols>
  <sheetData>
    <row r="1" spans="1:9" x14ac:dyDescent="0.35">
      <c r="A1" s="16" t="s">
        <v>92</v>
      </c>
      <c r="B1" s="14" t="s">
        <v>93</v>
      </c>
      <c r="C1" s="15" t="s">
        <v>94</v>
      </c>
      <c r="D1" s="15" t="s">
        <v>95</v>
      </c>
      <c r="E1" s="15" t="s">
        <v>0</v>
      </c>
      <c r="F1" s="16" t="s">
        <v>3</v>
      </c>
      <c r="G1" s="39" t="s">
        <v>96</v>
      </c>
      <c r="H1" s="41" t="s">
        <v>97</v>
      </c>
      <c r="I1" s="40" t="s">
        <v>98</v>
      </c>
    </row>
    <row r="2" spans="1:9" hidden="1" x14ac:dyDescent="0.35">
      <c r="A2" s="20" t="s">
        <v>99</v>
      </c>
      <c r="B2" s="17">
        <v>2007196</v>
      </c>
      <c r="C2" s="18" t="s">
        <v>100</v>
      </c>
      <c r="D2" s="18">
        <v>2000</v>
      </c>
      <c r="E2" s="18" t="s">
        <v>67</v>
      </c>
      <c r="F2" s="42">
        <v>2</v>
      </c>
      <c r="G2" s="42">
        <f>tabla_consumos[[#This Row],[Consumo]]*tabla_consumos[[#This Row],[UM]]</f>
        <v>4000</v>
      </c>
      <c r="H2" s="42" t="str">
        <f>TRIM(tabla_consumos[[#This Row],[EAN]])</f>
        <v>7790000000245</v>
      </c>
      <c r="I2" s="42">
        <f>IFERROR(_xlfn.XMATCH(tabla_consumos[[#This Row],[Familia]],Tabla2[Familia],0),"No esta")</f>
        <v>39</v>
      </c>
    </row>
    <row r="3" spans="1:9" hidden="1" x14ac:dyDescent="0.35">
      <c r="A3" s="4" t="s">
        <v>101</v>
      </c>
      <c r="B3" s="17">
        <v>2007210</v>
      </c>
      <c r="C3" s="18" t="s">
        <v>102</v>
      </c>
      <c r="D3" s="18">
        <v>12</v>
      </c>
      <c r="E3" s="18" t="s">
        <v>45</v>
      </c>
      <c r="F3" s="42">
        <v>12</v>
      </c>
      <c r="G3" s="42">
        <f>tabla_consumos[[#This Row],[Consumo]]*tabla_consumos[[#This Row],[UM]]</f>
        <v>144</v>
      </c>
      <c r="H3" s="42" t="str">
        <f>TRIM(tabla_consumos[[#This Row],[EAN]])</f>
        <v>7795618000094</v>
      </c>
      <c r="I3" s="42">
        <f>IFERROR(_xlfn.XMATCH(tabla_consumos[[#This Row],[Familia]],Tabla2[Familia],0),"No esta")</f>
        <v>23</v>
      </c>
    </row>
    <row r="4" spans="1:9" hidden="1" x14ac:dyDescent="0.35">
      <c r="A4" s="4" t="s">
        <v>103</v>
      </c>
      <c r="B4" s="17">
        <v>2007209</v>
      </c>
      <c r="C4" s="18" t="s">
        <v>104</v>
      </c>
      <c r="D4" s="18">
        <v>12</v>
      </c>
      <c r="E4" s="18" t="s">
        <v>56</v>
      </c>
      <c r="F4" s="42">
        <v>21</v>
      </c>
      <c r="G4" s="42">
        <f>tabla_consumos[[#This Row],[Consumo]]*tabla_consumos[[#This Row],[UM]]</f>
        <v>252</v>
      </c>
      <c r="H4" s="42" t="str">
        <f>TRIM(tabla_consumos[[#This Row],[EAN]])</f>
        <v>7795618000193</v>
      </c>
      <c r="I4" s="42">
        <f>IFERROR(_xlfn.XMATCH(tabla_consumos[[#This Row],[Familia]],Tabla2[Familia],0),"No esta")</f>
        <v>30</v>
      </c>
    </row>
    <row r="5" spans="1:9" hidden="1" x14ac:dyDescent="0.35">
      <c r="A5" s="4" t="s">
        <v>105</v>
      </c>
      <c r="B5" s="17">
        <v>2007140</v>
      </c>
      <c r="C5" s="18" t="s">
        <v>106</v>
      </c>
      <c r="D5" s="18">
        <v>100</v>
      </c>
      <c r="E5" s="18" t="s">
        <v>37</v>
      </c>
      <c r="F5" s="42">
        <v>163</v>
      </c>
      <c r="G5" s="42">
        <f>tabla_consumos[[#This Row],[Consumo]]*tabla_consumos[[#This Row],[UM]]</f>
        <v>16300</v>
      </c>
      <c r="H5" s="42" t="str">
        <f>TRIM(tabla_consumos[[#This Row],[EAN]])</f>
        <v>7790000000253</v>
      </c>
      <c r="I5" s="42">
        <f>IFERROR(_xlfn.XMATCH(tabla_consumos[[#This Row],[Familia]],Tabla2[Familia],0),"No esta")</f>
        <v>18</v>
      </c>
    </row>
    <row r="6" spans="1:9" hidden="1" x14ac:dyDescent="0.35">
      <c r="A6" s="4" t="s">
        <v>107</v>
      </c>
      <c r="B6" s="17">
        <v>2007112</v>
      </c>
      <c r="C6" s="18" t="s">
        <v>108</v>
      </c>
      <c r="D6" s="18">
        <v>1</v>
      </c>
      <c r="E6" s="18" t="s">
        <v>46</v>
      </c>
      <c r="F6" s="42">
        <v>13</v>
      </c>
      <c r="G6" s="42">
        <f>tabla_consumos[[#This Row],[Consumo]]*tabla_consumos[[#This Row],[UM]]</f>
        <v>13</v>
      </c>
      <c r="H6" s="42" t="str">
        <f>TRIM(tabla_consumos[[#This Row],[EAN]])</f>
        <v>9992017900491</v>
      </c>
      <c r="I6" s="42">
        <f>IFERROR(_xlfn.XMATCH(tabla_consumos[[#This Row],[Familia]],Tabla2[Familia],0),"No esta")</f>
        <v>24</v>
      </c>
    </row>
    <row r="7" spans="1:9" hidden="1" x14ac:dyDescent="0.35">
      <c r="A7" s="4" t="s">
        <v>109</v>
      </c>
      <c r="B7" s="17">
        <v>2007199</v>
      </c>
      <c r="C7" s="18" t="s">
        <v>110</v>
      </c>
      <c r="D7" s="18">
        <v>1000</v>
      </c>
      <c r="E7" s="18" t="s">
        <v>87</v>
      </c>
      <c r="F7" s="42">
        <v>85</v>
      </c>
      <c r="G7" s="42">
        <f>tabla_consumos[[#This Row],[Consumo]]*tabla_consumos[[#This Row],[UM]]</f>
        <v>85000</v>
      </c>
      <c r="H7" s="42" t="str">
        <f>TRIM(tabla_consumos[[#This Row],[EAN]])</f>
        <v>9992017901825</v>
      </c>
      <c r="I7" s="42">
        <f>IFERROR(_xlfn.XMATCH(tabla_consumos[[#This Row],[Familia]],Tabla2[Familia],0),"No esta")</f>
        <v>59</v>
      </c>
    </row>
    <row r="8" spans="1:9" hidden="1" x14ac:dyDescent="0.35">
      <c r="A8" s="4" t="s">
        <v>111</v>
      </c>
      <c r="B8" s="17">
        <v>2007208</v>
      </c>
      <c r="C8" s="18" t="s">
        <v>112</v>
      </c>
      <c r="D8" s="18">
        <v>1000</v>
      </c>
      <c r="E8" s="18" t="s">
        <v>52</v>
      </c>
      <c r="F8" s="42">
        <v>4</v>
      </c>
      <c r="G8" s="42">
        <f>tabla_consumos[[#This Row],[Consumo]]*tabla_consumos[[#This Row],[UM]]</f>
        <v>4000</v>
      </c>
      <c r="H8" s="42" t="str">
        <f>TRIM(tabla_consumos[[#This Row],[EAN]])</f>
        <v>17798038127119</v>
      </c>
      <c r="I8" s="42">
        <f>IFERROR(_xlfn.XMATCH(tabla_consumos[[#This Row],[Familia]],Tabla2[Familia],0),"No esta")</f>
        <v>27</v>
      </c>
    </row>
    <row r="9" spans="1:9" hidden="1" x14ac:dyDescent="0.35">
      <c r="A9" s="4" t="s">
        <v>113</v>
      </c>
      <c r="B9" s="17">
        <v>2007158</v>
      </c>
      <c r="C9" s="18" t="s">
        <v>114</v>
      </c>
      <c r="D9" s="18">
        <v>1500</v>
      </c>
      <c r="E9" s="18" t="s">
        <v>70</v>
      </c>
      <c r="F9" s="42">
        <v>3</v>
      </c>
      <c r="G9" s="42">
        <f>tabla_consumos[[#This Row],[Consumo]]*tabla_consumos[[#This Row],[UM]]</f>
        <v>4500</v>
      </c>
      <c r="H9" s="42" t="str">
        <f>TRIM(tabla_consumos[[#This Row],[EAN]])</f>
        <v>7790000000197</v>
      </c>
      <c r="I9" s="42">
        <f>IFERROR(_xlfn.XMATCH(tabla_consumos[[#This Row],[Familia]],Tabla2[Familia],0),"No esta")</f>
        <v>42</v>
      </c>
    </row>
    <row r="10" spans="1:9" hidden="1" x14ac:dyDescent="0.35">
      <c r="A10" s="4" t="s">
        <v>115</v>
      </c>
      <c r="B10" s="17">
        <v>2007132</v>
      </c>
      <c r="C10" s="18" t="s">
        <v>116</v>
      </c>
      <c r="D10" s="18">
        <v>600</v>
      </c>
      <c r="E10" s="18" t="s">
        <v>39</v>
      </c>
      <c r="F10" s="42">
        <v>20</v>
      </c>
      <c r="G10" s="42">
        <f>tabla_consumos[[#This Row],[Consumo]]*tabla_consumos[[#This Row],[UM]]</f>
        <v>12000</v>
      </c>
      <c r="H10" s="42" t="str">
        <f>TRIM(tabla_consumos[[#This Row],[EAN]])</f>
        <v>7790000000218</v>
      </c>
      <c r="I10" s="42">
        <f>IFERROR(_xlfn.XMATCH(tabla_consumos[[#This Row],[Familia]],Tabla2[Familia],0),"No esta")</f>
        <v>19</v>
      </c>
    </row>
    <row r="11" spans="1:9" hidden="1" x14ac:dyDescent="0.35">
      <c r="A11" s="4" t="s">
        <v>117</v>
      </c>
      <c r="B11" s="17">
        <v>2007133</v>
      </c>
      <c r="C11" s="18" t="s">
        <v>118</v>
      </c>
      <c r="D11" s="18">
        <v>600</v>
      </c>
      <c r="E11" s="18" t="s">
        <v>34</v>
      </c>
      <c r="F11" s="42">
        <v>12</v>
      </c>
      <c r="G11" s="42">
        <f>tabla_consumos[[#This Row],[Consumo]]*tabla_consumos[[#This Row],[UM]]</f>
        <v>7200</v>
      </c>
      <c r="H11" s="42" t="str">
        <f>TRIM(tabla_consumos[[#This Row],[EAN]])</f>
        <v>7790000000250</v>
      </c>
      <c r="I11" s="42">
        <f>IFERROR(_xlfn.XMATCH(tabla_consumos[[#This Row],[Familia]],Tabla2[Familia],0),"No esta")</f>
        <v>16</v>
      </c>
    </row>
    <row r="12" spans="1:9" hidden="1" x14ac:dyDescent="0.35">
      <c r="A12" s="4" t="s">
        <v>119</v>
      </c>
      <c r="B12" s="17">
        <v>2007120</v>
      </c>
      <c r="C12" s="18" t="s">
        <v>120</v>
      </c>
      <c r="D12" s="18">
        <v>100</v>
      </c>
      <c r="E12" s="18" t="s">
        <v>58</v>
      </c>
      <c r="F12" s="42">
        <v>40</v>
      </c>
      <c r="G12" s="42">
        <f>tabla_consumos[[#This Row],[Consumo]]*tabla_consumos[[#This Row],[UM]]</f>
        <v>4000</v>
      </c>
      <c r="H12" s="42" t="str">
        <f>TRIM(tabla_consumos[[#This Row],[EAN]])</f>
        <v>7790000000249</v>
      </c>
      <c r="I12" s="42">
        <f>IFERROR(_xlfn.XMATCH(tabla_consumos[[#This Row],[Familia]],Tabla2[Familia],0),"No esta")</f>
        <v>32</v>
      </c>
    </row>
    <row r="13" spans="1:9" hidden="1" x14ac:dyDescent="0.35">
      <c r="A13" s="4" t="s">
        <v>121</v>
      </c>
      <c r="B13" s="17">
        <v>2007115</v>
      </c>
      <c r="C13" s="18" t="s">
        <v>122</v>
      </c>
      <c r="D13" s="18">
        <v>100</v>
      </c>
      <c r="E13" s="18" t="s">
        <v>88</v>
      </c>
      <c r="F13" s="42">
        <v>185</v>
      </c>
      <c r="G13" s="42">
        <f>tabla_consumos[[#This Row],[Consumo]]*tabla_consumos[[#This Row],[UM]]</f>
        <v>18500</v>
      </c>
      <c r="H13" s="42" t="str">
        <f>TRIM(tabla_consumos[[#This Row],[EAN]])</f>
        <v>7790000000192</v>
      </c>
      <c r="I13" s="42">
        <f>IFERROR(_xlfn.XMATCH(tabla_consumos[[#This Row],[Familia]],Tabla2[Familia],0),"No esta")</f>
        <v>60</v>
      </c>
    </row>
    <row r="14" spans="1:9" hidden="1" x14ac:dyDescent="0.35">
      <c r="A14" s="4" t="s">
        <v>123</v>
      </c>
      <c r="B14" s="17">
        <v>2007183</v>
      </c>
      <c r="C14" s="18" t="s">
        <v>124</v>
      </c>
      <c r="D14" s="18">
        <v>1</v>
      </c>
      <c r="E14" s="18" t="s">
        <v>71</v>
      </c>
      <c r="F14" s="42">
        <v>80</v>
      </c>
      <c r="G14" s="42">
        <f>tabla_consumos[[#This Row],[Consumo]]*tabla_consumos[[#This Row],[UM]]</f>
        <v>80</v>
      </c>
      <c r="H14" s="42" t="str">
        <f>TRIM(tabla_consumos[[#This Row],[EAN]])</f>
        <v>7790000000227</v>
      </c>
      <c r="I14" s="42">
        <f>IFERROR(_xlfn.XMATCH(tabla_consumos[[#This Row],[Familia]],Tabla2[Familia],0),"No esta")</f>
        <v>43</v>
      </c>
    </row>
    <row r="15" spans="1:9" hidden="1" x14ac:dyDescent="0.35">
      <c r="A15" s="4" t="s">
        <v>125</v>
      </c>
      <c r="B15" s="17">
        <v>2007185</v>
      </c>
      <c r="C15" s="18" t="s">
        <v>126</v>
      </c>
      <c r="D15" s="18">
        <v>1</v>
      </c>
      <c r="E15" s="18" t="s">
        <v>86</v>
      </c>
      <c r="F15" s="42">
        <v>237</v>
      </c>
      <c r="G15" s="42">
        <f>tabla_consumos[[#This Row],[Consumo]]*tabla_consumos[[#This Row],[UM]]</f>
        <v>237</v>
      </c>
      <c r="H15" s="42" t="str">
        <f>TRIM(tabla_consumos[[#This Row],[EAN]])</f>
        <v>7790000000229</v>
      </c>
      <c r="I15" s="42">
        <f>IFERROR(_xlfn.XMATCH(tabla_consumos[[#This Row],[Familia]],Tabla2[Familia],0),"No esta")</f>
        <v>58</v>
      </c>
    </row>
    <row r="16" spans="1:9" hidden="1" x14ac:dyDescent="0.35">
      <c r="A16" s="4" t="s">
        <v>127</v>
      </c>
      <c r="B16" s="17">
        <v>2007134</v>
      </c>
      <c r="C16" s="18" t="s">
        <v>128</v>
      </c>
      <c r="D16" s="18">
        <v>1000</v>
      </c>
      <c r="E16" s="18" t="s">
        <v>22</v>
      </c>
      <c r="F16" s="42">
        <v>300</v>
      </c>
      <c r="G16" s="42">
        <f>tabla_consumos[[#This Row],[Consumo]]*tabla_consumos[[#This Row],[UM]]</f>
        <v>300000</v>
      </c>
      <c r="H16" s="42" t="str">
        <f>TRIM(tabla_consumos[[#This Row],[EAN]])</f>
        <v>7790000000191</v>
      </c>
      <c r="I16" s="42">
        <f>IFERROR(_xlfn.XMATCH(tabla_consumos[[#This Row],[Familia]],Tabla2[Familia],0),"No esta")</f>
        <v>8</v>
      </c>
    </row>
    <row r="17" spans="1:9" hidden="1" x14ac:dyDescent="0.35">
      <c r="A17" s="4" t="s">
        <v>129</v>
      </c>
      <c r="B17" s="17">
        <v>2006636</v>
      </c>
      <c r="C17" s="18" t="s">
        <v>130</v>
      </c>
      <c r="D17" s="18">
        <v>100</v>
      </c>
      <c r="E17" s="18" t="s">
        <v>9</v>
      </c>
      <c r="F17" s="42">
        <v>216</v>
      </c>
      <c r="G17" s="42">
        <f>tabla_consumos[[#This Row],[Consumo]]*tabla_consumos[[#This Row],[UM]]</f>
        <v>21600</v>
      </c>
      <c r="H17" s="42" t="str">
        <f>TRIM(tabla_consumos[[#This Row],[EAN]])</f>
        <v>1112017200010</v>
      </c>
      <c r="I17" s="42">
        <f>IFERROR(_xlfn.XMATCH(tabla_consumos[[#This Row],[Familia]],Tabla2[Familia],0),"No esta")</f>
        <v>1</v>
      </c>
    </row>
    <row r="18" spans="1:9" hidden="1" x14ac:dyDescent="0.35">
      <c r="A18" s="4" t="s">
        <v>131</v>
      </c>
      <c r="B18" s="17">
        <v>2007184</v>
      </c>
      <c r="C18" s="18" t="s">
        <v>132</v>
      </c>
      <c r="D18" s="18">
        <v>1</v>
      </c>
      <c r="E18" s="18" t="s">
        <v>28</v>
      </c>
      <c r="F18" s="42">
        <v>354</v>
      </c>
      <c r="G18" s="42">
        <f>tabla_consumos[[#This Row],[Consumo]]*tabla_consumos[[#This Row],[UM]]</f>
        <v>354</v>
      </c>
      <c r="H18" s="42" t="str">
        <f>TRIM(tabla_consumos[[#This Row],[EAN]])</f>
        <v>7790000000228</v>
      </c>
      <c r="I18" s="42">
        <f>IFERROR(_xlfn.XMATCH(tabla_consumos[[#This Row],[Familia]],Tabla2[Familia],0),"No esta")</f>
        <v>12</v>
      </c>
    </row>
    <row r="19" spans="1:9" hidden="1" x14ac:dyDescent="0.35">
      <c r="A19" s="4" t="s">
        <v>133</v>
      </c>
      <c r="B19" s="17">
        <v>2007212</v>
      </c>
      <c r="C19" s="18" t="s">
        <v>134</v>
      </c>
      <c r="D19" s="18">
        <v>100</v>
      </c>
      <c r="E19" s="18" t="s">
        <v>53</v>
      </c>
      <c r="F19" s="42">
        <v>107</v>
      </c>
      <c r="G19" s="42">
        <f>tabla_consumos[[#This Row],[Consumo]]*tabla_consumos[[#This Row],[UM]]</f>
        <v>10700</v>
      </c>
      <c r="H19" s="42" t="str">
        <f>TRIM(tabla_consumos[[#This Row],[EAN]])</f>
        <v>7798362410546</v>
      </c>
      <c r="I19" s="42">
        <f>IFERROR(_xlfn.XMATCH(tabla_consumos[[#This Row],[Familia]],Tabla2[Familia],0),"No esta")</f>
        <v>28</v>
      </c>
    </row>
    <row r="20" spans="1:9" hidden="1" x14ac:dyDescent="0.35">
      <c r="A20" s="4" t="s">
        <v>135</v>
      </c>
      <c r="B20" s="17">
        <v>2007157</v>
      </c>
      <c r="C20" s="18" t="s">
        <v>136</v>
      </c>
      <c r="D20" s="18">
        <v>50</v>
      </c>
      <c r="E20" s="18" t="s">
        <v>32</v>
      </c>
      <c r="F20" s="42">
        <v>56</v>
      </c>
      <c r="G20" s="42">
        <f>tabla_consumos[[#This Row],[Consumo]]*tabla_consumos[[#This Row],[UM]]</f>
        <v>2800</v>
      </c>
      <c r="H20" s="42" t="str">
        <f>TRIM(tabla_consumos[[#This Row],[EAN]])</f>
        <v>7790000000195</v>
      </c>
      <c r="I20" s="42">
        <f>IFERROR(_xlfn.XMATCH(tabla_consumos[[#This Row],[Familia]],Tabla2[Familia],0),"No esta")</f>
        <v>15</v>
      </c>
    </row>
    <row r="21" spans="1:9" hidden="1" x14ac:dyDescent="0.35">
      <c r="A21" s="4" t="s">
        <v>137</v>
      </c>
      <c r="B21" s="17">
        <v>2007293</v>
      </c>
      <c r="C21" s="18" t="s">
        <v>138</v>
      </c>
      <c r="D21" s="18">
        <v>18000</v>
      </c>
      <c r="E21" s="18" t="s">
        <v>54</v>
      </c>
      <c r="F21" s="42">
        <v>28</v>
      </c>
      <c r="G21" s="42">
        <f>tabla_consumos[[#This Row],[Consumo]]*tabla_consumos[[#This Row],[UM]]</f>
        <v>504000</v>
      </c>
      <c r="H21" s="42" t="str">
        <f>TRIM(tabla_consumos[[#This Row],[EAN]])</f>
        <v>7896061975325</v>
      </c>
      <c r="I21" s="42">
        <f>IFERROR(_xlfn.XMATCH(tabla_consumos[[#This Row],[Familia]],Tabla2[Familia],0),"No esta")</f>
        <v>29</v>
      </c>
    </row>
    <row r="22" spans="1:9" hidden="1" x14ac:dyDescent="0.35">
      <c r="A22" s="4" t="s">
        <v>139</v>
      </c>
      <c r="B22" s="17">
        <v>2007181</v>
      </c>
      <c r="C22" s="18" t="s">
        <v>140</v>
      </c>
      <c r="D22" s="18">
        <v>12</v>
      </c>
      <c r="E22" s="18" t="s">
        <v>60</v>
      </c>
      <c r="F22" s="42">
        <v>26</v>
      </c>
      <c r="G22" s="42">
        <f>tabla_consumos[[#This Row],[Consumo]]*tabla_consumos[[#This Row],[UM]]</f>
        <v>312</v>
      </c>
      <c r="H22" s="42" t="str">
        <f>TRIM(tabla_consumos[[#This Row],[EAN]])</f>
        <v>7790000000222</v>
      </c>
      <c r="I22" s="42">
        <f>IFERROR(_xlfn.XMATCH(tabla_consumos[[#This Row],[Familia]],Tabla2[Familia],0),"No esta")</f>
        <v>34</v>
      </c>
    </row>
    <row r="23" spans="1:9" hidden="1" x14ac:dyDescent="0.35">
      <c r="A23" s="4" t="s">
        <v>141</v>
      </c>
      <c r="B23" s="17">
        <v>2007127</v>
      </c>
      <c r="C23" s="18" t="s">
        <v>142</v>
      </c>
      <c r="D23" s="18">
        <v>1000</v>
      </c>
      <c r="E23" s="18" t="s">
        <v>30</v>
      </c>
      <c r="F23" s="42">
        <v>55</v>
      </c>
      <c r="G23" s="42">
        <f>tabla_consumos[[#This Row],[Consumo]]*tabla_consumos[[#This Row],[UM]]</f>
        <v>55000</v>
      </c>
      <c r="H23" s="42" t="str">
        <f>TRIM(tabla_consumos[[#This Row],[EAN]])</f>
        <v>7790000000225</v>
      </c>
      <c r="I23" s="42">
        <f>IFERROR(_xlfn.XMATCH(tabla_consumos[[#This Row],[Familia]],Tabla2[Familia],0),"No esta")</f>
        <v>13</v>
      </c>
    </row>
    <row r="24" spans="1:9" hidden="1" x14ac:dyDescent="0.35">
      <c r="A24" s="4" t="s">
        <v>143</v>
      </c>
      <c r="B24" s="17">
        <v>2007126</v>
      </c>
      <c r="C24" s="18" t="s">
        <v>144</v>
      </c>
      <c r="D24" s="18">
        <v>12</v>
      </c>
      <c r="E24" s="18" t="s">
        <v>60</v>
      </c>
      <c r="F24" s="42">
        <v>23</v>
      </c>
      <c r="G24" s="42">
        <f>tabla_consumos[[#This Row],[Consumo]]*tabla_consumos[[#This Row],[UM]]</f>
        <v>276</v>
      </c>
      <c r="H24" s="42" t="str">
        <f>TRIM(tabla_consumos[[#This Row],[EAN]])</f>
        <v>7790000000241</v>
      </c>
      <c r="I24" s="42">
        <f>IFERROR(_xlfn.XMATCH(tabla_consumos[[#This Row],[Familia]],Tabla2[Familia],0),"No esta")</f>
        <v>34</v>
      </c>
    </row>
    <row r="25" spans="1:9" hidden="1" x14ac:dyDescent="0.35">
      <c r="A25" s="4" t="s">
        <v>145</v>
      </c>
      <c r="B25" s="17">
        <v>2007191</v>
      </c>
      <c r="C25" s="18" t="s">
        <v>146</v>
      </c>
      <c r="D25" s="18">
        <v>1000</v>
      </c>
      <c r="E25" s="18" t="s">
        <v>57</v>
      </c>
      <c r="F25" s="42">
        <v>59</v>
      </c>
      <c r="G25" s="42">
        <f>tabla_consumos[[#This Row],[Consumo]]*tabla_consumos[[#This Row],[UM]]</f>
        <v>59000</v>
      </c>
      <c r="H25" s="42" t="str">
        <f>TRIM(tabla_consumos[[#This Row],[EAN]])</f>
        <v>7790000000235</v>
      </c>
      <c r="I25" s="42">
        <f>IFERROR(_xlfn.XMATCH(tabla_consumos[[#This Row],[Familia]],Tabla2[Familia],0),"No esta")</f>
        <v>31</v>
      </c>
    </row>
    <row r="26" spans="1:9" hidden="1" x14ac:dyDescent="0.35">
      <c r="A26" s="4" t="s">
        <v>147</v>
      </c>
      <c r="B26" s="17">
        <v>2007180</v>
      </c>
      <c r="C26" s="18" t="s">
        <v>148</v>
      </c>
      <c r="D26" s="18">
        <v>12</v>
      </c>
      <c r="E26" s="18" t="s">
        <v>56</v>
      </c>
      <c r="F26" s="42">
        <v>20</v>
      </c>
      <c r="G26" s="42">
        <f>tabla_consumos[[#This Row],[Consumo]]*tabla_consumos[[#This Row],[UM]]</f>
        <v>240</v>
      </c>
      <c r="H26" s="42" t="str">
        <f>TRIM(tabla_consumos[[#This Row],[EAN]])</f>
        <v>7790000000221</v>
      </c>
      <c r="I26" s="42">
        <f>IFERROR(_xlfn.XMATCH(tabla_consumos[[#This Row],[Familia]],Tabla2[Familia],0),"No esta")</f>
        <v>30</v>
      </c>
    </row>
    <row r="27" spans="1:9" hidden="1" x14ac:dyDescent="0.35">
      <c r="A27" s="4" t="s">
        <v>149</v>
      </c>
      <c r="B27" s="17">
        <v>2007192</v>
      </c>
      <c r="C27" s="18" t="s">
        <v>150</v>
      </c>
      <c r="D27" s="18">
        <v>1000</v>
      </c>
      <c r="E27" s="18" t="s">
        <v>49</v>
      </c>
      <c r="F27" s="42">
        <v>204</v>
      </c>
      <c r="G27" s="42">
        <f>tabla_consumos[[#This Row],[Consumo]]*tabla_consumos[[#This Row],[UM]]</f>
        <v>204000</v>
      </c>
      <c r="H27" s="42" t="str">
        <f>TRIM(tabla_consumos[[#This Row],[EAN]])</f>
        <v>7790000000236</v>
      </c>
      <c r="I27" s="42">
        <f>IFERROR(_xlfn.XMATCH(tabla_consumos[[#This Row],[Familia]],Tabla2[Familia],0),"No esta")</f>
        <v>26</v>
      </c>
    </row>
    <row r="28" spans="1:9" hidden="1" x14ac:dyDescent="0.35">
      <c r="A28" s="4" t="s">
        <v>151</v>
      </c>
      <c r="B28" s="17">
        <v>2007118</v>
      </c>
      <c r="C28" s="18" t="s">
        <v>152</v>
      </c>
      <c r="D28" s="18">
        <v>100</v>
      </c>
      <c r="E28" s="18" t="s">
        <v>72</v>
      </c>
      <c r="F28" s="42">
        <v>50</v>
      </c>
      <c r="G28" s="42">
        <f>tabla_consumos[[#This Row],[Consumo]]*tabla_consumos[[#This Row],[UM]]</f>
        <v>5000</v>
      </c>
      <c r="H28" s="42" t="str">
        <f>TRIM(tabla_consumos[[#This Row],[EAN]])</f>
        <v>7790000000247</v>
      </c>
      <c r="I28" s="42">
        <f>IFERROR(_xlfn.XMATCH(tabla_consumos[[#This Row],[Familia]],Tabla2[Familia],0),"No esta")</f>
        <v>44</v>
      </c>
    </row>
    <row r="29" spans="1:9" hidden="1" x14ac:dyDescent="0.35">
      <c r="A29" s="4" t="s">
        <v>153</v>
      </c>
      <c r="B29" s="17">
        <v>2007187</v>
      </c>
      <c r="C29" s="18" t="s">
        <v>154</v>
      </c>
      <c r="D29" s="18">
        <v>1000</v>
      </c>
      <c r="E29" s="18" t="s">
        <v>68</v>
      </c>
      <c r="F29" s="42">
        <v>8</v>
      </c>
      <c r="G29" s="42">
        <f>tabla_consumos[[#This Row],[Consumo]]*tabla_consumos[[#This Row],[UM]]</f>
        <v>8000</v>
      </c>
      <c r="H29" s="42" t="str">
        <f>TRIM(tabla_consumos[[#This Row],[EAN]])</f>
        <v>7790000000231</v>
      </c>
      <c r="I29" s="42">
        <f>IFERROR(_xlfn.XMATCH(tabla_consumos[[#This Row],[Familia]],Tabla2[Familia],0),"No esta")</f>
        <v>40</v>
      </c>
    </row>
    <row r="30" spans="1:9" hidden="1" x14ac:dyDescent="0.35">
      <c r="A30" s="4" t="s">
        <v>155</v>
      </c>
      <c r="B30" s="17">
        <v>2007128</v>
      </c>
      <c r="C30" s="18" t="s">
        <v>156</v>
      </c>
      <c r="D30" s="18">
        <v>1000</v>
      </c>
      <c r="E30" s="18" t="s">
        <v>69</v>
      </c>
      <c r="F30" s="42">
        <v>37</v>
      </c>
      <c r="G30" s="42">
        <f>tabla_consumos[[#This Row],[Consumo]]*tabla_consumos[[#This Row],[UM]]</f>
        <v>37000</v>
      </c>
      <c r="H30" s="42" t="str">
        <f>TRIM(tabla_consumos[[#This Row],[EAN]])</f>
        <v>7790000000251</v>
      </c>
      <c r="I30" s="42">
        <f>IFERROR(_xlfn.XMATCH(tabla_consumos[[#This Row],[Familia]],Tabla2[Familia],0),"No esta")</f>
        <v>41</v>
      </c>
    </row>
    <row r="31" spans="1:9" hidden="1" x14ac:dyDescent="0.35">
      <c r="A31" s="4" t="s">
        <v>157</v>
      </c>
      <c r="B31" s="17">
        <v>2007190</v>
      </c>
      <c r="C31" s="18" t="s">
        <v>158</v>
      </c>
      <c r="D31" s="18">
        <v>1000</v>
      </c>
      <c r="E31" s="18" t="s">
        <v>11</v>
      </c>
      <c r="F31" s="42">
        <v>0</v>
      </c>
      <c r="G31" s="42">
        <f>tabla_consumos[[#This Row],[Consumo]]*tabla_consumos[[#This Row],[UM]]</f>
        <v>0</v>
      </c>
      <c r="H31" s="42" t="str">
        <f>TRIM(tabla_consumos[[#This Row],[EAN]])</f>
        <v>7790000000234</v>
      </c>
      <c r="I31" s="42">
        <f>IFERROR(_xlfn.XMATCH(tabla_consumos[[#This Row],[Familia]],Tabla2[Familia],0),"No esta")</f>
        <v>2</v>
      </c>
    </row>
    <row r="32" spans="1:9" hidden="1" x14ac:dyDescent="0.35">
      <c r="A32" s="4" t="s">
        <v>159</v>
      </c>
      <c r="B32" s="17">
        <v>2007188</v>
      </c>
      <c r="C32" s="18" t="s">
        <v>160</v>
      </c>
      <c r="D32" s="18">
        <v>1000</v>
      </c>
      <c r="E32" s="18" t="s">
        <v>75</v>
      </c>
      <c r="F32" s="42">
        <v>0</v>
      </c>
      <c r="G32" s="42">
        <f>tabla_consumos[[#This Row],[Consumo]]*tabla_consumos[[#This Row],[UM]]</f>
        <v>0</v>
      </c>
      <c r="H32" s="42" t="str">
        <f>TRIM(tabla_consumos[[#This Row],[EAN]])</f>
        <v>7790000000232</v>
      </c>
      <c r="I32" s="42">
        <f>IFERROR(_xlfn.XMATCH(tabla_consumos[[#This Row],[Familia]],Tabla2[Familia],0),"No esta")</f>
        <v>47</v>
      </c>
    </row>
    <row r="33" spans="1:9" hidden="1" x14ac:dyDescent="0.35">
      <c r="A33" s="4" t="s">
        <v>161</v>
      </c>
      <c r="B33" s="17">
        <v>2007193</v>
      </c>
      <c r="C33" s="18" t="s">
        <v>162</v>
      </c>
      <c r="D33" s="18">
        <v>1000</v>
      </c>
      <c r="E33" s="18" t="s">
        <v>16</v>
      </c>
      <c r="F33" s="42">
        <v>0</v>
      </c>
      <c r="G33" s="42">
        <f>tabla_consumos[[#This Row],[Consumo]]*tabla_consumos[[#This Row],[UM]]</f>
        <v>0</v>
      </c>
      <c r="H33" s="42" t="str">
        <f>TRIM(tabla_consumos[[#This Row],[EAN]])</f>
        <v>7790000000237</v>
      </c>
      <c r="I33" s="42">
        <f>IFERROR(_xlfn.XMATCH(tabla_consumos[[#This Row],[Familia]],Tabla2[Familia],0),"No esta")</f>
        <v>4</v>
      </c>
    </row>
    <row r="34" spans="1:9" hidden="1" x14ac:dyDescent="0.35">
      <c r="A34" s="4" t="s">
        <v>163</v>
      </c>
      <c r="B34" s="17">
        <v>2007194</v>
      </c>
      <c r="C34" s="18" t="s">
        <v>164</v>
      </c>
      <c r="D34" s="18">
        <v>1000</v>
      </c>
      <c r="E34" s="18" t="s">
        <v>17</v>
      </c>
      <c r="F34" s="42">
        <v>0</v>
      </c>
      <c r="G34" s="42">
        <f>tabla_consumos[[#This Row],[Consumo]]*tabla_consumos[[#This Row],[UM]]</f>
        <v>0</v>
      </c>
      <c r="H34" s="42" t="str">
        <f>TRIM(tabla_consumos[[#This Row],[EAN]])</f>
        <v>7790000000238</v>
      </c>
      <c r="I34" s="42">
        <f>IFERROR(_xlfn.XMATCH(tabla_consumos[[#This Row],[Familia]],Tabla2[Familia],0),"No esta")</f>
        <v>5</v>
      </c>
    </row>
    <row r="35" spans="1:9" hidden="1" x14ac:dyDescent="0.35">
      <c r="A35" s="4" t="s">
        <v>165</v>
      </c>
      <c r="B35" s="17">
        <v>2007131</v>
      </c>
      <c r="C35" s="18" t="s">
        <v>166</v>
      </c>
      <c r="D35" s="18">
        <v>3000</v>
      </c>
      <c r="E35" s="18" t="s">
        <v>74</v>
      </c>
      <c r="F35" s="42">
        <v>1</v>
      </c>
      <c r="G35" s="42">
        <f>tabla_consumos[[#This Row],[Consumo]]*tabla_consumos[[#This Row],[UM]]</f>
        <v>3000</v>
      </c>
      <c r="H35" s="42" t="str">
        <f>TRIM(tabla_consumos[[#This Row],[EAN]])</f>
        <v>7790000000255</v>
      </c>
      <c r="I35" s="42">
        <f>IFERROR(_xlfn.XMATCH(tabla_consumos[[#This Row],[Familia]],Tabla2[Familia],0),"No esta")</f>
        <v>46</v>
      </c>
    </row>
    <row r="36" spans="1:9" hidden="1" x14ac:dyDescent="0.35">
      <c r="A36" s="4" t="s">
        <v>167</v>
      </c>
      <c r="B36" s="17">
        <v>2007137</v>
      </c>
      <c r="C36" s="18" t="s">
        <v>168</v>
      </c>
      <c r="D36" s="18">
        <v>1000</v>
      </c>
      <c r="E36" s="18" t="s">
        <v>44</v>
      </c>
      <c r="F36" s="42">
        <v>146</v>
      </c>
      <c r="G36" s="42">
        <f>tabla_consumos[[#This Row],[Consumo]]*tabla_consumos[[#This Row],[UM]]</f>
        <v>146000</v>
      </c>
      <c r="H36" s="42" t="str">
        <f>TRIM(tabla_consumos[[#This Row],[EAN]])</f>
        <v>17798038127102</v>
      </c>
      <c r="I36" s="42">
        <f>IFERROR(_xlfn.XMATCH(tabla_consumos[[#This Row],[Familia]],Tabla2[Familia],0),"No esta")</f>
        <v>22</v>
      </c>
    </row>
    <row r="37" spans="1:9" hidden="1" x14ac:dyDescent="0.35">
      <c r="A37" s="4" t="s">
        <v>169</v>
      </c>
      <c r="B37" s="17">
        <v>2007282</v>
      </c>
      <c r="C37" s="18" t="s">
        <v>170</v>
      </c>
      <c r="D37" s="18">
        <v>50</v>
      </c>
      <c r="E37" s="18" t="s">
        <v>73</v>
      </c>
      <c r="F37" s="42">
        <v>0</v>
      </c>
      <c r="G37" s="42">
        <f>tabla_consumos[[#This Row],[Consumo]]*tabla_consumos[[#This Row],[UM]]</f>
        <v>0</v>
      </c>
      <c r="H37" s="42" t="str">
        <f>TRIM(tabla_consumos[[#This Row],[EAN]])</f>
        <v>7790000000342</v>
      </c>
      <c r="I37" s="42">
        <f>IFERROR(_xlfn.XMATCH(tabla_consumos[[#This Row],[Familia]],Tabla2[Familia],0),"No esta")</f>
        <v>45</v>
      </c>
    </row>
    <row r="38" spans="1:9" hidden="1" x14ac:dyDescent="0.35">
      <c r="A38" s="4" t="s">
        <v>171</v>
      </c>
      <c r="B38" s="17">
        <v>2007321</v>
      </c>
      <c r="C38" s="18" t="s">
        <v>172</v>
      </c>
      <c r="D38" s="18">
        <v>1400</v>
      </c>
      <c r="E38" s="18" t="s">
        <v>89</v>
      </c>
      <c r="F38" s="42">
        <v>6</v>
      </c>
      <c r="G38" s="42">
        <f>tabla_consumos[[#This Row],[Consumo]]*tabla_consumos[[#This Row],[UM]]</f>
        <v>8400</v>
      </c>
      <c r="H38" s="42" t="str">
        <f>TRIM(tabla_consumos[[#This Row],[EAN]])</f>
        <v>7790000000379</v>
      </c>
      <c r="I38" s="42">
        <f>IFERROR(_xlfn.XMATCH(tabla_consumos[[#This Row],[Familia]],Tabla2[Familia],0),"No esta")</f>
        <v>61</v>
      </c>
    </row>
    <row r="39" spans="1:9" hidden="1" x14ac:dyDescent="0.35">
      <c r="A39" s="4" t="s">
        <v>173</v>
      </c>
      <c r="B39" s="17">
        <v>2007322</v>
      </c>
      <c r="C39" s="18" t="s">
        <v>174</v>
      </c>
      <c r="D39" s="18">
        <v>900</v>
      </c>
      <c r="E39" s="18" t="s">
        <v>175</v>
      </c>
      <c r="F39" s="42">
        <v>3</v>
      </c>
      <c r="G39" s="42">
        <f>tabla_consumos[[#This Row],[Consumo]]*tabla_consumos[[#This Row],[UM]]</f>
        <v>2700</v>
      </c>
      <c r="H39" s="42" t="str">
        <f>TRIM(tabla_consumos[[#This Row],[EAN]])</f>
        <v>7790000000380</v>
      </c>
      <c r="I39" s="42" t="str">
        <f>IFERROR(_xlfn.XMATCH(tabla_consumos[[#This Row],[Familia]],Tabla2[Familia],0),"No esta")</f>
        <v>No esta</v>
      </c>
    </row>
    <row r="40" spans="1:9" hidden="1" x14ac:dyDescent="0.35">
      <c r="A40" s="4" t="s">
        <v>176</v>
      </c>
      <c r="B40" s="17">
        <v>2007323</v>
      </c>
      <c r="C40" s="18" t="s">
        <v>177</v>
      </c>
      <c r="D40" s="18">
        <v>700</v>
      </c>
      <c r="E40" s="18" t="s">
        <v>80</v>
      </c>
      <c r="F40" s="42">
        <v>5</v>
      </c>
      <c r="G40" s="42">
        <f>tabla_consumos[[#This Row],[Consumo]]*tabla_consumos[[#This Row],[UM]]</f>
        <v>3500</v>
      </c>
      <c r="H40" s="42" t="str">
        <f>TRIM(tabla_consumos[[#This Row],[EAN]])</f>
        <v>7790000000381</v>
      </c>
      <c r="I40" s="42">
        <f>IFERROR(_xlfn.XMATCH(tabla_consumos[[#This Row],[Familia]],Tabla2[Familia],0),"No esta")</f>
        <v>52</v>
      </c>
    </row>
    <row r="41" spans="1:9" hidden="1" x14ac:dyDescent="0.35">
      <c r="A41" s="4" t="s">
        <v>178</v>
      </c>
      <c r="B41" s="17">
        <v>2007360</v>
      </c>
      <c r="C41" s="18" t="s">
        <v>179</v>
      </c>
      <c r="D41" s="18">
        <v>1</v>
      </c>
      <c r="E41" s="18" t="s">
        <v>76</v>
      </c>
      <c r="F41" s="42">
        <v>660</v>
      </c>
      <c r="G41" s="42">
        <f>tabla_consumos[[#This Row],[Consumo]]*tabla_consumos[[#This Row],[UM]]</f>
        <v>660</v>
      </c>
      <c r="H41" s="42" t="str">
        <f>TRIM(tabla_consumos[[#This Row],[EAN]])</f>
        <v>7790000000404</v>
      </c>
      <c r="I41" s="42">
        <f>IFERROR(_xlfn.XMATCH(tabla_consumos[[#This Row],[Familia]],Tabla2[Familia],0),"No esta")</f>
        <v>48</v>
      </c>
    </row>
    <row r="42" spans="1:9" hidden="1" x14ac:dyDescent="0.35">
      <c r="A42" s="4" t="s">
        <v>180</v>
      </c>
      <c r="B42" s="17">
        <v>2007148</v>
      </c>
      <c r="C42" s="18" t="s">
        <v>181</v>
      </c>
      <c r="D42" s="18">
        <v>100</v>
      </c>
      <c r="E42" s="18" t="s">
        <v>59</v>
      </c>
      <c r="F42" s="42">
        <v>304</v>
      </c>
      <c r="G42" s="42">
        <f>tabla_consumos[[#This Row],[Consumo]]*tabla_consumos[[#This Row],[UM]]</f>
        <v>30400</v>
      </c>
      <c r="H42" s="42" t="str">
        <f>TRIM(tabla_consumos[[#This Row],[EAN]])</f>
        <v>7798209711881</v>
      </c>
      <c r="I42" s="42">
        <f>IFERROR(_xlfn.XMATCH(tabla_consumos[[#This Row],[Familia]],Tabla2[Familia],0),"No esta")</f>
        <v>33</v>
      </c>
    </row>
    <row r="43" spans="1:9" hidden="1" x14ac:dyDescent="0.35">
      <c r="A43" s="4" t="s">
        <v>182</v>
      </c>
      <c r="B43" s="17">
        <v>2007284</v>
      </c>
      <c r="C43" s="18" t="s">
        <v>183</v>
      </c>
      <c r="D43" s="18">
        <v>50</v>
      </c>
      <c r="E43" s="18" t="s">
        <v>84</v>
      </c>
      <c r="F43" s="42">
        <v>292</v>
      </c>
      <c r="G43" s="42">
        <f>tabla_consumos[[#This Row],[Consumo]]*tabla_consumos[[#This Row],[UM]]</f>
        <v>14600</v>
      </c>
      <c r="H43" s="42" t="str">
        <f>TRIM(tabla_consumos[[#This Row],[EAN]])</f>
        <v>7790000000344</v>
      </c>
      <c r="I43" s="42">
        <f>IFERROR(_xlfn.XMATCH(tabla_consumos[[#This Row],[Familia]],Tabla2[Familia],0),"No esta")</f>
        <v>56</v>
      </c>
    </row>
    <row r="44" spans="1:9" hidden="1" x14ac:dyDescent="0.35">
      <c r="A44" s="4" t="s">
        <v>184</v>
      </c>
      <c r="B44" s="17">
        <v>2007332</v>
      </c>
      <c r="C44" s="18" t="s">
        <v>185</v>
      </c>
      <c r="D44" s="18">
        <v>1</v>
      </c>
      <c r="E44" s="18" t="s">
        <v>46</v>
      </c>
      <c r="F44" s="42">
        <v>3</v>
      </c>
      <c r="G44" s="42">
        <f>tabla_consumos[[#This Row],[Consumo]]*tabla_consumos[[#This Row],[UM]]</f>
        <v>3</v>
      </c>
      <c r="H44" s="42" t="str">
        <f>TRIM(tabla_consumos[[#This Row],[EAN]])</f>
        <v>9992017900507</v>
      </c>
      <c r="I44" s="42">
        <f>IFERROR(_xlfn.XMATCH(tabla_consumos[[#This Row],[Familia]],Tabla2[Familia],0),"No esta")</f>
        <v>24</v>
      </c>
    </row>
    <row r="45" spans="1:9" hidden="1" x14ac:dyDescent="0.35">
      <c r="A45" s="4" t="s">
        <v>186</v>
      </c>
      <c r="B45" s="17">
        <v>2007124</v>
      </c>
      <c r="C45" s="18" t="s">
        <v>187</v>
      </c>
      <c r="D45" s="18">
        <v>100</v>
      </c>
      <c r="E45" s="18" t="s">
        <v>73</v>
      </c>
      <c r="F45" s="42">
        <v>69</v>
      </c>
      <c r="G45" s="42">
        <f>tabla_consumos[[#This Row],[Consumo]]*tabla_consumos[[#This Row],[UM]]</f>
        <v>6900</v>
      </c>
      <c r="H45" s="42" t="str">
        <f>TRIM(tabla_consumos[[#This Row],[EAN]])</f>
        <v>7798011210046</v>
      </c>
      <c r="I45" s="42">
        <f>IFERROR(_xlfn.XMATCH(tabla_consumos[[#This Row],[Familia]],Tabla2[Familia],0),"No esta")</f>
        <v>45</v>
      </c>
    </row>
    <row r="46" spans="1:9" hidden="1" x14ac:dyDescent="0.35">
      <c r="A46" s="4" t="s">
        <v>188</v>
      </c>
      <c r="B46" s="17">
        <v>2007283</v>
      </c>
      <c r="C46" s="18" t="s">
        <v>189</v>
      </c>
      <c r="D46" s="18">
        <v>50</v>
      </c>
      <c r="E46" s="18" t="s">
        <v>72</v>
      </c>
      <c r="F46" s="42">
        <v>0</v>
      </c>
      <c r="G46" s="42">
        <f>tabla_consumos[[#This Row],[Consumo]]*tabla_consumos[[#This Row],[UM]]</f>
        <v>0</v>
      </c>
      <c r="H46" s="42" t="str">
        <f>TRIM(tabla_consumos[[#This Row],[EAN]])</f>
        <v>7790000000343</v>
      </c>
      <c r="I46" s="42">
        <f>IFERROR(_xlfn.XMATCH(tabla_consumos[[#This Row],[Familia]],Tabla2[Familia],0),"No esta")</f>
        <v>44</v>
      </c>
    </row>
    <row r="47" spans="1:9" hidden="1" x14ac:dyDescent="0.35">
      <c r="A47" s="4" t="s">
        <v>190</v>
      </c>
      <c r="B47" s="17">
        <v>2007514</v>
      </c>
      <c r="C47" s="18" t="s">
        <v>191</v>
      </c>
      <c r="D47" s="18">
        <v>1000</v>
      </c>
      <c r="E47" s="18" t="s">
        <v>77</v>
      </c>
      <c r="F47" s="42">
        <v>0</v>
      </c>
      <c r="G47" s="42">
        <f>tabla_consumos[[#This Row],[Consumo]]*tabla_consumos[[#This Row],[UM]]</f>
        <v>0</v>
      </c>
      <c r="H47" s="42" t="str">
        <f>TRIM(tabla_consumos[[#This Row],[EAN]])</f>
        <v>7790000000488</v>
      </c>
      <c r="I47" s="42">
        <f>IFERROR(_xlfn.XMATCH(tabla_consumos[[#This Row],[Familia]],Tabla2[Familia],0),"No esta")</f>
        <v>49</v>
      </c>
    </row>
    <row r="48" spans="1:9" hidden="1" x14ac:dyDescent="0.35">
      <c r="A48" s="4" t="s">
        <v>192</v>
      </c>
      <c r="B48" s="17">
        <v>2007397</v>
      </c>
      <c r="C48" s="18" t="s">
        <v>193</v>
      </c>
      <c r="D48" s="18">
        <v>60</v>
      </c>
      <c r="E48" s="18" t="s">
        <v>63</v>
      </c>
      <c r="F48" s="42">
        <v>51</v>
      </c>
      <c r="G48" s="42">
        <f>tabla_consumos[[#This Row],[Consumo]]*tabla_consumos[[#This Row],[UM]]</f>
        <v>3060</v>
      </c>
      <c r="H48" s="42" t="str">
        <f>TRIM(tabla_consumos[[#This Row],[EAN]])</f>
        <v>7790000002198</v>
      </c>
      <c r="I48" s="42">
        <f>IFERROR(_xlfn.XMATCH(tabla_consumos[[#This Row],[Familia]],Tabla2[Familia],0),"No esta")</f>
        <v>36</v>
      </c>
    </row>
    <row r="49" spans="1:9" hidden="1" x14ac:dyDescent="0.35">
      <c r="A49" s="4" t="s">
        <v>194</v>
      </c>
      <c r="B49" s="17">
        <v>2007404</v>
      </c>
      <c r="C49" s="18" t="s">
        <v>195</v>
      </c>
      <c r="D49" s="18">
        <v>12</v>
      </c>
      <c r="E49" s="18" t="s">
        <v>196</v>
      </c>
      <c r="F49" s="42">
        <v>0</v>
      </c>
      <c r="G49" s="42">
        <f>tabla_consumos[[#This Row],[Consumo]]*tabla_consumos[[#This Row],[UM]]</f>
        <v>0</v>
      </c>
      <c r="H49" s="42" t="str">
        <f>TRIM(tabla_consumos[[#This Row],[EAN]])</f>
        <v>7790026000196</v>
      </c>
      <c r="I49" s="42">
        <f>IFERROR(_xlfn.XMATCH(tabla_consumos[[#This Row],[Familia]],Tabla2[Familia],0),"No esta")</f>
        <v>30</v>
      </c>
    </row>
    <row r="50" spans="1:9" hidden="1" x14ac:dyDescent="0.35">
      <c r="A50" s="4" t="s">
        <v>197</v>
      </c>
      <c r="B50" s="17">
        <v>2007402</v>
      </c>
      <c r="C50" s="18" t="s">
        <v>198</v>
      </c>
      <c r="D50" s="18">
        <v>12</v>
      </c>
      <c r="E50" s="18" t="s">
        <v>196</v>
      </c>
      <c r="F50" s="42">
        <v>0</v>
      </c>
      <c r="G50" s="42">
        <f>tabla_consumos[[#This Row],[Consumo]]*tabla_consumos[[#This Row],[UM]]</f>
        <v>0</v>
      </c>
      <c r="H50" s="42" t="str">
        <f>TRIM(tabla_consumos[[#This Row],[EAN]])</f>
        <v>7790023000196</v>
      </c>
      <c r="I50" s="42">
        <f>IFERROR(_xlfn.XMATCH(tabla_consumos[[#This Row],[Familia]],Tabla2[Familia],0),"No esta")</f>
        <v>30</v>
      </c>
    </row>
    <row r="51" spans="1:9" hidden="1" x14ac:dyDescent="0.35">
      <c r="A51" s="4" t="s">
        <v>199</v>
      </c>
      <c r="B51" s="17">
        <v>2007226</v>
      </c>
      <c r="C51" s="18" t="s">
        <v>200</v>
      </c>
      <c r="D51" s="18">
        <v>100</v>
      </c>
      <c r="E51" s="18" t="s">
        <v>13</v>
      </c>
      <c r="F51" s="42">
        <v>352</v>
      </c>
      <c r="G51" s="42">
        <f>tabla_consumos[[#This Row],[Consumo]]*tabla_consumos[[#This Row],[UM]]</f>
        <v>35200</v>
      </c>
      <c r="H51" s="42" t="str">
        <f>TRIM(tabla_consumos[[#This Row],[EAN]])</f>
        <v>7790000000272</v>
      </c>
      <c r="I51" s="42">
        <f>IFERROR(_xlfn.XMATCH(tabla_consumos[[#This Row],[Familia]],Tabla2[Familia],0),"No esta")</f>
        <v>3</v>
      </c>
    </row>
    <row r="52" spans="1:9" hidden="1" x14ac:dyDescent="0.35">
      <c r="A52" s="4" t="s">
        <v>201</v>
      </c>
      <c r="B52" s="17">
        <v>2007401</v>
      </c>
      <c r="C52" s="18" t="s">
        <v>202</v>
      </c>
      <c r="D52" s="18">
        <v>12</v>
      </c>
      <c r="E52" s="18" t="s">
        <v>40</v>
      </c>
      <c r="F52" s="42">
        <v>7</v>
      </c>
      <c r="G52" s="42">
        <f>tabla_consumos[[#This Row],[Consumo]]*tabla_consumos[[#This Row],[UM]]</f>
        <v>84</v>
      </c>
      <c r="H52" s="42" t="str">
        <f>TRIM(tabla_consumos[[#This Row],[EAN]])</f>
        <v>7790022000196</v>
      </c>
      <c r="I52" s="42">
        <f>IFERROR(_xlfn.XMATCH(tabla_consumos[[#This Row],[Familia]],Tabla2[Familia],0),"No esta")</f>
        <v>20</v>
      </c>
    </row>
    <row r="53" spans="1:9" hidden="1" x14ac:dyDescent="0.35">
      <c r="A53" s="4" t="s">
        <v>203</v>
      </c>
      <c r="B53" s="17">
        <v>2007403</v>
      </c>
      <c r="C53" s="18" t="s">
        <v>204</v>
      </c>
      <c r="D53" s="18">
        <v>12</v>
      </c>
      <c r="E53" s="18" t="s">
        <v>205</v>
      </c>
      <c r="F53" s="42">
        <v>2</v>
      </c>
      <c r="G53" s="42">
        <f>tabla_consumos[[#This Row],[Consumo]]*tabla_consumos[[#This Row],[UM]]</f>
        <v>24</v>
      </c>
      <c r="H53" s="42" t="str">
        <f>TRIM(tabla_consumos[[#This Row],[EAN]])</f>
        <v>7790025000196</v>
      </c>
      <c r="I53" s="42">
        <f>IFERROR(_xlfn.XMATCH(tabla_consumos[[#This Row],[Familia]],Tabla2[Familia],0),"No esta")</f>
        <v>34</v>
      </c>
    </row>
    <row r="54" spans="1:9" hidden="1" x14ac:dyDescent="0.35">
      <c r="A54" s="4" t="s">
        <v>206</v>
      </c>
      <c r="B54" s="17">
        <v>2007142</v>
      </c>
      <c r="C54" s="18" t="s">
        <v>207</v>
      </c>
      <c r="D54" s="18">
        <v>9000</v>
      </c>
      <c r="E54" s="18" t="s">
        <v>63</v>
      </c>
      <c r="F54" s="42">
        <v>5</v>
      </c>
      <c r="G54" s="42">
        <f>tabla_consumos[[#This Row],[Consumo]]*tabla_consumos[[#This Row],[UM]]</f>
        <v>45000</v>
      </c>
      <c r="H54" s="42" t="str">
        <f>TRIM(tabla_consumos[[#This Row],[EAN]])</f>
        <v>7790000000198</v>
      </c>
      <c r="I54" s="42">
        <f>IFERROR(_xlfn.XMATCH(tabla_consumos[[#This Row],[Familia]],Tabla2[Familia],0),"No esta")</f>
        <v>36</v>
      </c>
    </row>
    <row r="55" spans="1:9" hidden="1" x14ac:dyDescent="0.35">
      <c r="A55" s="4" t="s">
        <v>208</v>
      </c>
      <c r="B55" s="17">
        <v>2007395</v>
      </c>
      <c r="C55" s="18" t="s">
        <v>209</v>
      </c>
      <c r="D55" s="1"/>
      <c r="E55" s="18" t="s">
        <v>78</v>
      </c>
      <c r="F55" s="42">
        <v>0</v>
      </c>
      <c r="G55" s="42">
        <f>tabla_consumos[[#This Row],[Consumo]]*tabla_consumos[[#This Row],[UM]]</f>
        <v>0</v>
      </c>
      <c r="H55" s="42" t="str">
        <f>TRIM(tabla_consumos[[#This Row],[EAN]])</f>
        <v>7790000000276</v>
      </c>
      <c r="I55" s="42">
        <f>IFERROR(_xlfn.XMATCH(tabla_consumos[[#This Row],[Familia]],Tabla2[Familia],0),"No esta")</f>
        <v>50</v>
      </c>
    </row>
    <row r="56" spans="1:9" hidden="1" x14ac:dyDescent="0.35">
      <c r="A56" s="4" t="s">
        <v>210</v>
      </c>
      <c r="B56" s="17">
        <v>2007400</v>
      </c>
      <c r="C56" s="18" t="s">
        <v>211</v>
      </c>
      <c r="D56" s="18">
        <v>12</v>
      </c>
      <c r="E56" s="18" t="s">
        <v>205</v>
      </c>
      <c r="F56" s="42">
        <v>5</v>
      </c>
      <c r="G56" s="42">
        <f>tabla_consumos[[#This Row],[Consumo]]*tabla_consumos[[#This Row],[UM]]</f>
        <v>60</v>
      </c>
      <c r="H56" s="42" t="str">
        <f>TRIM(tabla_consumos[[#This Row],[EAN]])</f>
        <v>7790021000196</v>
      </c>
      <c r="I56" s="42">
        <f>IFERROR(_xlfn.XMATCH(tabla_consumos[[#This Row],[Familia]],Tabla2[Familia],0),"No esta")</f>
        <v>34</v>
      </c>
    </row>
    <row r="57" spans="1:9" hidden="1" x14ac:dyDescent="0.35">
      <c r="A57" s="4" t="s">
        <v>212</v>
      </c>
      <c r="B57" s="17">
        <v>2011467</v>
      </c>
      <c r="C57" s="18" t="s">
        <v>213</v>
      </c>
      <c r="D57" s="18">
        <v>100</v>
      </c>
      <c r="E57" s="18" t="s">
        <v>81</v>
      </c>
      <c r="F57" s="42">
        <v>687</v>
      </c>
      <c r="G57" s="42">
        <f>tabla_consumos[[#This Row],[Consumo]]*tabla_consumos[[#This Row],[UM]]</f>
        <v>68700</v>
      </c>
      <c r="H57" s="42" t="str">
        <f>TRIM(tabla_consumos[[#This Row],[EAN]])</f>
        <v>7798452810034</v>
      </c>
      <c r="I57" s="42">
        <f>IFERROR(_xlfn.XMATCH(tabla_consumos[[#This Row],[Familia]],Tabla2[Familia],0),"No esta")</f>
        <v>53</v>
      </c>
    </row>
    <row r="58" spans="1:9" hidden="1" x14ac:dyDescent="0.35">
      <c r="A58" s="4" t="s">
        <v>214</v>
      </c>
      <c r="B58" s="17">
        <v>2011468</v>
      </c>
      <c r="C58" s="18" t="s">
        <v>215</v>
      </c>
      <c r="D58" s="18">
        <v>100</v>
      </c>
      <c r="E58" s="18" t="s">
        <v>64</v>
      </c>
      <c r="F58" s="42">
        <v>899</v>
      </c>
      <c r="G58" s="42">
        <f>tabla_consumos[[#This Row],[Consumo]]*tabla_consumos[[#This Row],[UM]]</f>
        <v>89900</v>
      </c>
      <c r="H58" s="42" t="str">
        <f>TRIM(tabla_consumos[[#This Row],[EAN]])</f>
        <v>7798452810027</v>
      </c>
      <c r="I58" s="42">
        <f>IFERROR(_xlfn.XMATCH(tabla_consumos[[#This Row],[Familia]],Tabla2[Familia],0),"No esta")</f>
        <v>37</v>
      </c>
    </row>
    <row r="59" spans="1:9" hidden="1" x14ac:dyDescent="0.35">
      <c r="A59" s="4" t="s">
        <v>216</v>
      </c>
      <c r="B59" s="17">
        <v>2007139</v>
      </c>
      <c r="C59" s="18" t="s">
        <v>217</v>
      </c>
      <c r="D59" s="18">
        <v>1000</v>
      </c>
      <c r="E59" s="18" t="s">
        <v>25</v>
      </c>
      <c r="F59" s="42">
        <v>0</v>
      </c>
      <c r="G59" s="42">
        <f>tabla_consumos[[#This Row],[Consumo]]*tabla_consumos[[#This Row],[UM]]</f>
        <v>0</v>
      </c>
      <c r="H59" s="42" t="str">
        <f>TRIM(tabla_consumos[[#This Row],[EAN]])</f>
        <v>7798098701093</v>
      </c>
      <c r="I59" s="42">
        <f>IFERROR(_xlfn.XMATCH(tabla_consumos[[#This Row],[Familia]],Tabla2[Familia],0),"No esta")</f>
        <v>10</v>
      </c>
    </row>
    <row r="60" spans="1:9" hidden="1" x14ac:dyDescent="0.35">
      <c r="A60" s="4" t="s">
        <v>218</v>
      </c>
      <c r="B60" s="17">
        <v>2011502</v>
      </c>
      <c r="C60" s="18" t="s">
        <v>219</v>
      </c>
      <c r="D60" s="18">
        <v>100</v>
      </c>
      <c r="E60" s="18" t="s">
        <v>47</v>
      </c>
      <c r="F60" s="42">
        <v>47</v>
      </c>
      <c r="G60" s="42">
        <f>tabla_consumos[[#This Row],[Consumo]]*tabla_consumos[[#This Row],[UM]]</f>
        <v>4700</v>
      </c>
      <c r="H60" s="42" t="str">
        <f>TRIM(tabla_consumos[[#This Row],[EAN]])</f>
        <v>7798011210053</v>
      </c>
      <c r="I60" s="42">
        <f>IFERROR(_xlfn.XMATCH(tabla_consumos[[#This Row],[Familia]],Tabla2[Familia],0),"No esta")</f>
        <v>25</v>
      </c>
    </row>
    <row r="61" spans="1:9" hidden="1" x14ac:dyDescent="0.35">
      <c r="A61" s="4" t="s">
        <v>220</v>
      </c>
      <c r="B61" s="17">
        <v>2011503</v>
      </c>
      <c r="C61" s="18" t="s">
        <v>221</v>
      </c>
      <c r="D61" s="18">
        <v>50</v>
      </c>
      <c r="E61" s="18" t="s">
        <v>72</v>
      </c>
      <c r="F61" s="42">
        <v>63</v>
      </c>
      <c r="G61" s="42">
        <f>tabla_consumos[[#This Row],[Consumo]]*tabla_consumos[[#This Row],[UM]]</f>
        <v>3150</v>
      </c>
      <c r="H61" s="42" t="str">
        <f>TRIM(tabla_consumos[[#This Row],[EAN]])</f>
        <v>7798011210060</v>
      </c>
      <c r="I61" s="42">
        <f>IFERROR(_xlfn.XMATCH(tabla_consumos[[#This Row],[Familia]],Tabla2[Familia],0),"No esta")</f>
        <v>44</v>
      </c>
    </row>
    <row r="62" spans="1:9" hidden="1" x14ac:dyDescent="0.35">
      <c r="A62" s="4" t="s">
        <v>222</v>
      </c>
      <c r="B62" s="17">
        <v>2011474</v>
      </c>
      <c r="C62" s="18" t="s">
        <v>223</v>
      </c>
      <c r="D62" s="18">
        <v>100</v>
      </c>
      <c r="E62" s="18" t="s">
        <v>47</v>
      </c>
      <c r="F62" s="42">
        <v>187</v>
      </c>
      <c r="G62" s="42">
        <f>tabla_consumos[[#This Row],[Consumo]]*tabla_consumos[[#This Row],[UM]]</f>
        <v>18700</v>
      </c>
      <c r="H62" s="42" t="str">
        <f>TRIM(tabla_consumos[[#This Row],[EAN]])</f>
        <v>7798011211043</v>
      </c>
      <c r="I62" s="42">
        <f>IFERROR(_xlfn.XMATCH(tabla_consumos[[#This Row],[Familia]],Tabla2[Familia],0),"No esta")</f>
        <v>25</v>
      </c>
    </row>
    <row r="63" spans="1:9" hidden="1" x14ac:dyDescent="0.35">
      <c r="A63" s="4" t="s">
        <v>224</v>
      </c>
      <c r="B63" s="17">
        <v>2016491</v>
      </c>
      <c r="C63" s="18" t="s">
        <v>225</v>
      </c>
      <c r="D63" s="18">
        <v>100</v>
      </c>
      <c r="E63" s="18" t="s">
        <v>59</v>
      </c>
      <c r="F63" s="42">
        <v>83</v>
      </c>
      <c r="G63" s="42">
        <f>tabla_consumos[[#This Row],[Consumo]]*tabla_consumos[[#This Row],[UM]]</f>
        <v>8300</v>
      </c>
      <c r="H63" s="42" t="str">
        <f>TRIM(tabla_consumos[[#This Row],[EAN]])</f>
        <v>7790000000702</v>
      </c>
      <c r="I63" s="42">
        <f>IFERROR(_xlfn.XMATCH(tabla_consumos[[#This Row],[Familia]],Tabla2[Familia],0),"No esta")</f>
        <v>33</v>
      </c>
    </row>
    <row r="64" spans="1:9" hidden="1" x14ac:dyDescent="0.35">
      <c r="A64" s="4" t="s">
        <v>226</v>
      </c>
      <c r="B64" s="17">
        <v>2011412</v>
      </c>
      <c r="C64" s="18" t="s">
        <v>227</v>
      </c>
      <c r="D64" s="18">
        <v>1000</v>
      </c>
      <c r="E64" s="18" t="s">
        <v>36</v>
      </c>
      <c r="F64" s="42">
        <v>51</v>
      </c>
      <c r="G64" s="42">
        <f>tabla_consumos[[#This Row],[Consumo]]*tabla_consumos[[#This Row],[UM]]</f>
        <v>51000</v>
      </c>
      <c r="H64" s="42" t="str">
        <f>TRIM(tabla_consumos[[#This Row],[EAN]])</f>
        <v>7790250000365</v>
      </c>
      <c r="I64" s="42">
        <f>IFERROR(_xlfn.XMATCH(tabla_consumos[[#This Row],[Familia]],Tabla2[Familia],0),"No esta")</f>
        <v>17</v>
      </c>
    </row>
    <row r="65" spans="1:9" hidden="1" x14ac:dyDescent="0.35">
      <c r="A65" s="4" t="s">
        <v>228</v>
      </c>
      <c r="B65" s="17">
        <v>2011497</v>
      </c>
      <c r="C65" s="18" t="s">
        <v>229</v>
      </c>
      <c r="D65" s="18">
        <v>100</v>
      </c>
      <c r="E65" s="18" t="s">
        <v>65</v>
      </c>
      <c r="F65" s="42">
        <v>550</v>
      </c>
      <c r="G65" s="42">
        <f>tabla_consumos[[#This Row],[Consumo]]*tabla_consumos[[#This Row],[UM]]</f>
        <v>55000</v>
      </c>
      <c r="H65" s="42" t="str">
        <f>TRIM(tabla_consumos[[#This Row],[EAN]])</f>
        <v>7798011210077</v>
      </c>
      <c r="I65" s="42">
        <f>IFERROR(_xlfn.XMATCH(tabla_consumos[[#This Row],[Familia]],Tabla2[Familia],0),"No esta")</f>
        <v>38</v>
      </c>
    </row>
    <row r="66" spans="1:9" hidden="1" x14ac:dyDescent="0.35">
      <c r="A66" s="4" t="s">
        <v>230</v>
      </c>
      <c r="B66" s="17">
        <v>2011504</v>
      </c>
      <c r="C66" s="18" t="s">
        <v>231</v>
      </c>
      <c r="D66" s="18">
        <v>100</v>
      </c>
      <c r="E66" s="18" t="s">
        <v>90</v>
      </c>
      <c r="F66" s="42">
        <v>106</v>
      </c>
      <c r="G66" s="42">
        <f>tabla_consumos[[#This Row],[Consumo]]*tabla_consumos[[#This Row],[UM]]</f>
        <v>10600</v>
      </c>
      <c r="H66" s="42" t="str">
        <f>TRIM(tabla_consumos[[#This Row],[EAN]])</f>
        <v>7798011210039</v>
      </c>
      <c r="I66" s="42">
        <f>IFERROR(_xlfn.XMATCH(tabla_consumos[[#This Row],[Familia]],Tabla2[Familia],0),"No esta")</f>
        <v>62</v>
      </c>
    </row>
    <row r="67" spans="1:9" hidden="1" x14ac:dyDescent="0.35">
      <c r="A67" s="21" t="s">
        <v>232</v>
      </c>
      <c r="B67" s="17">
        <v>2011510</v>
      </c>
      <c r="C67" s="18" t="s">
        <v>233</v>
      </c>
      <c r="D67" s="18">
        <v>1600</v>
      </c>
      <c r="E67" s="18" t="s">
        <v>23</v>
      </c>
      <c r="F67" s="42">
        <v>10</v>
      </c>
      <c r="G67" s="42">
        <f>tabla_consumos[[#This Row],[Consumo]]*tabla_consumos[[#This Row],[UM]]</f>
        <v>16000</v>
      </c>
      <c r="H67" s="42" t="str">
        <f>TRIM(tabla_consumos[[#This Row],[EAN]])</f>
        <v>7790000000695</v>
      </c>
      <c r="I67" s="42">
        <f>IFERROR(_xlfn.XMATCH(tabla_consumos[[#This Row],[Familia]],Tabla2[Familia],0),"No esta")</f>
        <v>9</v>
      </c>
    </row>
    <row r="68" spans="1:9" hidden="1" x14ac:dyDescent="0.35">
      <c r="A68" s="21" t="s">
        <v>234</v>
      </c>
      <c r="B68" s="24" t="s">
        <v>235</v>
      </c>
      <c r="C68" s="31" t="s">
        <v>236</v>
      </c>
      <c r="D68" s="11">
        <v>1000</v>
      </c>
      <c r="E68" s="31" t="s">
        <v>18</v>
      </c>
      <c r="F68" s="42">
        <v>42</v>
      </c>
      <c r="G68" s="42">
        <f>tabla_consumos[[#This Row],[Consumo]]*tabla_consumos[[#This Row],[UM]]</f>
        <v>42000</v>
      </c>
      <c r="H68" s="42" t="str">
        <f>TRIM(tabla_consumos[[#This Row],[EAN]])</f>
        <v>7790000000233</v>
      </c>
      <c r="I68" s="42">
        <f>IFERROR(_xlfn.XMATCH(tabla_consumos[[#This Row],[Familia]],Tabla2[Familia],0),"No esta")</f>
        <v>6</v>
      </c>
    </row>
    <row r="69" spans="1:9" x14ac:dyDescent="0.35">
      <c r="A69" s="21" t="s">
        <v>237</v>
      </c>
      <c r="B69" s="24">
        <v>2016520</v>
      </c>
      <c r="C69" s="31" t="s">
        <v>238</v>
      </c>
      <c r="D69" s="11">
        <v>2000</v>
      </c>
      <c r="E69" s="31" t="s">
        <v>82</v>
      </c>
      <c r="F69" s="42">
        <v>0</v>
      </c>
      <c r="G69" s="42">
        <f>tabla_consumos[[#This Row],[Consumo]]*tabla_consumos[[#This Row],[UM]]</f>
        <v>0</v>
      </c>
      <c r="H69" s="42" t="str">
        <f>TRIM(tabla_consumos[[#This Row],[EAN]])</f>
        <v>7790000000713</v>
      </c>
      <c r="I69" s="42">
        <f>IFERROR(_xlfn.XMATCH(tabla_consumos[[#This Row],[Familia]],Tabla2[Familia],0),"No esta")</f>
        <v>54</v>
      </c>
    </row>
    <row r="70" spans="1:9" hidden="1" x14ac:dyDescent="0.35">
      <c r="A70" s="21">
        <v>9992018107288</v>
      </c>
      <c r="B70" s="24">
        <v>2007113</v>
      </c>
      <c r="C70" s="31" t="s">
        <v>239</v>
      </c>
      <c r="D70" s="11">
        <v>1000</v>
      </c>
      <c r="E70" s="31" t="s">
        <v>36</v>
      </c>
      <c r="F70" s="42">
        <v>0</v>
      </c>
      <c r="G70" s="42">
        <f>tabla_consumos[[#This Row],[Consumo]]*tabla_consumos[[#This Row],[UM]]</f>
        <v>0</v>
      </c>
      <c r="H70" s="42" t="str">
        <f>TRIM(tabla_consumos[[#This Row],[EAN]])</f>
        <v>9992018107288</v>
      </c>
      <c r="I70" s="42">
        <f>IFERROR(_xlfn.XMATCH(tabla_consumos[[#This Row],[Familia]],Tabla2[Familia],0),"No esta")</f>
        <v>17</v>
      </c>
    </row>
    <row r="71" spans="1:9" hidden="1" x14ac:dyDescent="0.35">
      <c r="A71" s="21">
        <v>9992016801782</v>
      </c>
      <c r="B71" s="24">
        <v>2007114</v>
      </c>
      <c r="C71" s="31" t="s">
        <v>240</v>
      </c>
      <c r="D71" s="11">
        <v>2000</v>
      </c>
      <c r="E71" s="31" t="s">
        <v>36</v>
      </c>
      <c r="F71" s="42">
        <v>8</v>
      </c>
      <c r="G71" s="42">
        <f>tabla_consumos[[#This Row],[Consumo]]*tabla_consumos[[#This Row],[UM]]</f>
        <v>16000</v>
      </c>
      <c r="H71" s="42" t="str">
        <f>TRIM(tabla_consumos[[#This Row],[EAN]])</f>
        <v>9992016801782</v>
      </c>
      <c r="I71" s="42">
        <f>IFERROR(_xlfn.XMATCH(tabla_consumos[[#This Row],[Familia]],Tabla2[Familia],0),"No esta")</f>
        <v>17</v>
      </c>
    </row>
    <row r="72" spans="1:9" hidden="1" x14ac:dyDescent="0.35">
      <c r="A72" s="21" t="s">
        <v>241</v>
      </c>
      <c r="B72" s="24">
        <v>2007141</v>
      </c>
      <c r="C72" s="31" t="s">
        <v>242</v>
      </c>
      <c r="D72" s="11">
        <v>100</v>
      </c>
      <c r="E72" s="31" t="s">
        <v>37</v>
      </c>
      <c r="F72" s="42">
        <v>62</v>
      </c>
      <c r="G72" s="42">
        <f>tabla_consumos[[#This Row],[Consumo]]*tabla_consumos[[#This Row],[UM]]</f>
        <v>6200</v>
      </c>
      <c r="H72" s="42" t="str">
        <f>TRIM(tabla_consumos[[#This Row],[EAN]])</f>
        <v>7790000000254</v>
      </c>
      <c r="I72" s="42">
        <f>IFERROR(_xlfn.XMATCH(tabla_consumos[[#This Row],[Familia]],Tabla2[Familia],0),"No esta")</f>
        <v>18</v>
      </c>
    </row>
    <row r="73" spans="1:9" hidden="1" x14ac:dyDescent="0.35">
      <c r="A73" s="21" t="s">
        <v>243</v>
      </c>
      <c r="B73" s="24">
        <v>2007386</v>
      </c>
      <c r="C73" s="31" t="s">
        <v>244</v>
      </c>
      <c r="D73" s="11">
        <v>1000</v>
      </c>
      <c r="E73" s="31" t="s">
        <v>27</v>
      </c>
      <c r="F73" s="42">
        <v>12</v>
      </c>
      <c r="G73" s="42">
        <f>tabla_consumos[[#This Row],[Consumo]]*tabla_consumos[[#This Row],[UM]]</f>
        <v>12000</v>
      </c>
      <c r="H73" s="42" t="str">
        <f>TRIM(tabla_consumos[[#This Row],[EAN]])</f>
        <v>17798038127096</v>
      </c>
      <c r="I73" s="42">
        <f>IFERROR(_xlfn.XMATCH(tabla_consumos[[#This Row],[Familia]],Tabla2[Familia],0),"No esta")</f>
        <v>11</v>
      </c>
    </row>
    <row r="74" spans="1:9" hidden="1" x14ac:dyDescent="0.35">
      <c r="A74" s="21" t="s">
        <v>245</v>
      </c>
      <c r="B74" s="24">
        <v>2007152</v>
      </c>
      <c r="C74" s="31" t="s">
        <v>246</v>
      </c>
      <c r="D74" s="11">
        <v>18000</v>
      </c>
      <c r="E74" s="31" t="s">
        <v>54</v>
      </c>
      <c r="F74" s="42">
        <v>0</v>
      </c>
      <c r="G74" s="42">
        <f>tabla_consumos[[#This Row],[Consumo]]*tabla_consumos[[#This Row],[UM]]</f>
        <v>0</v>
      </c>
      <c r="H74" s="42" t="str">
        <f>TRIM(tabla_consumos[[#This Row],[EAN]])</f>
        <v>77896061975324</v>
      </c>
      <c r="I74" s="42">
        <f>IFERROR(_xlfn.XMATCH(tabla_consumos[[#This Row],[Familia]],Tabla2[Familia],0),"No esta")</f>
        <v>29</v>
      </c>
    </row>
    <row r="75" spans="1:9" hidden="1" x14ac:dyDescent="0.35">
      <c r="A75" s="21" t="s">
        <v>247</v>
      </c>
      <c r="B75" s="24">
        <v>2016626</v>
      </c>
      <c r="C75" s="31" t="s">
        <v>248</v>
      </c>
      <c r="D75" s="11">
        <v>1000</v>
      </c>
      <c r="E75" s="31" t="s">
        <v>36</v>
      </c>
      <c r="F75" s="42">
        <v>348</v>
      </c>
      <c r="G75" s="42">
        <f>tabla_consumos[[#This Row],[Consumo]]*tabla_consumos[[#This Row],[UM]]</f>
        <v>348000</v>
      </c>
      <c r="H75" s="42" t="str">
        <f>TRIM(tabla_consumos[[#This Row],[EAN]])</f>
        <v>7798188651727</v>
      </c>
      <c r="I75" s="42">
        <f>IFERROR(_xlfn.XMATCH(tabla_consumos[[#This Row],[Familia]],Tabla2[Familia],0),"No esta")</f>
        <v>17</v>
      </c>
    </row>
    <row r="76" spans="1:9" hidden="1" x14ac:dyDescent="0.35">
      <c r="A76" s="21" t="s">
        <v>249</v>
      </c>
      <c r="B76" s="24">
        <v>2016498</v>
      </c>
      <c r="C76" s="31" t="s">
        <v>250</v>
      </c>
      <c r="D76" s="11">
        <v>1000</v>
      </c>
      <c r="E76" s="31" t="s">
        <v>83</v>
      </c>
      <c r="F76" s="42">
        <v>0</v>
      </c>
      <c r="G76" s="42">
        <f>tabla_consumos[[#This Row],[Consumo]]*tabla_consumos[[#This Row],[UM]]</f>
        <v>0</v>
      </c>
      <c r="H76" s="42" t="str">
        <f>TRIM(tabla_consumos[[#This Row],[EAN]])</f>
        <v>7790000000707</v>
      </c>
      <c r="I76" s="42">
        <f>IFERROR(_xlfn.XMATCH(tabla_consumos[[#This Row],[Familia]],Tabla2[Familia],0),"No esta")</f>
        <v>55</v>
      </c>
    </row>
    <row r="77" spans="1:9" hidden="1" x14ac:dyDescent="0.35">
      <c r="A77" s="21" t="s">
        <v>251</v>
      </c>
      <c r="B77" s="24">
        <v>2016496</v>
      </c>
      <c r="C77" s="31" t="s">
        <v>252</v>
      </c>
      <c r="D77" s="11">
        <v>1000</v>
      </c>
      <c r="E77" s="31" t="s">
        <v>20</v>
      </c>
      <c r="F77" s="42">
        <v>35</v>
      </c>
      <c r="G77" s="42">
        <f>tabla_consumos[[#This Row],[Consumo]]*tabla_consumos[[#This Row],[UM]]</f>
        <v>35000</v>
      </c>
      <c r="H77" s="42" t="str">
        <f>TRIM(tabla_consumos[[#This Row],[EAN]])</f>
        <v>7790000000705</v>
      </c>
      <c r="I77" s="42">
        <f>IFERROR(_xlfn.XMATCH(tabla_consumos[[#This Row],[Familia]],Tabla2[Familia],0),"No esta")</f>
        <v>7</v>
      </c>
    </row>
    <row r="78" spans="1:9" hidden="1" x14ac:dyDescent="0.35">
      <c r="A78" s="21" t="s">
        <v>253</v>
      </c>
      <c r="B78" s="24">
        <v>2016499</v>
      </c>
      <c r="C78" s="31" t="s">
        <v>254</v>
      </c>
      <c r="D78" s="11">
        <v>1000</v>
      </c>
      <c r="E78" s="31" t="s">
        <v>85</v>
      </c>
      <c r="F78" s="42">
        <v>0</v>
      </c>
      <c r="G78" s="42">
        <f>tabla_consumos[[#This Row],[Consumo]]*tabla_consumos[[#This Row],[UM]]</f>
        <v>0</v>
      </c>
      <c r="H78" s="42" t="str">
        <f>TRIM(tabla_consumos[[#This Row],[EAN]])</f>
        <v>7790000000708</v>
      </c>
      <c r="I78" s="42">
        <f>IFERROR(_xlfn.XMATCH(tabla_consumos[[#This Row],[Familia]],Tabla2[Familia],0),"No esta")</f>
        <v>57</v>
      </c>
    </row>
    <row r="79" spans="1:9" hidden="1" x14ac:dyDescent="0.35">
      <c r="A79" s="21" t="s">
        <v>255</v>
      </c>
      <c r="B79" s="24">
        <v>2011466</v>
      </c>
      <c r="C79" s="31" t="s">
        <v>256</v>
      </c>
      <c r="D79" s="11">
        <v>100</v>
      </c>
      <c r="E79" s="31" t="s">
        <v>13</v>
      </c>
      <c r="F79" s="42">
        <v>1299</v>
      </c>
      <c r="G79" s="42">
        <f>tabla_consumos[[#This Row],[Consumo]]*tabla_consumos[[#This Row],[UM]]</f>
        <v>129900</v>
      </c>
      <c r="H79" s="42" t="str">
        <f>TRIM(tabla_consumos[[#This Row],[EAN]])</f>
        <v>798011214860</v>
      </c>
      <c r="I79" s="42">
        <f>IFERROR(_xlfn.XMATCH(tabla_consumos[[#This Row],[Familia]],Tabla2[Familia],0),"No esta")</f>
        <v>3</v>
      </c>
    </row>
    <row r="80" spans="1:9" hidden="1" x14ac:dyDescent="0.35">
      <c r="A80" s="21" t="s">
        <v>257</v>
      </c>
      <c r="B80" s="24">
        <v>2007202</v>
      </c>
      <c r="C80" s="31" t="s">
        <v>258</v>
      </c>
      <c r="D80" s="11">
        <v>500</v>
      </c>
      <c r="E80" s="31" t="s">
        <v>42</v>
      </c>
      <c r="F80" s="42">
        <v>885</v>
      </c>
      <c r="G80" s="42">
        <f>tabla_consumos[[#This Row],[Consumo]]*tabla_consumos[[#This Row],[UM]]</f>
        <v>442500</v>
      </c>
      <c r="H80" s="42" t="str">
        <f>TRIM(tabla_consumos[[#This Row],[EAN]])</f>
        <v>0648260488628</v>
      </c>
      <c r="I80" s="42">
        <f>IFERROR(_xlfn.XMATCH(tabla_consumos[[#This Row],[Familia]],Tabla2[Familia],0),"No esta")</f>
        <v>21</v>
      </c>
    </row>
    <row r="81" spans="1:9" hidden="1" x14ac:dyDescent="0.35">
      <c r="A81" s="21" t="s">
        <v>259</v>
      </c>
      <c r="B81" s="24">
        <v>2016649</v>
      </c>
      <c r="C81" s="31" t="s">
        <v>260</v>
      </c>
      <c r="D81" s="11">
        <v>1000</v>
      </c>
      <c r="E81" s="31" t="s">
        <v>25</v>
      </c>
      <c r="F81" s="42">
        <v>161</v>
      </c>
      <c r="G81" s="42">
        <f>tabla_consumos[[#This Row],[Consumo]]*tabla_consumos[[#This Row],[UM]]</f>
        <v>161000</v>
      </c>
      <c r="H81" s="42" t="str">
        <f>TRIM(tabla_consumos[[#This Row],[EAN]])</f>
        <v>714604111849</v>
      </c>
      <c r="I81" s="42">
        <f>IFERROR(_xlfn.XMATCH(tabla_consumos[[#This Row],[Familia]],Tabla2[Familia],0),"No esta")</f>
        <v>10</v>
      </c>
    </row>
    <row r="82" spans="1:9" hidden="1" x14ac:dyDescent="0.35">
      <c r="A82" s="21" t="s">
        <v>261</v>
      </c>
      <c r="B82" s="24">
        <v>2007090</v>
      </c>
      <c r="C82" s="31" t="s">
        <v>262</v>
      </c>
      <c r="D82" s="11">
        <v>100</v>
      </c>
      <c r="E82" s="31" t="s">
        <v>81</v>
      </c>
      <c r="F82" s="42">
        <v>725</v>
      </c>
      <c r="G82" s="42">
        <f>tabla_consumos[[#This Row],[Consumo]]*tabla_consumos[[#This Row],[UM]]</f>
        <v>72500</v>
      </c>
      <c r="H82" s="42" t="str">
        <f>TRIM(tabla_consumos[[#This Row],[EAN]])</f>
        <v>7798161675702</v>
      </c>
      <c r="I82" s="42">
        <f>IFERROR(_xlfn.XMATCH(tabla_consumos[[#This Row],[Familia]],Tabla2[Familia],0),"No esta")</f>
        <v>53</v>
      </c>
    </row>
    <row r="83" spans="1:9" hidden="1" x14ac:dyDescent="0.35">
      <c r="A83" s="21" t="s">
        <v>263</v>
      </c>
      <c r="B83" s="24">
        <v>2006665</v>
      </c>
      <c r="C83" s="31" t="s">
        <v>264</v>
      </c>
      <c r="D83" s="11">
        <v>8400</v>
      </c>
      <c r="E83" s="31" t="s">
        <v>79</v>
      </c>
      <c r="F83" s="42">
        <v>12</v>
      </c>
      <c r="G83" s="42">
        <f>tabla_consumos[[#This Row],[Consumo]]*tabla_consumos[[#This Row],[UM]]</f>
        <v>100800</v>
      </c>
      <c r="H83" s="42" t="str">
        <f>TRIM(tabla_consumos[[#This Row],[EAN]])</f>
        <v>17790250912825</v>
      </c>
      <c r="I83" s="42">
        <f>IFERROR(_xlfn.XMATCH(tabla_consumos[[#This Row],[Familia]],Tabla2[Familia],0),"No esta")</f>
        <v>51</v>
      </c>
    </row>
    <row r="84" spans="1:9" hidden="1" x14ac:dyDescent="0.35">
      <c r="A84" s="21">
        <v>77896061975324</v>
      </c>
      <c r="B84" s="24">
        <v>2007153</v>
      </c>
      <c r="C84" s="31" t="s">
        <v>265</v>
      </c>
      <c r="D84" s="11">
        <v>18000</v>
      </c>
      <c r="E84" s="31" t="s">
        <v>54</v>
      </c>
      <c r="F84" s="42">
        <v>72</v>
      </c>
      <c r="G84" s="42">
        <f>tabla_consumos[[#This Row],[Consumo]]*tabla_consumos[[#This Row],[UM]]</f>
        <v>1296000</v>
      </c>
      <c r="H84" s="42" t="str">
        <f>TRIM(tabla_consumos[[#This Row],[EAN]])</f>
        <v>77896061975324</v>
      </c>
      <c r="I84" s="42">
        <f>IFERROR(_xlfn.XMATCH(tabla_consumos[[#This Row],[Familia]],Tabla2[Familia],0),"No esta")</f>
        <v>29</v>
      </c>
    </row>
    <row r="85" spans="1:9" hidden="1" x14ac:dyDescent="0.35">
      <c r="A85" s="21" t="s">
        <v>266</v>
      </c>
      <c r="B85" s="24">
        <v>2016605</v>
      </c>
      <c r="C85" s="31" t="s">
        <v>267</v>
      </c>
      <c r="D85" s="11">
        <v>6</v>
      </c>
      <c r="E85" s="31" t="s">
        <v>40</v>
      </c>
      <c r="F85" s="42">
        <v>21</v>
      </c>
      <c r="G85" s="42">
        <f>tabla_consumos[[#This Row],[Consumo]]*tabla_consumos[[#This Row],[UM]]</f>
        <v>126</v>
      </c>
      <c r="H85" s="42" t="str">
        <f>TRIM(tabla_consumos[[#This Row],[EAN]])</f>
        <v>7794459003066</v>
      </c>
      <c r="I85" s="42">
        <f>IFERROR(_xlfn.XMATCH(tabla_consumos[[#This Row],[Familia]],Tabla2[Familia],0),"No esta")</f>
        <v>20</v>
      </c>
    </row>
    <row r="86" spans="1:9" hidden="1" x14ac:dyDescent="0.35">
      <c r="A86" s="21" t="s">
        <v>268</v>
      </c>
      <c r="B86" s="24">
        <v>2007147</v>
      </c>
      <c r="C86" s="31" t="s">
        <v>269</v>
      </c>
      <c r="D86" s="11">
        <v>12</v>
      </c>
      <c r="E86" s="31" t="s">
        <v>45</v>
      </c>
      <c r="F86" s="42">
        <v>3</v>
      </c>
      <c r="G86" s="42">
        <f>tabla_consumos[[#This Row],[Consumo]]*tabla_consumos[[#This Row],[UM]]</f>
        <v>36</v>
      </c>
      <c r="H86" s="42" t="str">
        <f>TRIM(tabla_consumos[[#This Row],[EAN]])</f>
        <v>7795618000506</v>
      </c>
      <c r="I86" s="42">
        <f>IFERROR(_xlfn.XMATCH(tabla_consumos[[#This Row],[Familia]],Tabla2[Familia],0),"No esta")</f>
        <v>23</v>
      </c>
    </row>
    <row r="87" spans="1:9" hidden="1" x14ac:dyDescent="0.35">
      <c r="A87" s="21" t="s">
        <v>270</v>
      </c>
      <c r="B87" s="24">
        <v>2016598</v>
      </c>
      <c r="C87" s="31" t="s">
        <v>271</v>
      </c>
      <c r="D87" s="11">
        <v>12</v>
      </c>
      <c r="E87" s="31" t="s">
        <v>45</v>
      </c>
      <c r="F87" s="42">
        <v>2</v>
      </c>
      <c r="G87" s="42">
        <f>tabla_consumos[[#This Row],[Consumo]]*tabla_consumos[[#This Row],[UM]]</f>
        <v>24</v>
      </c>
      <c r="H87" s="42" t="str">
        <f>TRIM(tabla_consumos[[#This Row],[EAN]])</f>
        <v>7794459001383</v>
      </c>
      <c r="I87" s="42">
        <f>IFERROR(_xlfn.XMATCH(tabla_consumos[[#This Row],[Familia]],Tabla2[Familia],0),"No esta")</f>
        <v>23</v>
      </c>
    </row>
    <row r="88" spans="1:9" hidden="1" x14ac:dyDescent="0.35">
      <c r="A88" s="21" t="s">
        <v>272</v>
      </c>
      <c r="B88" s="24">
        <v>2007144</v>
      </c>
      <c r="C88" s="31" t="s">
        <v>273</v>
      </c>
      <c r="D88" s="11">
        <v>12</v>
      </c>
      <c r="E88" s="31" t="s">
        <v>56</v>
      </c>
      <c r="F88" s="42">
        <v>13</v>
      </c>
      <c r="G88" s="42">
        <f>tabla_consumos[[#This Row],[Consumo]]*tabla_consumos[[#This Row],[UM]]</f>
        <v>156</v>
      </c>
      <c r="H88" s="42" t="str">
        <f>TRIM(tabla_consumos[[#This Row],[EAN]])</f>
        <v>7790000000240</v>
      </c>
      <c r="I88" s="42">
        <f>IFERROR(_xlfn.XMATCH(tabla_consumos[[#This Row],[Familia]],Tabla2[Familia],0),"No esta")</f>
        <v>30</v>
      </c>
    </row>
    <row r="89" spans="1:9" hidden="1" x14ac:dyDescent="0.35">
      <c r="A89" s="21" t="s">
        <v>274</v>
      </c>
      <c r="B89" s="24">
        <v>2016650</v>
      </c>
      <c r="C89" s="31" t="s">
        <v>275</v>
      </c>
      <c r="D89" s="11">
        <v>50</v>
      </c>
      <c r="E89" s="31" t="s">
        <v>32</v>
      </c>
      <c r="F89" s="42">
        <v>96</v>
      </c>
      <c r="G89" s="42">
        <f>tabla_consumos[[#This Row],[Consumo]]*tabla_consumos[[#This Row],[UM]]</f>
        <v>4800</v>
      </c>
      <c r="H89" s="42" t="str">
        <f>TRIM(tabla_consumos[[#This Row],[EAN]])</f>
        <v>7798161678789</v>
      </c>
      <c r="I89" s="42">
        <f>IFERROR(_xlfn.XMATCH(tabla_consumos[[#This Row],[Familia]],Tabla2[Familia],0),"No esta")</f>
        <v>15</v>
      </c>
    </row>
    <row r="90" spans="1:9" hidden="1" x14ac:dyDescent="0.35">
      <c r="A90" s="21" t="s">
        <v>276</v>
      </c>
      <c r="B90" s="24">
        <v>2016597</v>
      </c>
      <c r="C90" s="31" t="s">
        <v>277</v>
      </c>
      <c r="D90" s="11">
        <v>1000</v>
      </c>
      <c r="E90" s="31" t="s">
        <v>25</v>
      </c>
      <c r="F90" s="42">
        <v>0</v>
      </c>
      <c r="G90" s="42">
        <f>tabla_consumos[[#This Row],[Consumo]]*tabla_consumos[[#This Row],[UM]]</f>
        <v>0</v>
      </c>
      <c r="H90" s="42" t="str">
        <f>TRIM(tabla_consumos[[#This Row],[EAN]])</f>
        <v>71404111849</v>
      </c>
      <c r="I90" s="42">
        <f>IFERROR(_xlfn.XMATCH(tabla_consumos[[#This Row],[Familia]],Tabla2[Familia],0),"No esta")</f>
        <v>10</v>
      </c>
    </row>
    <row r="91" spans="1:9" hidden="1" x14ac:dyDescent="0.35">
      <c r="A91" s="21" t="s">
        <v>278</v>
      </c>
      <c r="B91" s="24">
        <v>2006151</v>
      </c>
      <c r="C91" s="31" t="s">
        <v>279</v>
      </c>
      <c r="D91" s="11">
        <v>1000</v>
      </c>
      <c r="E91" s="31" t="s">
        <v>22</v>
      </c>
      <c r="F91" s="42">
        <v>0</v>
      </c>
      <c r="G91" s="42">
        <f>tabla_consumos[[#This Row],[Consumo]]*tabla_consumos[[#This Row],[UM]]</f>
        <v>0</v>
      </c>
      <c r="H91" s="42" t="str">
        <f>TRIM(tabla_consumos[[#This Row],[EAN]])</f>
        <v>13069000A</v>
      </c>
      <c r="I91" s="42">
        <f>IFERROR(_xlfn.XMATCH(tabla_consumos[[#This Row],[Familia]],Tabla2[Familia],0),"No esta")</f>
        <v>8</v>
      </c>
    </row>
    <row r="92" spans="1:9" hidden="1" x14ac:dyDescent="0.35">
      <c r="A92" s="47" t="s">
        <v>280</v>
      </c>
      <c r="B92" s="48">
        <v>2007129</v>
      </c>
      <c r="C92" s="49" t="s">
        <v>281</v>
      </c>
      <c r="D92" s="53">
        <v>1</v>
      </c>
      <c r="E92" s="50" t="s">
        <v>46</v>
      </c>
      <c r="F92" s="42">
        <v>84</v>
      </c>
      <c r="G92" s="42">
        <f>tabla_consumos[[#This Row],[Consumo]]*tabla_consumos[[#This Row],[UM]]</f>
        <v>84</v>
      </c>
      <c r="H92" s="54" t="str">
        <f>TRIM(tabla_consumos[[#This Row],[EAN]])</f>
        <v>0736372273444</v>
      </c>
      <c r="I92" s="42">
        <f>IFERROR(_xlfn.XMATCH(tabla_consumos[[#This Row],[Familia]],Tabla2[Familia],0),"No esta")</f>
        <v>24</v>
      </c>
    </row>
    <row r="93" spans="1:9" hidden="1" x14ac:dyDescent="0.35">
      <c r="A93" s="47" t="s">
        <v>282</v>
      </c>
      <c r="B93" s="48">
        <v>2006735</v>
      </c>
      <c r="C93" s="49" t="s">
        <v>283</v>
      </c>
      <c r="D93" s="53">
        <v>100</v>
      </c>
      <c r="E93" s="50" t="s">
        <v>81</v>
      </c>
      <c r="F93" s="42"/>
      <c r="G93" s="42">
        <f>tabla_consumos[[#This Row],[Consumo]]*tabla_consumos[[#This Row],[UM]]</f>
        <v>0</v>
      </c>
      <c r="H93" s="54" t="str">
        <f>TRIM(tabla_consumos[[#This Row],[EAN]])</f>
        <v>4968420500356</v>
      </c>
      <c r="I93" s="42">
        <f>IFERROR(_xlfn.XMATCH(tabla_consumos[[#This Row],[Familia]],Tabla2[Familia],0),"No esta")</f>
        <v>53</v>
      </c>
    </row>
    <row r="94" spans="1:9" hidden="1" x14ac:dyDescent="0.35">
      <c r="A94" s="47" t="s">
        <v>284</v>
      </c>
      <c r="B94" s="48">
        <v>2007498</v>
      </c>
      <c r="C94" s="49" t="s">
        <v>285</v>
      </c>
      <c r="D94" s="53">
        <v>1000</v>
      </c>
      <c r="E94" s="50" t="s">
        <v>44</v>
      </c>
      <c r="F94" s="42"/>
      <c r="G94" s="42">
        <f>tabla_consumos[[#This Row],[Consumo]]*tabla_consumos[[#This Row],[UM]]</f>
        <v>0</v>
      </c>
      <c r="H94" s="54" t="str">
        <f>TRIM(tabla_consumos[[#This Row],[EAN]])</f>
        <v>7790000000472</v>
      </c>
      <c r="I94" s="42">
        <f>IFERROR(_xlfn.XMATCH(tabla_consumos[[#This Row],[Familia]],Tabla2[Familia],0),"No esta")</f>
        <v>22</v>
      </c>
    </row>
    <row r="95" spans="1:9" hidden="1" x14ac:dyDescent="0.35">
      <c r="A95" s="47" t="s">
        <v>286</v>
      </c>
      <c r="B95" s="48">
        <v>2016743</v>
      </c>
      <c r="C95" s="49" t="s">
        <v>287</v>
      </c>
      <c r="D95" s="53">
        <v>100</v>
      </c>
      <c r="E95" s="50" t="s">
        <v>9</v>
      </c>
      <c r="F95" s="42"/>
      <c r="G95" s="42">
        <f>tabla_consumos[[#This Row],[Consumo]]*tabla_consumos[[#This Row],[UM]]</f>
        <v>0</v>
      </c>
      <c r="H95" s="54" t="str">
        <f>TRIM(tabla_consumos[[#This Row],[EAN]])</f>
        <v>0754697508508</v>
      </c>
      <c r="I95" s="42">
        <f>IFERROR(_xlfn.XMATCH(tabla_consumos[[#This Row],[Familia]],Tabla2[Familia],0),"No esta")</f>
        <v>1</v>
      </c>
    </row>
    <row r="96" spans="1:9" hidden="1" x14ac:dyDescent="0.35">
      <c r="A96" s="47">
        <v>7797390190505</v>
      </c>
      <c r="B96" s="48">
        <v>2006441</v>
      </c>
      <c r="C96" s="49" t="s">
        <v>288</v>
      </c>
      <c r="D96" s="53">
        <v>24</v>
      </c>
      <c r="E96" s="50" t="s">
        <v>61</v>
      </c>
      <c r="F96" s="42"/>
      <c r="G96" s="42">
        <f>tabla_consumos[[#This Row],[Consumo]]*tabla_consumos[[#This Row],[UM]]</f>
        <v>0</v>
      </c>
      <c r="H96" s="54" t="str">
        <f>TRIM(tabla_consumos[[#This Row],[EAN]])</f>
        <v>7797390190505</v>
      </c>
      <c r="I96" s="42">
        <f>IFERROR(_xlfn.XMATCH(tabla_consumos[[#This Row],[Familia]],Tabla2[Familia],0),"No esta")</f>
        <v>35</v>
      </c>
    </row>
    <row r="97" spans="1:9" hidden="1" x14ac:dyDescent="0.35">
      <c r="A97" s="47"/>
      <c r="B97" s="48">
        <v>2007149</v>
      </c>
      <c r="C97" s="49" t="s">
        <v>289</v>
      </c>
      <c r="D97" s="53">
        <v>100</v>
      </c>
      <c r="E97" s="50" t="s">
        <v>91</v>
      </c>
      <c r="F97" s="42"/>
      <c r="G97" s="42">
        <f>tabla_consumos[[#This Row],[Consumo]]*tabla_consumos[[#This Row],[UM]]</f>
        <v>0</v>
      </c>
      <c r="H97" s="54" t="str">
        <f>TRIM(tabla_consumos[[#This Row],[EAN]])</f>
        <v/>
      </c>
      <c r="I97" s="42">
        <f>IFERROR(_xlfn.XMATCH(tabla_consumos[[#This Row],[Familia]],Tabla2[Familia],0),"No esta")</f>
        <v>63</v>
      </c>
    </row>
    <row r="98" spans="1:9" hidden="1" x14ac:dyDescent="0.35">
      <c r="A98" s="47" t="s">
        <v>290</v>
      </c>
      <c r="B98" s="48">
        <v>2011475</v>
      </c>
      <c r="C98" s="49" t="s">
        <v>291</v>
      </c>
      <c r="D98" s="53">
        <v>100</v>
      </c>
      <c r="E98" s="50" t="s">
        <v>65</v>
      </c>
      <c r="F98" s="42"/>
      <c r="G98" s="42">
        <f>tabla_consumos[[#This Row],[Consumo]]*tabla_consumos[[#This Row],[UM]]</f>
        <v>0</v>
      </c>
      <c r="H98" s="54" t="str">
        <f>TRIM(tabla_consumos[[#This Row],[EAN]])</f>
        <v>798011210077</v>
      </c>
      <c r="I98" s="42">
        <f>IFERROR(_xlfn.XMATCH(tabla_consumos[[#This Row],[Familia]],Tabla2[Familia],0),"No esta")</f>
        <v>38</v>
      </c>
    </row>
    <row r="99" spans="1:9" x14ac:dyDescent="0.35">
      <c r="A99" s="47" t="s">
        <v>292</v>
      </c>
      <c r="B99" s="48">
        <v>2016772</v>
      </c>
      <c r="C99" s="49" t="s">
        <v>293</v>
      </c>
      <c r="D99" s="53">
        <v>100</v>
      </c>
      <c r="E99" s="50" t="s">
        <v>91</v>
      </c>
      <c r="F99" s="42"/>
      <c r="G99" s="42">
        <f>tabla_consumos[[#This Row],[Consumo]]*tabla_consumos[[#This Row],[UM]]</f>
        <v>0</v>
      </c>
      <c r="H99" s="54" t="str">
        <f>TRIM(tabla_consumos[[#This Row],[EAN]])</f>
        <v>888277409203</v>
      </c>
      <c r="I99" s="42">
        <f>IFERROR(_xlfn.XMATCH(tabla_consumos[[#This Row],[Familia]],Tabla2[Familia],0),"No esta")</f>
        <v>63</v>
      </c>
    </row>
  </sheetData>
  <conditionalFormatting sqref="B1:B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4072"/>
  <sheetViews>
    <sheetView topLeftCell="C1" workbookViewId="0">
      <selection activeCell="E11" sqref="E11"/>
    </sheetView>
  </sheetViews>
  <sheetFormatPr baseColWidth="10" defaultColWidth="11.453125" defaultRowHeight="14.5" x14ac:dyDescent="0.35"/>
  <cols>
    <col min="1" max="1" width="7.81640625" bestFit="1" customWidth="1"/>
    <col min="2" max="2" width="22.453125" bestFit="1" customWidth="1"/>
    <col min="3" max="3" width="24.7265625" bestFit="1" customWidth="1"/>
    <col min="4" max="4" width="30.54296875" bestFit="1" customWidth="1"/>
    <col min="5" max="5" width="17.7265625" bestFit="1" customWidth="1"/>
    <col min="6" max="6" width="15.81640625" bestFit="1" customWidth="1"/>
    <col min="7" max="7" width="37.7265625" bestFit="1" customWidth="1"/>
    <col min="8" max="8" width="12.54296875" bestFit="1" customWidth="1"/>
    <col min="9" max="9" width="10.453125" bestFit="1" customWidth="1"/>
    <col min="10" max="10" width="16.453125" bestFit="1" customWidth="1"/>
    <col min="11" max="11" width="11.453125" bestFit="1" customWidth="1"/>
    <col min="12" max="12" width="13.54296875" bestFit="1" customWidth="1"/>
    <col min="13" max="13" width="16.7265625" bestFit="1" customWidth="1"/>
    <col min="14" max="14" width="19.81640625" bestFit="1" customWidth="1"/>
    <col min="15" max="15" width="13.81640625" bestFit="1" customWidth="1"/>
    <col min="16" max="16" width="19.453125" bestFit="1" customWidth="1"/>
    <col min="17" max="17" width="40.453125" bestFit="1" customWidth="1"/>
  </cols>
  <sheetData>
    <row r="1" spans="1:19" x14ac:dyDescent="0.35">
      <c r="A1" s="7" t="s">
        <v>294</v>
      </c>
      <c r="B1" s="8" t="s">
        <v>295</v>
      </c>
      <c r="C1" s="8" t="s">
        <v>296</v>
      </c>
      <c r="D1" s="8" t="s">
        <v>297</v>
      </c>
      <c r="E1" s="8" t="s">
        <v>298</v>
      </c>
      <c r="F1" s="8" t="s">
        <v>299</v>
      </c>
      <c r="G1" s="8" t="s">
        <v>94</v>
      </c>
      <c r="H1" s="8" t="s">
        <v>95</v>
      </c>
      <c r="I1" s="8" t="s">
        <v>300</v>
      </c>
      <c r="J1" s="8" t="s">
        <v>301</v>
      </c>
      <c r="K1" s="8" t="s">
        <v>302</v>
      </c>
      <c r="L1" s="8" t="s">
        <v>303</v>
      </c>
      <c r="M1" s="8" t="s">
        <v>304</v>
      </c>
      <c r="N1" s="8" t="s">
        <v>305</v>
      </c>
      <c r="O1" s="9" t="s">
        <v>306</v>
      </c>
      <c r="P1" s="22" t="s">
        <v>307</v>
      </c>
      <c r="Q1" s="22" t="s">
        <v>0</v>
      </c>
      <c r="R1" s="22" t="s">
        <v>308</v>
      </c>
      <c r="S1" s="22" t="s">
        <v>309</v>
      </c>
    </row>
    <row r="2" spans="1:19" x14ac:dyDescent="0.35">
      <c r="A2" s="37">
        <v>6</v>
      </c>
      <c r="B2" s="37" t="s">
        <v>319</v>
      </c>
      <c r="C2" s="37" t="s">
        <v>311</v>
      </c>
      <c r="D2" s="37"/>
      <c r="E2" s="37" t="s">
        <v>558</v>
      </c>
      <c r="F2" s="37">
        <v>2007493</v>
      </c>
      <c r="G2" s="37" t="s">
        <v>559</v>
      </c>
      <c r="H2" s="37" t="s">
        <v>315</v>
      </c>
      <c r="I2" s="37">
        <v>11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11</v>
      </c>
      <c r="P2" s="22" t="str">
        <f>TRIM(Tabla1[[#This Row],[Articulo]])</f>
        <v>7790000000467</v>
      </c>
      <c r="Q2" s="22" t="e">
        <f>_xlfn.XLOOKUP(Tabla1[[#This Row],[Ean Normalizado]],tabla_consumos[EAN],tabla_consumos[Familia])</f>
        <v>#N/A</v>
      </c>
      <c r="R2" s="22" t="e">
        <f>_xlfn.XLOOKUP(Tabla1[[#This Row],[Ean Normalizado]],tabla_consumos[EAN],tabla_consumos[UM])</f>
        <v>#N/A</v>
      </c>
      <c r="S2" s="22" t="e">
        <f>Tabla1[[#This Row],[StockDisp]]*Tabla1[[#This Row],[UM producto]]</f>
        <v>#N/A</v>
      </c>
    </row>
    <row r="3" spans="1:19" x14ac:dyDescent="0.35">
      <c r="A3" s="37">
        <v>6</v>
      </c>
      <c r="B3" s="37" t="s">
        <v>319</v>
      </c>
      <c r="C3" s="37" t="s">
        <v>311</v>
      </c>
      <c r="D3" s="37"/>
      <c r="E3" s="37" t="s">
        <v>560</v>
      </c>
      <c r="F3" s="37">
        <v>2007112</v>
      </c>
      <c r="G3" s="37" t="s">
        <v>561</v>
      </c>
      <c r="H3" s="37" t="s">
        <v>315</v>
      </c>
      <c r="I3" s="37">
        <v>31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31</v>
      </c>
      <c r="P3" s="22" t="str">
        <f>TRIM(Tabla1[[#This Row],[Articulo]])</f>
        <v>9992017900491</v>
      </c>
      <c r="Q3" s="22" t="str">
        <f>_xlfn.XLOOKUP(Tabla1[[#This Row],[Ean Normalizado]],tabla_consumos[EAN],tabla_consumos[Familia])</f>
        <v>ROLLO ALUMINIO 40</v>
      </c>
      <c r="R3" s="22">
        <f>_xlfn.XLOOKUP(Tabla1[[#This Row],[Ean Normalizado]],tabla_consumos[EAN],tabla_consumos[UM])</f>
        <v>1</v>
      </c>
      <c r="S3" s="22">
        <f>Tabla1[[#This Row],[StockDisp]]*Tabla1[[#This Row],[UM producto]]</f>
        <v>31</v>
      </c>
    </row>
    <row r="4" spans="1:19" x14ac:dyDescent="0.35">
      <c r="A4" s="37">
        <v>6</v>
      </c>
      <c r="B4" s="37" t="s">
        <v>319</v>
      </c>
      <c r="C4" s="37" t="s">
        <v>311</v>
      </c>
      <c r="D4" s="37" t="s">
        <v>862</v>
      </c>
      <c r="E4" s="37" t="s">
        <v>863</v>
      </c>
      <c r="F4" s="37">
        <v>2016597</v>
      </c>
      <c r="G4" s="37" t="s">
        <v>277</v>
      </c>
      <c r="H4" s="37" t="s">
        <v>315</v>
      </c>
      <c r="I4" s="37">
        <v>124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124</v>
      </c>
      <c r="P4" s="22" t="str">
        <f>TRIM(Tabla1[[#This Row],[Articulo]])</f>
        <v>71404111849</v>
      </c>
      <c r="Q4" s="22" t="str">
        <f>_xlfn.XLOOKUP(Tabla1[[#This Row],[Ean Normalizado]],tabla_consumos[EAN],tabla_consumos[Familia])</f>
        <v>CUCHARA SUNDAE</v>
      </c>
      <c r="R4" s="22">
        <f>_xlfn.XLOOKUP(Tabla1[[#This Row],[Ean Normalizado]],tabla_consumos[EAN],tabla_consumos[UM])</f>
        <v>1000</v>
      </c>
      <c r="S4" s="22">
        <f>Tabla1[[#This Row],[StockDisp]]*Tabla1[[#This Row],[UM producto]]</f>
        <v>124000</v>
      </c>
    </row>
    <row r="5" spans="1:19" x14ac:dyDescent="0.35">
      <c r="A5" s="37">
        <v>6</v>
      </c>
      <c r="B5" s="37" t="s">
        <v>319</v>
      </c>
      <c r="C5" s="37" t="s">
        <v>311</v>
      </c>
      <c r="D5" s="37" t="s">
        <v>748</v>
      </c>
      <c r="E5" s="37" t="s">
        <v>864</v>
      </c>
      <c r="F5" s="37">
        <v>2007322</v>
      </c>
      <c r="G5" s="37" t="s">
        <v>865</v>
      </c>
      <c r="H5" s="37" t="s">
        <v>315</v>
      </c>
      <c r="I5" s="37">
        <v>10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10</v>
      </c>
      <c r="P5" s="22" t="str">
        <f>TRIM(Tabla1[[#This Row],[Articulo]])</f>
        <v>7790000000380</v>
      </c>
      <c r="Q5" s="22" t="str">
        <f>_xlfn.XLOOKUP(Tabla1[[#This Row],[Ean Normalizado]],tabla_consumos[EAN],tabla_consumos[Familia])</f>
        <v>BANDEJA 103 BIO</v>
      </c>
      <c r="R5" s="22">
        <f>_xlfn.XLOOKUP(Tabla1[[#This Row],[Ean Normalizado]],tabla_consumos[EAN],tabla_consumos[UM])</f>
        <v>900</v>
      </c>
      <c r="S5" s="22">
        <f>Tabla1[[#This Row],[StockDisp]]*Tabla1[[#This Row],[UM producto]]</f>
        <v>9000</v>
      </c>
    </row>
    <row r="6" spans="1:19" x14ac:dyDescent="0.35">
      <c r="A6" s="37">
        <v>5</v>
      </c>
      <c r="B6" s="37" t="s">
        <v>310</v>
      </c>
      <c r="C6" s="37" t="s">
        <v>311</v>
      </c>
      <c r="D6" s="37" t="s">
        <v>866</v>
      </c>
      <c r="E6" s="37" t="s">
        <v>867</v>
      </c>
      <c r="F6" s="37">
        <v>4018805</v>
      </c>
      <c r="G6" s="37" t="s">
        <v>868</v>
      </c>
      <c r="H6" s="37" t="s">
        <v>315</v>
      </c>
      <c r="I6" s="37">
        <v>194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194</v>
      </c>
      <c r="P6" s="22" t="str">
        <f>TRIM(Tabla1[[#This Row],[Articulo]])</f>
        <v>7790380012108</v>
      </c>
      <c r="Q6" s="22" t="e">
        <f>_xlfn.XLOOKUP(Tabla1[[#This Row],[Ean Normalizado]],tabla_consumos[EAN],tabla_consumos[Familia])</f>
        <v>#N/A</v>
      </c>
      <c r="R6" s="22" t="e">
        <f>_xlfn.XLOOKUP(Tabla1[[#This Row],[Ean Normalizado]],tabla_consumos[EAN],tabla_consumos[UM])</f>
        <v>#N/A</v>
      </c>
      <c r="S6" s="22" t="e">
        <f>Tabla1[[#This Row],[StockDisp]]*Tabla1[[#This Row],[UM producto]]</f>
        <v>#N/A</v>
      </c>
    </row>
    <row r="7" spans="1:19" x14ac:dyDescent="0.35">
      <c r="A7" s="37">
        <v>6</v>
      </c>
      <c r="B7" s="37" t="s">
        <v>319</v>
      </c>
      <c r="C7" s="37" t="s">
        <v>311</v>
      </c>
      <c r="D7" s="37"/>
      <c r="E7" s="37" t="s">
        <v>400</v>
      </c>
      <c r="F7" s="37">
        <v>2007176</v>
      </c>
      <c r="G7" s="37" t="s">
        <v>401</v>
      </c>
      <c r="H7" s="37" t="s">
        <v>315</v>
      </c>
      <c r="I7" s="37">
        <v>89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89</v>
      </c>
      <c r="P7" s="22" t="str">
        <f>TRIM(Tabla1[[#This Row],[Articulo]])</f>
        <v>7790000000216</v>
      </c>
      <c r="Q7" s="22" t="e">
        <f>_xlfn.XLOOKUP(Tabla1[[#This Row],[Ean Normalizado]],tabla_consumos[EAN],tabla_consumos[Familia])</f>
        <v>#N/A</v>
      </c>
      <c r="R7" s="22" t="e">
        <f>_xlfn.XLOOKUP(Tabla1[[#This Row],[Ean Normalizado]],tabla_consumos[EAN],tabla_consumos[UM])</f>
        <v>#N/A</v>
      </c>
      <c r="S7" s="22" t="e">
        <f>Tabla1[[#This Row],[StockDisp]]*Tabla1[[#This Row],[UM producto]]</f>
        <v>#N/A</v>
      </c>
    </row>
    <row r="8" spans="1:19" x14ac:dyDescent="0.35">
      <c r="A8" s="37">
        <v>5</v>
      </c>
      <c r="B8" s="37" t="s">
        <v>310</v>
      </c>
      <c r="C8" s="37" t="s">
        <v>311</v>
      </c>
      <c r="D8" s="37" t="s">
        <v>745</v>
      </c>
      <c r="E8" s="37" t="s">
        <v>746</v>
      </c>
      <c r="F8" s="37">
        <v>4020499</v>
      </c>
      <c r="G8" s="37" t="s">
        <v>747</v>
      </c>
      <c r="H8" s="37" t="s">
        <v>315</v>
      </c>
      <c r="I8" s="37">
        <v>16</v>
      </c>
      <c r="J8" s="37">
        <v>0</v>
      </c>
      <c r="K8" s="37">
        <v>0</v>
      </c>
      <c r="L8" s="37">
        <v>0</v>
      </c>
      <c r="M8" s="37">
        <v>4</v>
      </c>
      <c r="N8" s="37">
        <v>0</v>
      </c>
      <c r="O8" s="37">
        <v>12</v>
      </c>
      <c r="P8" s="22" t="str">
        <f>TRIM(Tabla1[[#This Row],[Articulo]])</f>
        <v>7798011976591</v>
      </c>
      <c r="Q8" s="22" t="e">
        <f>_xlfn.XLOOKUP(Tabla1[[#This Row],[Ean Normalizado]],tabla_consumos[EAN],tabla_consumos[Familia])</f>
        <v>#N/A</v>
      </c>
      <c r="R8" s="22" t="e">
        <f>_xlfn.XLOOKUP(Tabla1[[#This Row],[Ean Normalizado]],tabla_consumos[EAN],tabla_consumos[UM])</f>
        <v>#N/A</v>
      </c>
      <c r="S8" s="22" t="e">
        <f>Tabla1[[#This Row],[StockDisp]]*Tabla1[[#This Row],[UM producto]]</f>
        <v>#N/A</v>
      </c>
    </row>
    <row r="9" spans="1:19" x14ac:dyDescent="0.35">
      <c r="A9" s="37">
        <v>6</v>
      </c>
      <c r="B9" s="37" t="s">
        <v>319</v>
      </c>
      <c r="C9" s="37" t="s">
        <v>311</v>
      </c>
      <c r="D9" s="37" t="s">
        <v>332</v>
      </c>
      <c r="E9" s="37" t="s">
        <v>333</v>
      </c>
      <c r="F9" s="37">
        <v>2016599</v>
      </c>
      <c r="G9" s="37" t="s">
        <v>334</v>
      </c>
      <c r="H9" s="37" t="s">
        <v>315</v>
      </c>
      <c r="I9" s="37">
        <v>4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4</v>
      </c>
      <c r="P9" s="22" t="str">
        <f>TRIM(Tabla1[[#This Row],[Articulo]])</f>
        <v>7794459001406</v>
      </c>
      <c r="Q9" s="22" t="e">
        <f>_xlfn.XLOOKUP(Tabla1[[#This Row],[Ean Normalizado]],tabla_consumos[EAN],tabla_consumos[Familia])</f>
        <v>#N/A</v>
      </c>
      <c r="R9" s="22" t="e">
        <f>_xlfn.XLOOKUP(Tabla1[[#This Row],[Ean Normalizado]],tabla_consumos[EAN],tabla_consumos[UM])</f>
        <v>#N/A</v>
      </c>
      <c r="S9" s="22" t="e">
        <f>Tabla1[[#This Row],[StockDisp]]*Tabla1[[#This Row],[UM producto]]</f>
        <v>#N/A</v>
      </c>
    </row>
    <row r="10" spans="1:19" x14ac:dyDescent="0.35">
      <c r="A10" s="37">
        <v>6</v>
      </c>
      <c r="B10" s="37" t="s">
        <v>319</v>
      </c>
      <c r="C10" s="37" t="s">
        <v>311</v>
      </c>
      <c r="D10" s="37" t="s">
        <v>335</v>
      </c>
      <c r="E10" s="37" t="s">
        <v>336</v>
      </c>
      <c r="F10" s="37">
        <v>2007498</v>
      </c>
      <c r="G10" s="37" t="s">
        <v>285</v>
      </c>
      <c r="H10" s="37" t="s">
        <v>315</v>
      </c>
      <c r="I10" s="37">
        <v>134</v>
      </c>
      <c r="J10" s="37">
        <v>54</v>
      </c>
      <c r="K10" s="37">
        <v>0</v>
      </c>
      <c r="L10" s="37">
        <v>0</v>
      </c>
      <c r="M10" s="37">
        <v>1</v>
      </c>
      <c r="N10" s="37">
        <v>0</v>
      </c>
      <c r="O10" s="37">
        <v>187</v>
      </c>
      <c r="P10" s="22" t="str">
        <f>TRIM(Tabla1[[#This Row],[Articulo]])</f>
        <v>7790000000472</v>
      </c>
      <c r="Q10" s="22" t="str">
        <f>_xlfn.XLOOKUP(Tabla1[[#This Row],[Ean Normalizado]],tabla_consumos[EAN],tabla_consumos[Familia])</f>
        <v>VASO TERMICO 240</v>
      </c>
      <c r="R10" s="22">
        <f>_xlfn.XLOOKUP(Tabla1[[#This Row],[Ean Normalizado]],tabla_consumos[EAN],tabla_consumos[UM])</f>
        <v>1000</v>
      </c>
      <c r="S10" s="22">
        <f>Tabla1[[#This Row],[StockDisp]]*Tabla1[[#This Row],[UM producto]]</f>
        <v>187000</v>
      </c>
    </row>
    <row r="11" spans="1:19" x14ac:dyDescent="0.35">
      <c r="A11" s="37">
        <v>5</v>
      </c>
      <c r="B11" s="37" t="s">
        <v>310</v>
      </c>
      <c r="C11" s="37" t="s">
        <v>311</v>
      </c>
      <c r="D11" s="37" t="s">
        <v>496</v>
      </c>
      <c r="E11" s="37" t="s">
        <v>497</v>
      </c>
      <c r="F11" s="37">
        <v>4020300</v>
      </c>
      <c r="G11" s="37" t="s">
        <v>498</v>
      </c>
      <c r="H11" s="37" t="s">
        <v>315</v>
      </c>
      <c r="I11" s="37">
        <v>191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191</v>
      </c>
      <c r="P11" s="22" t="str">
        <f>TRIM(Tabla1[[#This Row],[Articulo]])</f>
        <v>7798011976461</v>
      </c>
      <c r="Q11" s="22" t="e">
        <f>_xlfn.XLOOKUP(Tabla1[[#This Row],[Ean Normalizado]],tabla_consumos[EAN],tabla_consumos[Familia])</f>
        <v>#N/A</v>
      </c>
      <c r="R11" s="22" t="e">
        <f>_xlfn.XLOOKUP(Tabla1[[#This Row],[Ean Normalizado]],tabla_consumos[EAN],tabla_consumos[UM])</f>
        <v>#N/A</v>
      </c>
      <c r="S11" s="22" t="e">
        <f>Tabla1[[#This Row],[StockDisp]]*Tabla1[[#This Row],[UM producto]]</f>
        <v>#N/A</v>
      </c>
    </row>
    <row r="12" spans="1:19" x14ac:dyDescent="0.35">
      <c r="A12" s="37">
        <v>5</v>
      </c>
      <c r="B12" s="37" t="s">
        <v>310</v>
      </c>
      <c r="C12" s="37" t="s">
        <v>311</v>
      </c>
      <c r="D12" s="37"/>
      <c r="E12" s="37" t="s">
        <v>499</v>
      </c>
      <c r="F12" s="37">
        <v>4004650</v>
      </c>
      <c r="G12" s="37" t="s">
        <v>500</v>
      </c>
      <c r="H12" s="37" t="s">
        <v>346</v>
      </c>
      <c r="I12" s="37">
        <v>48</v>
      </c>
      <c r="J12" s="37">
        <v>0</v>
      </c>
      <c r="K12" s="37">
        <v>0</v>
      </c>
      <c r="L12" s="37">
        <v>0</v>
      </c>
      <c r="M12" s="37">
        <v>10</v>
      </c>
      <c r="N12" s="37">
        <v>0</v>
      </c>
      <c r="O12" s="37">
        <v>38</v>
      </c>
      <c r="P12" s="22" t="str">
        <f>TRIM(Tabla1[[#This Row],[Articulo]])</f>
        <v>4004650</v>
      </c>
      <c r="Q12" s="22" t="e">
        <f>_xlfn.XLOOKUP(Tabla1[[#This Row],[Ean Normalizado]],tabla_consumos[EAN],tabla_consumos[Familia])</f>
        <v>#N/A</v>
      </c>
      <c r="R12" s="22" t="e">
        <f>_xlfn.XLOOKUP(Tabla1[[#This Row],[Ean Normalizado]],tabla_consumos[EAN],tabla_consumos[UM])</f>
        <v>#N/A</v>
      </c>
      <c r="S12" s="22" t="e">
        <f>Tabla1[[#This Row],[StockDisp]]*Tabla1[[#This Row],[UM producto]]</f>
        <v>#N/A</v>
      </c>
    </row>
    <row r="13" spans="1:19" x14ac:dyDescent="0.35">
      <c r="A13" s="37">
        <v>6</v>
      </c>
      <c r="B13" s="37" t="s">
        <v>319</v>
      </c>
      <c r="C13" s="37" t="s">
        <v>311</v>
      </c>
      <c r="D13" s="37" t="s">
        <v>493</v>
      </c>
      <c r="E13" s="37" t="s">
        <v>759</v>
      </c>
      <c r="F13" s="37">
        <v>2007484</v>
      </c>
      <c r="G13" s="37" t="s">
        <v>760</v>
      </c>
      <c r="H13" s="37" t="s">
        <v>315</v>
      </c>
      <c r="I13" s="37">
        <v>430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430</v>
      </c>
      <c r="P13" s="22" t="str">
        <f>TRIM(Tabla1[[#This Row],[Articulo]])</f>
        <v>7790000000461</v>
      </c>
      <c r="Q13" s="22" t="e">
        <f>_xlfn.XLOOKUP(Tabla1[[#This Row],[Ean Normalizado]],tabla_consumos[EAN],tabla_consumos[Familia])</f>
        <v>#N/A</v>
      </c>
      <c r="R13" s="22" t="e">
        <f>_xlfn.XLOOKUP(Tabla1[[#This Row],[Ean Normalizado]],tabla_consumos[EAN],tabla_consumos[UM])</f>
        <v>#N/A</v>
      </c>
      <c r="S13" s="22" t="e">
        <f>Tabla1[[#This Row],[StockDisp]]*Tabla1[[#This Row],[UM producto]]</f>
        <v>#N/A</v>
      </c>
    </row>
    <row r="14" spans="1:19" x14ac:dyDescent="0.35">
      <c r="A14" s="37">
        <v>1</v>
      </c>
      <c r="B14" s="37" t="s">
        <v>322</v>
      </c>
      <c r="C14" s="37" t="s">
        <v>311</v>
      </c>
      <c r="D14" s="37" t="s">
        <v>323</v>
      </c>
      <c r="E14" s="37" t="s">
        <v>324</v>
      </c>
      <c r="F14" s="37">
        <v>4076705</v>
      </c>
      <c r="G14" s="37" t="s">
        <v>325</v>
      </c>
      <c r="H14" s="37" t="s">
        <v>315</v>
      </c>
      <c r="I14" s="37">
        <v>108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108</v>
      </c>
      <c r="P14" s="22" t="str">
        <f>TRIM(Tabla1[[#This Row],[Articulo]])</f>
        <v>7792590005505</v>
      </c>
      <c r="Q14" s="22" t="e">
        <f>_xlfn.XLOOKUP(Tabla1[[#This Row],[Ean Normalizado]],tabla_consumos[EAN],tabla_consumos[Familia])</f>
        <v>#N/A</v>
      </c>
      <c r="R14" s="22" t="e">
        <f>_xlfn.XLOOKUP(Tabla1[[#This Row],[Ean Normalizado]],tabla_consumos[EAN],tabla_consumos[UM])</f>
        <v>#N/A</v>
      </c>
      <c r="S14" s="22" t="e">
        <f>Tabla1[[#This Row],[StockDisp]]*Tabla1[[#This Row],[UM producto]]</f>
        <v>#N/A</v>
      </c>
    </row>
    <row r="15" spans="1:19" x14ac:dyDescent="0.35">
      <c r="A15" s="37">
        <v>6</v>
      </c>
      <c r="B15" s="37" t="s">
        <v>319</v>
      </c>
      <c r="C15" s="37" t="s">
        <v>311</v>
      </c>
      <c r="D15" s="37"/>
      <c r="E15" s="37" t="s">
        <v>326</v>
      </c>
      <c r="F15" s="37">
        <v>2007167</v>
      </c>
      <c r="G15" s="37" t="s">
        <v>327</v>
      </c>
      <c r="H15" s="37" t="s">
        <v>328</v>
      </c>
      <c r="I15" s="37">
        <v>367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367</v>
      </c>
      <c r="P15" s="22" t="str">
        <f>TRIM(Tabla1[[#This Row],[Articulo]])</f>
        <v>7790000000207</v>
      </c>
      <c r="Q15" s="22" t="e">
        <f>_xlfn.XLOOKUP(Tabla1[[#This Row],[Ean Normalizado]],tabla_consumos[EAN],tabla_consumos[Familia])</f>
        <v>#N/A</v>
      </c>
      <c r="R15" s="22" t="e">
        <f>_xlfn.XLOOKUP(Tabla1[[#This Row],[Ean Normalizado]],tabla_consumos[EAN],tabla_consumos[UM])</f>
        <v>#N/A</v>
      </c>
      <c r="S15" s="22" t="e">
        <f>Tabla1[[#This Row],[StockDisp]]*Tabla1[[#This Row],[UM producto]]</f>
        <v>#N/A</v>
      </c>
    </row>
    <row r="16" spans="1:19" x14ac:dyDescent="0.35">
      <c r="A16" s="37">
        <v>6</v>
      </c>
      <c r="B16" s="37" t="s">
        <v>319</v>
      </c>
      <c r="C16" s="37" t="s">
        <v>311</v>
      </c>
      <c r="D16" s="37" t="s">
        <v>329</v>
      </c>
      <c r="E16" s="37" t="s">
        <v>330</v>
      </c>
      <c r="F16" s="37">
        <v>2006718</v>
      </c>
      <c r="G16" s="37" t="s">
        <v>331</v>
      </c>
      <c r="H16" s="37" t="s">
        <v>315</v>
      </c>
      <c r="I16" s="37">
        <v>121</v>
      </c>
      <c r="J16" s="37">
        <v>0</v>
      </c>
      <c r="K16" s="37">
        <v>0</v>
      </c>
      <c r="L16" s="37">
        <v>0</v>
      </c>
      <c r="M16" s="37">
        <v>8</v>
      </c>
      <c r="N16" s="37">
        <v>0</v>
      </c>
      <c r="O16" s="37">
        <v>113</v>
      </c>
      <c r="P16" s="22" t="str">
        <f>TRIM(Tabla1[[#This Row],[Articulo]])</f>
        <v>7798332280780</v>
      </c>
      <c r="Q16" s="22" t="e">
        <f>_xlfn.XLOOKUP(Tabla1[[#This Row],[Ean Normalizado]],tabla_consumos[EAN],tabla_consumos[Familia])</f>
        <v>#N/A</v>
      </c>
      <c r="R16" s="22" t="e">
        <f>_xlfn.XLOOKUP(Tabla1[[#This Row],[Ean Normalizado]],tabla_consumos[EAN],tabla_consumos[UM])</f>
        <v>#N/A</v>
      </c>
      <c r="S16" s="22" t="e">
        <f>Tabla1[[#This Row],[StockDisp]]*Tabla1[[#This Row],[UM producto]]</f>
        <v>#N/A</v>
      </c>
    </row>
    <row r="17" spans="1:19" x14ac:dyDescent="0.35">
      <c r="A17" s="37">
        <v>6</v>
      </c>
      <c r="B17" s="37" t="s">
        <v>319</v>
      </c>
      <c r="C17" s="37" t="s">
        <v>311</v>
      </c>
      <c r="D17" s="37"/>
      <c r="E17" s="37" t="s">
        <v>612</v>
      </c>
      <c r="F17" s="37">
        <v>2007208</v>
      </c>
      <c r="G17" s="37" t="s">
        <v>613</v>
      </c>
      <c r="H17" s="37" t="s">
        <v>315</v>
      </c>
      <c r="I17" s="37">
        <v>2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2</v>
      </c>
      <c r="P17" s="22" t="str">
        <f>TRIM(Tabla1[[#This Row],[Articulo]])</f>
        <v>17798038127119</v>
      </c>
      <c r="Q17" s="22" t="str">
        <f>_xlfn.XLOOKUP(Tabla1[[#This Row],[Ean Normalizado]],tabla_consumos[EAN],tabla_consumos[Familia])</f>
        <v>VASO TERMICO 300</v>
      </c>
      <c r="R17" s="22">
        <f>_xlfn.XLOOKUP(Tabla1[[#This Row],[Ean Normalizado]],tabla_consumos[EAN],tabla_consumos[UM])</f>
        <v>1000</v>
      </c>
      <c r="S17" s="22">
        <f>Tabla1[[#This Row],[StockDisp]]*Tabla1[[#This Row],[UM producto]]</f>
        <v>2000</v>
      </c>
    </row>
    <row r="18" spans="1:19" x14ac:dyDescent="0.35">
      <c r="A18" s="37">
        <v>6</v>
      </c>
      <c r="B18" s="37" t="s">
        <v>319</v>
      </c>
      <c r="C18" s="37" t="s">
        <v>311</v>
      </c>
      <c r="D18" s="37" t="s">
        <v>394</v>
      </c>
      <c r="E18" s="37" t="s">
        <v>614</v>
      </c>
      <c r="F18" s="37">
        <v>2007539</v>
      </c>
      <c r="G18" s="37" t="s">
        <v>615</v>
      </c>
      <c r="H18" s="37" t="s">
        <v>315</v>
      </c>
      <c r="I18" s="37">
        <v>53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53</v>
      </c>
      <c r="P18" s="22" t="str">
        <f>TRIM(Tabla1[[#This Row],[Articulo]])</f>
        <v>7790000000506</v>
      </c>
      <c r="Q18" s="22" t="e">
        <f>_xlfn.XLOOKUP(Tabla1[[#This Row],[Ean Normalizado]],tabla_consumos[EAN],tabla_consumos[Familia])</f>
        <v>#N/A</v>
      </c>
      <c r="R18" s="22" t="e">
        <f>_xlfn.XLOOKUP(Tabla1[[#This Row],[Ean Normalizado]],tabla_consumos[EAN],tabla_consumos[UM])</f>
        <v>#N/A</v>
      </c>
      <c r="S18" s="22" t="e">
        <f>Tabla1[[#This Row],[StockDisp]]*Tabla1[[#This Row],[UM producto]]</f>
        <v>#N/A</v>
      </c>
    </row>
    <row r="19" spans="1:19" x14ac:dyDescent="0.35">
      <c r="A19" s="37">
        <v>5</v>
      </c>
      <c r="B19" s="37" t="s">
        <v>310</v>
      </c>
      <c r="C19" s="37" t="s">
        <v>311</v>
      </c>
      <c r="D19" s="37" t="s">
        <v>809</v>
      </c>
      <c r="E19" s="37" t="s">
        <v>810</v>
      </c>
      <c r="F19" s="37">
        <v>4001189</v>
      </c>
      <c r="G19" s="37" t="s">
        <v>811</v>
      </c>
      <c r="H19" s="37" t="s">
        <v>346</v>
      </c>
      <c r="I19" s="37">
        <v>2521.75</v>
      </c>
      <c r="J19" s="37">
        <v>0</v>
      </c>
      <c r="K19" s="37">
        <v>0</v>
      </c>
      <c r="L19" s="37">
        <v>290</v>
      </c>
      <c r="M19" s="37">
        <v>1525</v>
      </c>
      <c r="N19" s="37">
        <v>0</v>
      </c>
      <c r="O19" s="37">
        <v>706.75</v>
      </c>
      <c r="P19" s="22" t="str">
        <f>TRIM(Tabla1[[#This Row],[Articulo]])</f>
        <v>4001189</v>
      </c>
      <c r="Q19" s="22" t="e">
        <f>_xlfn.XLOOKUP(Tabla1[[#This Row],[Ean Normalizado]],tabla_consumos[EAN],tabla_consumos[Familia])</f>
        <v>#N/A</v>
      </c>
      <c r="R19" s="22" t="e">
        <f>_xlfn.XLOOKUP(Tabla1[[#This Row],[Ean Normalizado]],tabla_consumos[EAN],tabla_consumos[UM])</f>
        <v>#N/A</v>
      </c>
      <c r="S19" s="22" t="e">
        <f>Tabla1[[#This Row],[StockDisp]]*Tabla1[[#This Row],[UM producto]]</f>
        <v>#N/A</v>
      </c>
    </row>
    <row r="20" spans="1:19" x14ac:dyDescent="0.35">
      <c r="A20" s="37">
        <v>5</v>
      </c>
      <c r="B20" s="37" t="s">
        <v>310</v>
      </c>
      <c r="C20" s="37" t="s">
        <v>311</v>
      </c>
      <c r="D20" s="37"/>
      <c r="E20" s="37" t="s">
        <v>531</v>
      </c>
      <c r="F20" s="37">
        <v>4001201</v>
      </c>
      <c r="G20" s="37" t="s">
        <v>532</v>
      </c>
      <c r="H20" s="37" t="s">
        <v>346</v>
      </c>
      <c r="I20" s="37">
        <v>37</v>
      </c>
      <c r="J20" s="37">
        <v>0</v>
      </c>
      <c r="K20" s="37">
        <v>0</v>
      </c>
      <c r="L20" s="37">
        <v>0</v>
      </c>
      <c r="M20" s="37">
        <v>27</v>
      </c>
      <c r="N20" s="37">
        <v>0</v>
      </c>
      <c r="O20" s="37">
        <v>10</v>
      </c>
      <c r="P20" s="22" t="str">
        <f>TRIM(Tabla1[[#This Row],[Articulo]])</f>
        <v>4001201</v>
      </c>
      <c r="Q20" s="22" t="e">
        <f>_xlfn.XLOOKUP(Tabla1[[#This Row],[Ean Normalizado]],tabla_consumos[EAN],tabla_consumos[Familia])</f>
        <v>#N/A</v>
      </c>
      <c r="R20" s="22" t="e">
        <f>_xlfn.XLOOKUP(Tabla1[[#This Row],[Ean Normalizado]],tabla_consumos[EAN],tabla_consumos[UM])</f>
        <v>#N/A</v>
      </c>
      <c r="S20" s="22" t="e">
        <f>Tabla1[[#This Row],[StockDisp]]*Tabla1[[#This Row],[UM producto]]</f>
        <v>#N/A</v>
      </c>
    </row>
    <row r="21" spans="1:19" x14ac:dyDescent="0.35">
      <c r="A21" s="37">
        <v>6</v>
      </c>
      <c r="B21" s="37" t="s">
        <v>319</v>
      </c>
      <c r="C21" s="37" t="s">
        <v>311</v>
      </c>
      <c r="D21" s="37" t="s">
        <v>383</v>
      </c>
      <c r="E21" s="37" t="s">
        <v>533</v>
      </c>
      <c r="F21" s="37">
        <v>2007492</v>
      </c>
      <c r="G21" s="37" t="s">
        <v>534</v>
      </c>
      <c r="H21" s="37" t="s">
        <v>315</v>
      </c>
      <c r="I21" s="37">
        <v>183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183</v>
      </c>
      <c r="P21" s="22" t="str">
        <f>TRIM(Tabla1[[#This Row],[Articulo]])</f>
        <v>7790000000466</v>
      </c>
      <c r="Q21" s="22" t="e">
        <f>_xlfn.XLOOKUP(Tabla1[[#This Row],[Ean Normalizado]],tabla_consumos[EAN],tabla_consumos[Familia])</f>
        <v>#N/A</v>
      </c>
      <c r="R21" s="22" t="e">
        <f>_xlfn.XLOOKUP(Tabla1[[#This Row],[Ean Normalizado]],tabla_consumos[EAN],tabla_consumos[UM])</f>
        <v>#N/A</v>
      </c>
      <c r="S21" s="22" t="e">
        <f>Tabla1[[#This Row],[StockDisp]]*Tabla1[[#This Row],[UM producto]]</f>
        <v>#N/A</v>
      </c>
    </row>
    <row r="22" spans="1:19" x14ac:dyDescent="0.35">
      <c r="A22" s="37">
        <v>5</v>
      </c>
      <c r="B22" s="37" t="s">
        <v>310</v>
      </c>
      <c r="C22" s="37" t="s">
        <v>311</v>
      </c>
      <c r="D22" s="37"/>
      <c r="E22" s="37" t="s">
        <v>978</v>
      </c>
      <c r="F22" s="37">
        <v>4001213</v>
      </c>
      <c r="G22" s="37" t="s">
        <v>979</v>
      </c>
      <c r="H22" s="37" t="s">
        <v>346</v>
      </c>
      <c r="I22" s="37">
        <v>219.81</v>
      </c>
      <c r="J22" s="37">
        <v>0</v>
      </c>
      <c r="K22" s="37">
        <v>0</v>
      </c>
      <c r="L22" s="37">
        <v>18.5</v>
      </c>
      <c r="M22" s="37">
        <v>163.5</v>
      </c>
      <c r="N22" s="37">
        <v>0</v>
      </c>
      <c r="O22" s="37">
        <v>37.81</v>
      </c>
      <c r="P22" s="22" t="str">
        <f>TRIM(Tabla1[[#This Row],[Articulo]])</f>
        <v>4001213</v>
      </c>
      <c r="Q22" s="22" t="e">
        <f>_xlfn.XLOOKUP(Tabla1[[#This Row],[Ean Normalizado]],tabla_consumos[EAN],tabla_consumos[Familia])</f>
        <v>#N/A</v>
      </c>
      <c r="R22" s="22" t="e">
        <f>_xlfn.XLOOKUP(Tabla1[[#This Row],[Ean Normalizado]],tabla_consumos[EAN],tabla_consumos[UM])</f>
        <v>#N/A</v>
      </c>
      <c r="S22" s="22" t="e">
        <f>Tabla1[[#This Row],[StockDisp]]*Tabla1[[#This Row],[UM producto]]</f>
        <v>#N/A</v>
      </c>
    </row>
    <row r="23" spans="1:19" x14ac:dyDescent="0.35">
      <c r="A23" s="37">
        <v>1</v>
      </c>
      <c r="B23" s="37" t="s">
        <v>322</v>
      </c>
      <c r="C23" s="37" t="s">
        <v>311</v>
      </c>
      <c r="D23" s="37" t="s">
        <v>343</v>
      </c>
      <c r="E23" s="37" t="s">
        <v>344</v>
      </c>
      <c r="F23" s="37">
        <v>4024740</v>
      </c>
      <c r="G23" s="37" t="s">
        <v>345</v>
      </c>
      <c r="H23" s="37" t="s">
        <v>346</v>
      </c>
      <c r="I23" s="37">
        <v>1.22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1.22</v>
      </c>
      <c r="P23" s="22" t="str">
        <f>TRIM(Tabla1[[#This Row],[Articulo]])</f>
        <v>7790000000636</v>
      </c>
      <c r="Q23" s="22" t="e">
        <f>_xlfn.XLOOKUP(Tabla1[[#This Row],[Ean Normalizado]],tabla_consumos[EAN],tabla_consumos[Familia])</f>
        <v>#N/A</v>
      </c>
      <c r="R23" s="22" t="e">
        <f>_xlfn.XLOOKUP(Tabla1[[#This Row],[Ean Normalizado]],tabla_consumos[EAN],tabla_consumos[UM])</f>
        <v>#N/A</v>
      </c>
      <c r="S23" s="22" t="e">
        <f>Tabla1[[#This Row],[StockDisp]]*Tabla1[[#This Row],[UM producto]]</f>
        <v>#N/A</v>
      </c>
    </row>
    <row r="24" spans="1:19" x14ac:dyDescent="0.35">
      <c r="A24" s="37">
        <v>5</v>
      </c>
      <c r="B24" s="37" t="s">
        <v>310</v>
      </c>
      <c r="C24" s="37" t="s">
        <v>311</v>
      </c>
      <c r="D24" s="37"/>
      <c r="E24" s="37" t="s">
        <v>553</v>
      </c>
      <c r="F24" s="37">
        <v>4001216</v>
      </c>
      <c r="G24" s="37" t="s">
        <v>554</v>
      </c>
      <c r="H24" s="37" t="s">
        <v>346</v>
      </c>
      <c r="I24" s="37">
        <v>7.75</v>
      </c>
      <c r="J24" s="37">
        <v>0</v>
      </c>
      <c r="K24" s="37">
        <v>0</v>
      </c>
      <c r="L24" s="37">
        <v>0</v>
      </c>
      <c r="M24" s="37">
        <v>5.75</v>
      </c>
      <c r="N24" s="37">
        <v>0</v>
      </c>
      <c r="O24" s="37">
        <v>2</v>
      </c>
      <c r="P24" s="22" t="str">
        <f>TRIM(Tabla1[[#This Row],[Articulo]])</f>
        <v>4001216</v>
      </c>
      <c r="Q24" s="22" t="e">
        <f>_xlfn.XLOOKUP(Tabla1[[#This Row],[Ean Normalizado]],tabla_consumos[EAN],tabla_consumos[Familia])</f>
        <v>#N/A</v>
      </c>
      <c r="R24" s="22" t="e">
        <f>_xlfn.XLOOKUP(Tabla1[[#This Row],[Ean Normalizado]],tabla_consumos[EAN],tabla_consumos[UM])</f>
        <v>#N/A</v>
      </c>
      <c r="S24" s="22" t="e">
        <f>Tabla1[[#This Row],[StockDisp]]*Tabla1[[#This Row],[UM producto]]</f>
        <v>#N/A</v>
      </c>
    </row>
    <row r="25" spans="1:19" x14ac:dyDescent="0.35">
      <c r="A25" s="37">
        <v>6</v>
      </c>
      <c r="B25" s="37" t="s">
        <v>319</v>
      </c>
      <c r="C25" s="37" t="s">
        <v>311</v>
      </c>
      <c r="D25" s="37"/>
      <c r="E25" s="37" t="s">
        <v>601</v>
      </c>
      <c r="F25" s="37">
        <v>2007165</v>
      </c>
      <c r="G25" s="37" t="s">
        <v>602</v>
      </c>
      <c r="H25" s="37" t="s">
        <v>315</v>
      </c>
      <c r="I25" s="37">
        <v>226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226</v>
      </c>
      <c r="P25" s="22" t="str">
        <f>TRIM(Tabla1[[#This Row],[Articulo]])</f>
        <v>7790000000205</v>
      </c>
      <c r="Q25" s="22" t="e">
        <f>_xlfn.XLOOKUP(Tabla1[[#This Row],[Ean Normalizado]],tabla_consumos[EAN],tabla_consumos[Familia])</f>
        <v>#N/A</v>
      </c>
      <c r="R25" s="22" t="e">
        <f>_xlfn.XLOOKUP(Tabla1[[#This Row],[Ean Normalizado]],tabla_consumos[EAN],tabla_consumos[UM])</f>
        <v>#N/A</v>
      </c>
      <c r="S25" s="22" t="e">
        <f>Tabla1[[#This Row],[StockDisp]]*Tabla1[[#This Row],[UM producto]]</f>
        <v>#N/A</v>
      </c>
    </row>
    <row r="26" spans="1:19" x14ac:dyDescent="0.35">
      <c r="A26" s="37">
        <v>6</v>
      </c>
      <c r="B26" s="37" t="s">
        <v>319</v>
      </c>
      <c r="C26" s="37" t="s">
        <v>311</v>
      </c>
      <c r="D26" s="37" t="s">
        <v>574</v>
      </c>
      <c r="E26" s="37" t="s">
        <v>869</v>
      </c>
      <c r="F26" s="37">
        <v>2007323</v>
      </c>
      <c r="G26" s="37" t="s">
        <v>870</v>
      </c>
      <c r="H26" s="37" t="s">
        <v>315</v>
      </c>
      <c r="I26" s="37">
        <v>6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6</v>
      </c>
      <c r="P26" s="22" t="str">
        <f>TRIM(Tabla1[[#This Row],[Articulo]])</f>
        <v>7790000000381</v>
      </c>
      <c r="Q26" s="22" t="str">
        <f>_xlfn.XLOOKUP(Tabla1[[#This Row],[Ean Normalizado]],tabla_consumos[EAN],tabla_consumos[Familia])</f>
        <v>BANDEJA 105 BIO</v>
      </c>
      <c r="R26" s="22">
        <f>_xlfn.XLOOKUP(Tabla1[[#This Row],[Ean Normalizado]],tabla_consumos[EAN],tabla_consumos[UM])</f>
        <v>700</v>
      </c>
      <c r="S26" s="22">
        <f>Tabla1[[#This Row],[StockDisp]]*Tabla1[[#This Row],[UM producto]]</f>
        <v>4200</v>
      </c>
    </row>
    <row r="27" spans="1:19" x14ac:dyDescent="0.35">
      <c r="A27" s="37">
        <v>5</v>
      </c>
      <c r="B27" s="37" t="s">
        <v>310</v>
      </c>
      <c r="C27" s="37" t="s">
        <v>311</v>
      </c>
      <c r="D27" s="37"/>
      <c r="E27" s="37" t="s">
        <v>871</v>
      </c>
      <c r="F27" s="37">
        <v>4001214</v>
      </c>
      <c r="G27" s="37" t="s">
        <v>872</v>
      </c>
      <c r="H27" s="37" t="s">
        <v>346</v>
      </c>
      <c r="I27" s="37">
        <v>143.5</v>
      </c>
      <c r="J27" s="37">
        <v>0</v>
      </c>
      <c r="K27" s="37">
        <v>0</v>
      </c>
      <c r="L27" s="37">
        <v>26.1</v>
      </c>
      <c r="M27" s="37">
        <v>83.8</v>
      </c>
      <c r="N27" s="37">
        <v>0</v>
      </c>
      <c r="O27" s="37">
        <v>33.6</v>
      </c>
      <c r="P27" s="22" t="str">
        <f>TRIM(Tabla1[[#This Row],[Articulo]])</f>
        <v>4001214</v>
      </c>
      <c r="Q27" s="22" t="e">
        <f>_xlfn.XLOOKUP(Tabla1[[#This Row],[Ean Normalizado]],tabla_consumos[EAN],tabla_consumos[Familia])</f>
        <v>#N/A</v>
      </c>
      <c r="R27" s="22" t="e">
        <f>_xlfn.XLOOKUP(Tabla1[[#This Row],[Ean Normalizado]],tabla_consumos[EAN],tabla_consumos[UM])</f>
        <v>#N/A</v>
      </c>
      <c r="S27" s="22" t="e">
        <f>Tabla1[[#This Row],[StockDisp]]*Tabla1[[#This Row],[UM producto]]</f>
        <v>#N/A</v>
      </c>
    </row>
    <row r="28" spans="1:19" x14ac:dyDescent="0.35">
      <c r="A28" s="37">
        <v>6</v>
      </c>
      <c r="B28" s="37" t="s">
        <v>319</v>
      </c>
      <c r="C28" s="37" t="s">
        <v>311</v>
      </c>
      <c r="D28" s="37" t="s">
        <v>555</v>
      </c>
      <c r="E28" s="37" t="s">
        <v>556</v>
      </c>
      <c r="F28" s="37">
        <v>2007409</v>
      </c>
      <c r="G28" s="37" t="s">
        <v>557</v>
      </c>
      <c r="H28" s="37" t="s">
        <v>315</v>
      </c>
      <c r="I28" s="37">
        <v>66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66</v>
      </c>
      <c r="P28" s="22" t="str">
        <f>TRIM(Tabla1[[#This Row],[Articulo]])</f>
        <v>7790250061137</v>
      </c>
      <c r="Q28" s="22" t="e">
        <f>_xlfn.XLOOKUP(Tabla1[[#This Row],[Ean Normalizado]],tabla_consumos[EAN],tabla_consumos[Familia])</f>
        <v>#N/A</v>
      </c>
      <c r="R28" s="22" t="e">
        <f>_xlfn.XLOOKUP(Tabla1[[#This Row],[Ean Normalizado]],tabla_consumos[EAN],tabla_consumos[UM])</f>
        <v>#N/A</v>
      </c>
      <c r="S28" s="22" t="e">
        <f>Tabla1[[#This Row],[StockDisp]]*Tabla1[[#This Row],[UM producto]]</f>
        <v>#N/A</v>
      </c>
    </row>
    <row r="29" spans="1:19" x14ac:dyDescent="0.35">
      <c r="A29" s="37">
        <v>6</v>
      </c>
      <c r="B29" s="37" t="s">
        <v>319</v>
      </c>
      <c r="C29" s="37" t="s">
        <v>311</v>
      </c>
      <c r="D29" s="37" t="s">
        <v>748</v>
      </c>
      <c r="E29" s="37" t="s">
        <v>749</v>
      </c>
      <c r="F29" s="37">
        <v>2011474</v>
      </c>
      <c r="G29" s="37" t="s">
        <v>223</v>
      </c>
      <c r="H29" s="37" t="s">
        <v>315</v>
      </c>
      <c r="I29" s="37">
        <v>279</v>
      </c>
      <c r="J29" s="37">
        <v>0</v>
      </c>
      <c r="K29" s="37">
        <v>0</v>
      </c>
      <c r="L29" s="37">
        <v>0</v>
      </c>
      <c r="M29" s="37">
        <v>3</v>
      </c>
      <c r="N29" s="37">
        <v>0</v>
      </c>
      <c r="O29" s="37">
        <v>276</v>
      </c>
      <c r="P29" s="22" t="str">
        <f>TRIM(Tabla1[[#This Row],[Articulo]])</f>
        <v>7798011211043</v>
      </c>
      <c r="Q29" s="22" t="str">
        <f>_xlfn.XLOOKUP(Tabla1[[#This Row],[Ean Normalizado]],tabla_consumos[EAN],tabla_consumos[Familia])</f>
        <v>BANDEJA 103</v>
      </c>
      <c r="R29" s="22">
        <f>_xlfn.XLOOKUP(Tabla1[[#This Row],[Ean Normalizado]],tabla_consumos[EAN],tabla_consumos[UM])</f>
        <v>100</v>
      </c>
      <c r="S29" s="22">
        <f>Tabla1[[#This Row],[StockDisp]]*Tabla1[[#This Row],[UM producto]]</f>
        <v>27600</v>
      </c>
    </row>
    <row r="30" spans="1:19" x14ac:dyDescent="0.35">
      <c r="A30" s="37">
        <v>6</v>
      </c>
      <c r="B30" s="37" t="s">
        <v>319</v>
      </c>
      <c r="C30" s="37" t="s">
        <v>311</v>
      </c>
      <c r="D30" s="37"/>
      <c r="E30" s="37" t="s">
        <v>935</v>
      </c>
      <c r="F30" s="37">
        <v>2007177</v>
      </c>
      <c r="G30" s="37" t="s">
        <v>936</v>
      </c>
      <c r="H30" s="37" t="s">
        <v>315</v>
      </c>
      <c r="I30" s="37">
        <v>352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352</v>
      </c>
      <c r="P30" s="22" t="str">
        <f>TRIM(Tabla1[[#This Row],[Articulo]])</f>
        <v>7790000000217</v>
      </c>
      <c r="Q30" s="22" t="e">
        <f>_xlfn.XLOOKUP(Tabla1[[#This Row],[Ean Normalizado]],tabla_consumos[EAN],tabla_consumos[Familia])</f>
        <v>#N/A</v>
      </c>
      <c r="R30" s="22" t="e">
        <f>_xlfn.XLOOKUP(Tabla1[[#This Row],[Ean Normalizado]],tabla_consumos[EAN],tabla_consumos[UM])</f>
        <v>#N/A</v>
      </c>
      <c r="S30" s="22" t="e">
        <f>Tabla1[[#This Row],[StockDisp]]*Tabla1[[#This Row],[UM producto]]</f>
        <v>#N/A</v>
      </c>
    </row>
    <row r="31" spans="1:19" x14ac:dyDescent="0.35">
      <c r="A31" s="37">
        <v>6</v>
      </c>
      <c r="B31" s="37" t="s">
        <v>319</v>
      </c>
      <c r="C31" s="37" t="s">
        <v>311</v>
      </c>
      <c r="D31" s="37" t="s">
        <v>394</v>
      </c>
      <c r="E31" s="37" t="s">
        <v>761</v>
      </c>
      <c r="F31" s="37">
        <v>2007540</v>
      </c>
      <c r="G31" s="37" t="s">
        <v>762</v>
      </c>
      <c r="H31" s="37" t="s">
        <v>315</v>
      </c>
      <c r="I31" s="37">
        <v>30</v>
      </c>
      <c r="J31" s="37">
        <v>100</v>
      </c>
      <c r="K31" s="37">
        <v>0</v>
      </c>
      <c r="L31" s="37">
        <v>0</v>
      </c>
      <c r="M31" s="37">
        <v>0</v>
      </c>
      <c r="N31" s="37">
        <v>0</v>
      </c>
      <c r="O31" s="37">
        <v>130</v>
      </c>
      <c r="P31" s="22" t="str">
        <f>TRIM(Tabla1[[#This Row],[Articulo]])</f>
        <v>7790000000509</v>
      </c>
      <c r="Q31" s="22" t="e">
        <f>_xlfn.XLOOKUP(Tabla1[[#This Row],[Ean Normalizado]],tabla_consumos[EAN],tabla_consumos[Familia])</f>
        <v>#N/A</v>
      </c>
      <c r="R31" s="22" t="e">
        <f>_xlfn.XLOOKUP(Tabla1[[#This Row],[Ean Normalizado]],tabla_consumos[EAN],tabla_consumos[UM])</f>
        <v>#N/A</v>
      </c>
      <c r="S31" s="22" t="e">
        <f>Tabla1[[#This Row],[StockDisp]]*Tabla1[[#This Row],[UM producto]]</f>
        <v>#N/A</v>
      </c>
    </row>
    <row r="32" spans="1:19" x14ac:dyDescent="0.35">
      <c r="A32" s="37">
        <v>5</v>
      </c>
      <c r="B32" s="37" t="s">
        <v>310</v>
      </c>
      <c r="C32" s="37" t="s">
        <v>311</v>
      </c>
      <c r="D32" s="37" t="s">
        <v>763</v>
      </c>
      <c r="E32" s="37" t="s">
        <v>764</v>
      </c>
      <c r="F32" s="37">
        <v>4077171</v>
      </c>
      <c r="G32" s="37" t="s">
        <v>765</v>
      </c>
      <c r="H32" s="37" t="s">
        <v>315</v>
      </c>
      <c r="I32" s="37">
        <v>126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126</v>
      </c>
      <c r="P32" s="22" t="str">
        <f>TRIM(Tabla1[[#This Row],[Articulo]])</f>
        <v>7790387001440</v>
      </c>
      <c r="Q32" s="22" t="e">
        <f>_xlfn.XLOOKUP(Tabla1[[#This Row],[Ean Normalizado]],tabla_consumos[EAN],tabla_consumos[Familia])</f>
        <v>#N/A</v>
      </c>
      <c r="R32" s="22" t="e">
        <f>_xlfn.XLOOKUP(Tabla1[[#This Row],[Ean Normalizado]],tabla_consumos[EAN],tabla_consumos[UM])</f>
        <v>#N/A</v>
      </c>
      <c r="S32" s="22" t="e">
        <f>Tabla1[[#This Row],[StockDisp]]*Tabla1[[#This Row],[UM producto]]</f>
        <v>#N/A</v>
      </c>
    </row>
    <row r="33" spans="1:19" x14ac:dyDescent="0.35">
      <c r="A33" s="37">
        <v>6</v>
      </c>
      <c r="B33" s="37" t="s">
        <v>319</v>
      </c>
      <c r="C33" s="37" t="s">
        <v>311</v>
      </c>
      <c r="D33" s="37"/>
      <c r="E33" s="37" t="s">
        <v>520</v>
      </c>
      <c r="F33" s="37">
        <v>2007166</v>
      </c>
      <c r="G33" s="37" t="s">
        <v>521</v>
      </c>
      <c r="H33" s="37" t="s">
        <v>315</v>
      </c>
      <c r="I33" s="37">
        <v>92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92</v>
      </c>
      <c r="P33" s="22" t="str">
        <f>TRIM(Tabla1[[#This Row],[Articulo]])</f>
        <v>7790000000206</v>
      </c>
      <c r="Q33" s="22" t="e">
        <f>_xlfn.XLOOKUP(Tabla1[[#This Row],[Ean Normalizado]],tabla_consumos[EAN],tabla_consumos[Familia])</f>
        <v>#N/A</v>
      </c>
      <c r="R33" s="22" t="e">
        <f>_xlfn.XLOOKUP(Tabla1[[#This Row],[Ean Normalizado]],tabla_consumos[EAN],tabla_consumos[UM])</f>
        <v>#N/A</v>
      </c>
      <c r="S33" s="22" t="e">
        <f>Tabla1[[#This Row],[StockDisp]]*Tabla1[[#This Row],[UM producto]]</f>
        <v>#N/A</v>
      </c>
    </row>
    <row r="34" spans="1:19" x14ac:dyDescent="0.35">
      <c r="A34" s="37">
        <v>6</v>
      </c>
      <c r="B34" s="37" t="s">
        <v>319</v>
      </c>
      <c r="C34" s="37" t="s">
        <v>311</v>
      </c>
      <c r="D34" s="37" t="s">
        <v>674</v>
      </c>
      <c r="E34" s="37" t="s">
        <v>675</v>
      </c>
      <c r="F34" s="37">
        <v>2007425</v>
      </c>
      <c r="G34" s="37" t="s">
        <v>676</v>
      </c>
      <c r="H34" s="37" t="s">
        <v>315</v>
      </c>
      <c r="I34" s="37">
        <v>6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6</v>
      </c>
      <c r="P34" s="22" t="str">
        <f>TRIM(Tabla1[[#This Row],[Articulo]])</f>
        <v>7798332280100</v>
      </c>
      <c r="Q34" s="22" t="e">
        <f>_xlfn.XLOOKUP(Tabla1[[#This Row],[Ean Normalizado]],tabla_consumos[EAN],tabla_consumos[Familia])</f>
        <v>#N/A</v>
      </c>
      <c r="R34" s="22" t="e">
        <f>_xlfn.XLOOKUP(Tabla1[[#This Row],[Ean Normalizado]],tabla_consumos[EAN],tabla_consumos[UM])</f>
        <v>#N/A</v>
      </c>
      <c r="S34" s="22" t="e">
        <f>Tabla1[[#This Row],[StockDisp]]*Tabla1[[#This Row],[UM producto]]</f>
        <v>#N/A</v>
      </c>
    </row>
    <row r="35" spans="1:19" x14ac:dyDescent="0.35">
      <c r="A35" s="37">
        <v>6</v>
      </c>
      <c r="B35" s="37" t="s">
        <v>319</v>
      </c>
      <c r="C35" s="37" t="s">
        <v>311</v>
      </c>
      <c r="D35" s="37" t="s">
        <v>493</v>
      </c>
      <c r="E35" s="37" t="s">
        <v>677</v>
      </c>
      <c r="F35" s="37">
        <v>2007483</v>
      </c>
      <c r="G35" s="37" t="s">
        <v>678</v>
      </c>
      <c r="H35" s="37" t="s">
        <v>328</v>
      </c>
      <c r="I35" s="37">
        <v>680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680</v>
      </c>
      <c r="P35" s="22" t="str">
        <f>TRIM(Tabla1[[#This Row],[Articulo]])</f>
        <v>7790000000460</v>
      </c>
      <c r="Q35" s="22" t="e">
        <f>_xlfn.XLOOKUP(Tabla1[[#This Row],[Ean Normalizado]],tabla_consumos[EAN],tabla_consumos[Familia])</f>
        <v>#N/A</v>
      </c>
      <c r="R35" s="22" t="e">
        <f>_xlfn.XLOOKUP(Tabla1[[#This Row],[Ean Normalizado]],tabla_consumos[EAN],tabla_consumos[UM])</f>
        <v>#N/A</v>
      </c>
      <c r="S35" s="22" t="e">
        <f>Tabla1[[#This Row],[StockDisp]]*Tabla1[[#This Row],[UM producto]]</f>
        <v>#N/A</v>
      </c>
    </row>
    <row r="36" spans="1:19" x14ac:dyDescent="0.35">
      <c r="A36" s="37">
        <v>6</v>
      </c>
      <c r="B36" s="37" t="s">
        <v>319</v>
      </c>
      <c r="C36" s="37" t="s">
        <v>311</v>
      </c>
      <c r="D36" s="37" t="s">
        <v>376</v>
      </c>
      <c r="E36" s="37" t="s">
        <v>377</v>
      </c>
      <c r="F36" s="37">
        <v>2007157</v>
      </c>
      <c r="G36" s="37" t="s">
        <v>378</v>
      </c>
      <c r="H36" s="37" t="s">
        <v>315</v>
      </c>
      <c r="I36" s="37">
        <v>2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2</v>
      </c>
      <c r="P36" s="22" t="str">
        <f>TRIM(Tabla1[[#This Row],[Articulo]])</f>
        <v>7790000000195</v>
      </c>
      <c r="Q36" s="22" t="str">
        <f>_xlfn.XLOOKUP(Tabla1[[#This Row],[Ean Normalizado]],tabla_consumos[EAN],tabla_consumos[Familia])</f>
        <v>BARBIJOS</v>
      </c>
      <c r="R36" s="22">
        <f>_xlfn.XLOOKUP(Tabla1[[#This Row],[Ean Normalizado]],tabla_consumos[EAN],tabla_consumos[UM])</f>
        <v>50</v>
      </c>
      <c r="S36" s="22">
        <f>Tabla1[[#This Row],[StockDisp]]*Tabla1[[#This Row],[UM producto]]</f>
        <v>100</v>
      </c>
    </row>
    <row r="37" spans="1:19" x14ac:dyDescent="0.35">
      <c r="A37" s="37">
        <v>5</v>
      </c>
      <c r="B37" s="37" t="s">
        <v>310</v>
      </c>
      <c r="C37" s="37" t="s">
        <v>311</v>
      </c>
      <c r="D37" s="37" t="s">
        <v>353</v>
      </c>
      <c r="E37" s="37" t="s">
        <v>354</v>
      </c>
      <c r="F37" s="37">
        <v>4019917</v>
      </c>
      <c r="G37" s="37" t="s">
        <v>355</v>
      </c>
      <c r="H37" s="37" t="s">
        <v>315</v>
      </c>
      <c r="I37" s="37">
        <v>299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299</v>
      </c>
      <c r="P37" s="22" t="str">
        <f>TRIM(Tabla1[[#This Row],[Articulo]])</f>
        <v>7792378001477</v>
      </c>
      <c r="Q37" s="22" t="e">
        <f>_xlfn.XLOOKUP(Tabla1[[#This Row],[Ean Normalizado]],tabla_consumos[EAN],tabla_consumos[Familia])</f>
        <v>#N/A</v>
      </c>
      <c r="R37" s="22" t="e">
        <f>_xlfn.XLOOKUP(Tabla1[[#This Row],[Ean Normalizado]],tabla_consumos[EAN],tabla_consumos[UM])</f>
        <v>#N/A</v>
      </c>
      <c r="S37" s="22" t="e">
        <f>Tabla1[[#This Row],[StockDisp]]*Tabla1[[#This Row],[UM producto]]</f>
        <v>#N/A</v>
      </c>
    </row>
    <row r="38" spans="1:19" x14ac:dyDescent="0.35">
      <c r="A38" s="37">
        <v>6</v>
      </c>
      <c r="B38" s="37" t="s">
        <v>319</v>
      </c>
      <c r="C38" s="37" t="s">
        <v>311</v>
      </c>
      <c r="D38" s="37" t="s">
        <v>555</v>
      </c>
      <c r="E38" s="37" t="s">
        <v>877</v>
      </c>
      <c r="F38" s="37">
        <v>2007408</v>
      </c>
      <c r="G38" s="37" t="s">
        <v>878</v>
      </c>
      <c r="H38" s="37" t="s">
        <v>315</v>
      </c>
      <c r="I38" s="37">
        <v>93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93</v>
      </c>
      <c r="P38" s="22" t="str">
        <f>TRIM(Tabla1[[#This Row],[Articulo]])</f>
        <v>7790250066163</v>
      </c>
      <c r="Q38" s="22" t="e">
        <f>_xlfn.XLOOKUP(Tabla1[[#This Row],[Ean Normalizado]],tabla_consumos[EAN],tabla_consumos[Familia])</f>
        <v>#N/A</v>
      </c>
      <c r="R38" s="22" t="e">
        <f>_xlfn.XLOOKUP(Tabla1[[#This Row],[Ean Normalizado]],tabla_consumos[EAN],tabla_consumos[UM])</f>
        <v>#N/A</v>
      </c>
      <c r="S38" s="22" t="e">
        <f>Tabla1[[#This Row],[StockDisp]]*Tabla1[[#This Row],[UM producto]]</f>
        <v>#N/A</v>
      </c>
    </row>
    <row r="39" spans="1:19" x14ac:dyDescent="0.35">
      <c r="A39" s="37">
        <v>6</v>
      </c>
      <c r="B39" s="37" t="s">
        <v>319</v>
      </c>
      <c r="C39" s="37" t="s">
        <v>311</v>
      </c>
      <c r="D39" s="37" t="s">
        <v>879</v>
      </c>
      <c r="E39" s="37" t="s">
        <v>880</v>
      </c>
      <c r="F39" s="37">
        <v>2006529</v>
      </c>
      <c r="G39" s="37" t="s">
        <v>881</v>
      </c>
      <c r="H39" s="37" t="s">
        <v>315</v>
      </c>
      <c r="I39" s="37">
        <v>336</v>
      </c>
      <c r="J39" s="37">
        <v>0</v>
      </c>
      <c r="K39" s="37">
        <v>0</v>
      </c>
      <c r="L39" s="37">
        <v>0</v>
      </c>
      <c r="M39" s="37">
        <v>8</v>
      </c>
      <c r="N39" s="37">
        <v>0</v>
      </c>
      <c r="O39" s="37">
        <v>328</v>
      </c>
      <c r="P39" s="22" t="str">
        <f>TRIM(Tabla1[[#This Row],[Articulo]])</f>
        <v>7798188650508</v>
      </c>
      <c r="Q39" s="22" t="e">
        <f>_xlfn.XLOOKUP(Tabla1[[#This Row],[Ean Normalizado]],tabla_consumos[EAN],tabla_consumos[Familia])</f>
        <v>#N/A</v>
      </c>
      <c r="R39" s="22" t="e">
        <f>_xlfn.XLOOKUP(Tabla1[[#This Row],[Ean Normalizado]],tabla_consumos[EAN],tabla_consumos[UM])</f>
        <v>#N/A</v>
      </c>
      <c r="S39" s="22" t="e">
        <f>Tabla1[[#This Row],[StockDisp]]*Tabla1[[#This Row],[UM producto]]</f>
        <v>#N/A</v>
      </c>
    </row>
    <row r="40" spans="1:19" x14ac:dyDescent="0.35">
      <c r="A40" s="37">
        <v>1</v>
      </c>
      <c r="B40" s="37" t="s">
        <v>322</v>
      </c>
      <c r="C40" s="37" t="s">
        <v>311</v>
      </c>
      <c r="D40" s="37" t="s">
        <v>603</v>
      </c>
      <c r="E40" s="37" t="s">
        <v>604</v>
      </c>
      <c r="F40" s="37">
        <v>4007708</v>
      </c>
      <c r="G40" s="37" t="s">
        <v>605</v>
      </c>
      <c r="H40" s="37" t="s">
        <v>346</v>
      </c>
      <c r="I40" s="37">
        <v>21.15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21.15</v>
      </c>
      <c r="P40" s="22" t="str">
        <f>TRIM(Tabla1[[#This Row],[Articulo]])</f>
        <v>7790000000622</v>
      </c>
      <c r="Q40" s="22" t="e">
        <f>_xlfn.XLOOKUP(Tabla1[[#This Row],[Ean Normalizado]],tabla_consumos[EAN],tabla_consumos[Familia])</f>
        <v>#N/A</v>
      </c>
      <c r="R40" s="22" t="e">
        <f>_xlfn.XLOOKUP(Tabla1[[#This Row],[Ean Normalizado]],tabla_consumos[EAN],tabla_consumos[UM])</f>
        <v>#N/A</v>
      </c>
      <c r="S40" s="22" t="e">
        <f>Tabla1[[#This Row],[StockDisp]]*Tabla1[[#This Row],[UM producto]]</f>
        <v>#N/A</v>
      </c>
    </row>
    <row r="41" spans="1:19" x14ac:dyDescent="0.35">
      <c r="A41" s="37">
        <v>6</v>
      </c>
      <c r="B41" s="37" t="s">
        <v>319</v>
      </c>
      <c r="C41" s="37" t="s">
        <v>311</v>
      </c>
      <c r="D41" s="37" t="s">
        <v>332</v>
      </c>
      <c r="E41" s="37" t="s">
        <v>606</v>
      </c>
      <c r="F41" s="37">
        <v>2016605</v>
      </c>
      <c r="G41" s="37" t="s">
        <v>267</v>
      </c>
      <c r="H41" s="37" t="s">
        <v>315</v>
      </c>
      <c r="I41" s="37">
        <v>14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14</v>
      </c>
      <c r="P41" s="22" t="str">
        <f>TRIM(Tabla1[[#This Row],[Articulo]])</f>
        <v>7794459003066</v>
      </c>
      <c r="Q41" s="22" t="str">
        <f>_xlfn.XLOOKUP(Tabla1[[#This Row],[Ean Normalizado]],tabla_consumos[EAN],tabla_consumos[Familia])</f>
        <v>ARRANQUE 50X70</v>
      </c>
      <c r="R41" s="22">
        <f>_xlfn.XLOOKUP(Tabla1[[#This Row],[Ean Normalizado]],tabla_consumos[EAN],tabla_consumos[UM])</f>
        <v>6</v>
      </c>
      <c r="S41" s="22">
        <f>Tabla1[[#This Row],[StockDisp]]*Tabla1[[#This Row],[UM producto]]</f>
        <v>84</v>
      </c>
    </row>
    <row r="42" spans="1:19" x14ac:dyDescent="0.35">
      <c r="A42" s="37">
        <v>5</v>
      </c>
      <c r="B42" s="37" t="s">
        <v>310</v>
      </c>
      <c r="C42" s="37" t="s">
        <v>311</v>
      </c>
      <c r="D42" s="37"/>
      <c r="E42" s="37" t="s">
        <v>607</v>
      </c>
      <c r="F42" s="37">
        <v>4001225</v>
      </c>
      <c r="G42" s="37" t="s">
        <v>608</v>
      </c>
      <c r="H42" s="37" t="s">
        <v>346</v>
      </c>
      <c r="I42" s="37">
        <v>0.9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0.9</v>
      </c>
      <c r="P42" s="22" t="str">
        <f>TRIM(Tabla1[[#This Row],[Articulo]])</f>
        <v>4001225</v>
      </c>
      <c r="Q42" s="22" t="e">
        <f>_xlfn.XLOOKUP(Tabla1[[#This Row],[Ean Normalizado]],tabla_consumos[EAN],tabla_consumos[Familia])</f>
        <v>#N/A</v>
      </c>
      <c r="R42" s="22" t="e">
        <f>_xlfn.XLOOKUP(Tabla1[[#This Row],[Ean Normalizado]],tabla_consumos[EAN],tabla_consumos[UM])</f>
        <v>#N/A</v>
      </c>
      <c r="S42" s="22" t="e">
        <f>Tabla1[[#This Row],[StockDisp]]*Tabla1[[#This Row],[UM producto]]</f>
        <v>#N/A</v>
      </c>
    </row>
    <row r="43" spans="1:19" x14ac:dyDescent="0.35">
      <c r="A43" s="37">
        <v>5</v>
      </c>
      <c r="B43" s="37" t="s">
        <v>310</v>
      </c>
      <c r="C43" s="37" t="s">
        <v>311</v>
      </c>
      <c r="D43" s="37" t="s">
        <v>411</v>
      </c>
      <c r="E43" s="37" t="s">
        <v>412</v>
      </c>
      <c r="F43" s="37">
        <v>4077167</v>
      </c>
      <c r="G43" s="37" t="s">
        <v>413</v>
      </c>
      <c r="H43" s="37" t="s">
        <v>315</v>
      </c>
      <c r="I43" s="37">
        <v>126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126</v>
      </c>
      <c r="P43" s="22" t="str">
        <f>TRIM(Tabla1[[#This Row],[Articulo]])</f>
        <v>7790387013252</v>
      </c>
      <c r="Q43" s="22" t="e">
        <f>_xlfn.XLOOKUP(Tabla1[[#This Row],[Ean Normalizado]],tabla_consumos[EAN],tabla_consumos[Familia])</f>
        <v>#N/A</v>
      </c>
      <c r="R43" s="22" t="e">
        <f>_xlfn.XLOOKUP(Tabla1[[#This Row],[Ean Normalizado]],tabla_consumos[EAN],tabla_consumos[UM])</f>
        <v>#N/A</v>
      </c>
      <c r="S43" s="22" t="e">
        <f>Tabla1[[#This Row],[StockDisp]]*Tabla1[[#This Row],[UM producto]]</f>
        <v>#N/A</v>
      </c>
    </row>
    <row r="44" spans="1:19" x14ac:dyDescent="0.35">
      <c r="A44" s="37">
        <v>6</v>
      </c>
      <c r="B44" s="37" t="s">
        <v>319</v>
      </c>
      <c r="C44" s="37" t="s">
        <v>311</v>
      </c>
      <c r="D44" s="37"/>
      <c r="E44" s="37" t="s">
        <v>551</v>
      </c>
      <c r="F44" s="37">
        <v>2007458</v>
      </c>
      <c r="G44" s="37" t="s">
        <v>552</v>
      </c>
      <c r="H44" s="37" t="s">
        <v>315</v>
      </c>
      <c r="I44" s="37">
        <v>3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3</v>
      </c>
      <c r="P44" s="22" t="str">
        <f>TRIM(Tabla1[[#This Row],[Articulo]])</f>
        <v>7798095841310</v>
      </c>
      <c r="Q44" s="22" t="e">
        <f>_xlfn.XLOOKUP(Tabla1[[#This Row],[Ean Normalizado]],tabla_consumos[EAN],tabla_consumos[Familia])</f>
        <v>#N/A</v>
      </c>
      <c r="R44" s="22" t="e">
        <f>_xlfn.XLOOKUP(Tabla1[[#This Row],[Ean Normalizado]],tabla_consumos[EAN],tabla_consumos[UM])</f>
        <v>#N/A</v>
      </c>
      <c r="S44" s="22" t="e">
        <f>Tabla1[[#This Row],[StockDisp]]*Tabla1[[#This Row],[UM producto]]</f>
        <v>#N/A</v>
      </c>
    </row>
    <row r="45" spans="1:19" x14ac:dyDescent="0.35">
      <c r="A45" s="37">
        <v>6</v>
      </c>
      <c r="B45" s="37" t="s">
        <v>319</v>
      </c>
      <c r="C45" s="37" t="s">
        <v>311</v>
      </c>
      <c r="D45" s="37"/>
      <c r="E45" s="37" t="s">
        <v>703</v>
      </c>
      <c r="F45" s="37">
        <v>2007159</v>
      </c>
      <c r="G45" s="37" t="s">
        <v>704</v>
      </c>
      <c r="H45" s="37" t="s">
        <v>315</v>
      </c>
      <c r="I45" s="37">
        <v>71</v>
      </c>
      <c r="J45" s="37">
        <v>39</v>
      </c>
      <c r="K45" s="37">
        <v>0</v>
      </c>
      <c r="L45" s="37">
        <v>0</v>
      </c>
      <c r="M45" s="37">
        <v>0</v>
      </c>
      <c r="N45" s="37">
        <v>0</v>
      </c>
      <c r="O45" s="37">
        <v>110</v>
      </c>
      <c r="P45" s="22" t="str">
        <f>TRIM(Tabla1[[#This Row],[Articulo]])</f>
        <v>7790000000199</v>
      </c>
      <c r="Q45" s="22" t="e">
        <f>_xlfn.XLOOKUP(Tabla1[[#This Row],[Ean Normalizado]],tabla_consumos[EAN],tabla_consumos[Familia])</f>
        <v>#N/A</v>
      </c>
      <c r="R45" s="22" t="e">
        <f>_xlfn.XLOOKUP(Tabla1[[#This Row],[Ean Normalizado]],tabla_consumos[EAN],tabla_consumos[UM])</f>
        <v>#N/A</v>
      </c>
      <c r="S45" s="22" t="e">
        <f>Tabla1[[#This Row],[StockDisp]]*Tabla1[[#This Row],[UM producto]]</f>
        <v>#N/A</v>
      </c>
    </row>
    <row r="46" spans="1:19" x14ac:dyDescent="0.35">
      <c r="A46" s="1">
        <v>5</v>
      </c>
      <c r="B46" s="37" t="s">
        <v>310</v>
      </c>
      <c r="C46" s="37" t="s">
        <v>311</v>
      </c>
      <c r="D46" s="37"/>
      <c r="E46" s="37" t="s">
        <v>705</v>
      </c>
      <c r="F46" s="37">
        <v>4001199</v>
      </c>
      <c r="G46" s="37" t="s">
        <v>706</v>
      </c>
      <c r="H46" s="37" t="s">
        <v>346</v>
      </c>
      <c r="I46" s="37">
        <v>38</v>
      </c>
      <c r="J46" s="37">
        <v>0</v>
      </c>
      <c r="K46" s="37">
        <v>0</v>
      </c>
      <c r="L46" s="37">
        <v>0</v>
      </c>
      <c r="M46" s="37">
        <v>15</v>
      </c>
      <c r="N46" s="37">
        <v>0</v>
      </c>
      <c r="O46" s="37">
        <v>23</v>
      </c>
      <c r="P46" s="22" t="str">
        <f>TRIM(Tabla1[[#This Row],[Articulo]])</f>
        <v>4001199</v>
      </c>
      <c r="Q46" s="22" t="e">
        <f>_xlfn.XLOOKUP(Tabla1[[#This Row],[Ean Normalizado]],tabla_consumos[EAN],tabla_consumos[Familia])</f>
        <v>#N/A</v>
      </c>
      <c r="R46" s="22" t="e">
        <f>_xlfn.XLOOKUP(Tabla1[[#This Row],[Ean Normalizado]],tabla_consumos[EAN],tabla_consumos[UM])</f>
        <v>#N/A</v>
      </c>
      <c r="S46" s="22" t="e">
        <f>Tabla1[[#This Row],[StockDisp]]*Tabla1[[#This Row],[UM producto]]</f>
        <v>#N/A</v>
      </c>
    </row>
    <row r="47" spans="1:19" x14ac:dyDescent="0.35">
      <c r="A47" s="37">
        <v>6</v>
      </c>
      <c r="B47" s="37" t="s">
        <v>319</v>
      </c>
      <c r="C47" s="37" t="s">
        <v>311</v>
      </c>
      <c r="D47" s="37" t="s">
        <v>394</v>
      </c>
      <c r="E47" s="37" t="s">
        <v>434</v>
      </c>
      <c r="F47" s="37">
        <v>2007538</v>
      </c>
      <c r="G47" s="37" t="s">
        <v>435</v>
      </c>
      <c r="H47" s="37" t="s">
        <v>315</v>
      </c>
      <c r="I47" s="37">
        <v>317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317</v>
      </c>
      <c r="P47" s="22" t="str">
        <f>TRIM(Tabla1[[#This Row],[Articulo]])</f>
        <v>7790000000505</v>
      </c>
      <c r="Q47" s="22" t="e">
        <f>_xlfn.XLOOKUP(Tabla1[[#This Row],[Ean Normalizado]],tabla_consumos[EAN],tabla_consumos[Familia])</f>
        <v>#N/A</v>
      </c>
      <c r="R47" s="22" t="e">
        <f>_xlfn.XLOOKUP(Tabla1[[#This Row],[Ean Normalizado]],tabla_consumos[EAN],tabla_consumos[UM])</f>
        <v>#N/A</v>
      </c>
      <c r="S47" s="22" t="e">
        <f>Tabla1[[#This Row],[StockDisp]]*Tabla1[[#This Row],[UM producto]]</f>
        <v>#N/A</v>
      </c>
    </row>
    <row r="48" spans="1:19" x14ac:dyDescent="0.35">
      <c r="A48" s="37">
        <v>6</v>
      </c>
      <c r="B48" s="37" t="s">
        <v>319</v>
      </c>
      <c r="C48" s="37" t="s">
        <v>311</v>
      </c>
      <c r="D48" s="37" t="s">
        <v>359</v>
      </c>
      <c r="E48" s="37" t="s">
        <v>802</v>
      </c>
      <c r="F48" s="37">
        <v>2006303</v>
      </c>
      <c r="G48" s="37" t="s">
        <v>803</v>
      </c>
      <c r="H48" s="37" t="s">
        <v>315</v>
      </c>
      <c r="I48" s="37">
        <v>51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51</v>
      </c>
      <c r="P48" s="22" t="str">
        <f>TRIM(Tabla1[[#This Row],[Articulo]])</f>
        <v>LIM000210</v>
      </c>
      <c r="Q48" s="22" t="e">
        <f>_xlfn.XLOOKUP(Tabla1[[#This Row],[Ean Normalizado]],tabla_consumos[EAN],tabla_consumos[Familia])</f>
        <v>#N/A</v>
      </c>
      <c r="R48" s="22" t="e">
        <f>_xlfn.XLOOKUP(Tabla1[[#This Row],[Ean Normalizado]],tabla_consumos[EAN],tabla_consumos[UM])</f>
        <v>#N/A</v>
      </c>
      <c r="S48" s="22" t="e">
        <f>Tabla1[[#This Row],[StockDisp]]*Tabla1[[#This Row],[UM producto]]</f>
        <v>#N/A</v>
      </c>
    </row>
    <row r="49" spans="1:19" x14ac:dyDescent="0.35">
      <c r="A49" s="37">
        <v>5</v>
      </c>
      <c r="B49" s="37" t="s">
        <v>310</v>
      </c>
      <c r="C49" s="37" t="s">
        <v>311</v>
      </c>
      <c r="D49" s="37"/>
      <c r="E49" s="37" t="s">
        <v>860</v>
      </c>
      <c r="F49" s="37">
        <v>4001202</v>
      </c>
      <c r="G49" s="37" t="s">
        <v>861</v>
      </c>
      <c r="H49" s="37" t="s">
        <v>346</v>
      </c>
      <c r="I49" s="37">
        <v>18</v>
      </c>
      <c r="J49" s="37">
        <v>0</v>
      </c>
      <c r="K49" s="37">
        <v>0</v>
      </c>
      <c r="L49" s="37">
        <v>0</v>
      </c>
      <c r="M49" s="37">
        <v>9</v>
      </c>
      <c r="N49" s="37">
        <v>0</v>
      </c>
      <c r="O49" s="37">
        <v>9</v>
      </c>
      <c r="P49" s="22" t="str">
        <f>TRIM(Tabla1[[#This Row],[Articulo]])</f>
        <v>4001202</v>
      </c>
      <c r="Q49" s="22" t="e">
        <f>_xlfn.XLOOKUP(Tabla1[[#This Row],[Ean Normalizado]],tabla_consumos[EAN],tabla_consumos[Familia])</f>
        <v>#N/A</v>
      </c>
      <c r="R49" s="22" t="e">
        <f>_xlfn.XLOOKUP(Tabla1[[#This Row],[Ean Normalizado]],tabla_consumos[EAN],tabla_consumos[UM])</f>
        <v>#N/A</v>
      </c>
      <c r="S49" s="22" t="e">
        <f>Tabla1[[#This Row],[StockDisp]]*Tabla1[[#This Row],[UM producto]]</f>
        <v>#N/A</v>
      </c>
    </row>
    <row r="50" spans="1:19" x14ac:dyDescent="0.35">
      <c r="A50" s="37">
        <v>6</v>
      </c>
      <c r="B50" s="37" t="s">
        <v>319</v>
      </c>
      <c r="C50" s="37" t="s">
        <v>311</v>
      </c>
      <c r="D50" s="37"/>
      <c r="E50" s="37" t="s">
        <v>456</v>
      </c>
      <c r="F50" s="37">
        <v>2007286</v>
      </c>
      <c r="G50" s="37" t="s">
        <v>457</v>
      </c>
      <c r="H50" s="37" t="s">
        <v>315</v>
      </c>
      <c r="I50" s="37">
        <v>12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12</v>
      </c>
      <c r="P50" s="22" t="str">
        <f>TRIM(Tabla1[[#This Row],[Articulo]])</f>
        <v>7798090050427</v>
      </c>
      <c r="Q50" s="22" t="e">
        <f>_xlfn.XLOOKUP(Tabla1[[#This Row],[Ean Normalizado]],tabla_consumos[EAN],tabla_consumos[Familia])</f>
        <v>#N/A</v>
      </c>
      <c r="R50" s="22" t="e">
        <f>_xlfn.XLOOKUP(Tabla1[[#This Row],[Ean Normalizado]],tabla_consumos[EAN],tabla_consumos[UM])</f>
        <v>#N/A</v>
      </c>
      <c r="S50" s="22" t="e">
        <f>Tabla1[[#This Row],[StockDisp]]*Tabla1[[#This Row],[UM producto]]</f>
        <v>#N/A</v>
      </c>
    </row>
    <row r="51" spans="1:19" x14ac:dyDescent="0.35">
      <c r="A51" s="37">
        <v>6</v>
      </c>
      <c r="B51" s="37" t="s">
        <v>319</v>
      </c>
      <c r="C51" s="37" t="s">
        <v>311</v>
      </c>
      <c r="D51" s="37"/>
      <c r="E51" s="37" t="s">
        <v>491</v>
      </c>
      <c r="F51" s="37">
        <v>2007434</v>
      </c>
      <c r="G51" s="37" t="s">
        <v>492</v>
      </c>
      <c r="H51" s="37" t="s">
        <v>315</v>
      </c>
      <c r="I51" s="37">
        <v>28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28</v>
      </c>
      <c r="P51" s="22" t="str">
        <f>TRIM(Tabla1[[#This Row],[Articulo]])</f>
        <v>7798012211091</v>
      </c>
      <c r="Q51" s="22" t="e">
        <f>_xlfn.XLOOKUP(Tabla1[[#This Row],[Ean Normalizado]],tabla_consumos[EAN],tabla_consumos[Familia])</f>
        <v>#N/A</v>
      </c>
      <c r="R51" s="22" t="e">
        <f>_xlfn.XLOOKUP(Tabla1[[#This Row],[Ean Normalizado]],tabla_consumos[EAN],tabla_consumos[UM])</f>
        <v>#N/A</v>
      </c>
      <c r="S51" s="22" t="e">
        <f>Tabla1[[#This Row],[StockDisp]]*Tabla1[[#This Row],[UM producto]]</f>
        <v>#N/A</v>
      </c>
    </row>
    <row r="52" spans="1:19" x14ac:dyDescent="0.35">
      <c r="A52" s="37">
        <v>6</v>
      </c>
      <c r="B52" s="37" t="s">
        <v>319</v>
      </c>
      <c r="C52" s="37" t="s">
        <v>311</v>
      </c>
      <c r="D52" s="37" t="s">
        <v>493</v>
      </c>
      <c r="E52" s="37" t="s">
        <v>494</v>
      </c>
      <c r="F52" s="37">
        <v>2007482</v>
      </c>
      <c r="G52" s="37" t="s">
        <v>495</v>
      </c>
      <c r="H52" s="37" t="s">
        <v>315</v>
      </c>
      <c r="I52" s="37">
        <v>548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548</v>
      </c>
      <c r="P52" s="22" t="str">
        <f>TRIM(Tabla1[[#This Row],[Articulo]])</f>
        <v>7790000000459</v>
      </c>
      <c r="Q52" s="22" t="e">
        <f>_xlfn.XLOOKUP(Tabla1[[#This Row],[Ean Normalizado]],tabla_consumos[EAN],tabla_consumos[Familia])</f>
        <v>#N/A</v>
      </c>
      <c r="R52" s="22" t="e">
        <f>_xlfn.XLOOKUP(Tabla1[[#This Row],[Ean Normalizado]],tabla_consumos[EAN],tabla_consumos[UM])</f>
        <v>#N/A</v>
      </c>
      <c r="S52" s="22" t="e">
        <f>Tabla1[[#This Row],[StockDisp]]*Tabla1[[#This Row],[UM producto]]</f>
        <v>#N/A</v>
      </c>
    </row>
    <row r="53" spans="1:19" x14ac:dyDescent="0.35">
      <c r="A53" s="37">
        <v>6</v>
      </c>
      <c r="B53" s="37" t="s">
        <v>319</v>
      </c>
      <c r="C53" s="37" t="s">
        <v>311</v>
      </c>
      <c r="D53" s="37" t="s">
        <v>341</v>
      </c>
      <c r="E53" s="37" t="s">
        <v>490</v>
      </c>
      <c r="F53" s="37">
        <v>2016520</v>
      </c>
      <c r="G53" s="37" t="s">
        <v>238</v>
      </c>
      <c r="H53" s="37" t="s">
        <v>315</v>
      </c>
      <c r="I53" s="37">
        <v>18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18</v>
      </c>
      <c r="P53" s="22" t="str">
        <f>TRIM(Tabla1[[#This Row],[Articulo]])</f>
        <v>7790000000713</v>
      </c>
      <c r="Q53" s="22" t="str">
        <f>_xlfn.XLOOKUP(Tabla1[[#This Row],[Ean Normalizado]],tabla_consumos[EAN],tabla_consumos[Familia])</f>
        <v>SIMIL TELA S/ LOGO</v>
      </c>
      <c r="R53" s="22">
        <f>_xlfn.XLOOKUP(Tabla1[[#This Row],[Ean Normalizado]],tabla_consumos[EAN],tabla_consumos[UM])</f>
        <v>2000</v>
      </c>
      <c r="S53" s="22">
        <f>Tabla1[[#This Row],[StockDisp]]*Tabla1[[#This Row],[UM producto]]</f>
        <v>36000</v>
      </c>
    </row>
    <row r="54" spans="1:19" x14ac:dyDescent="0.35">
      <c r="A54" s="37">
        <v>6</v>
      </c>
      <c r="B54" s="37" t="s">
        <v>319</v>
      </c>
      <c r="C54" s="37" t="s">
        <v>311</v>
      </c>
      <c r="D54" s="37"/>
      <c r="E54" s="37" t="s">
        <v>823</v>
      </c>
      <c r="F54" s="37">
        <v>2007461</v>
      </c>
      <c r="G54" s="37" t="s">
        <v>824</v>
      </c>
      <c r="H54" s="37" t="s">
        <v>315</v>
      </c>
      <c r="I54" s="37">
        <v>20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20</v>
      </c>
      <c r="P54" s="22" t="str">
        <f>TRIM(Tabla1[[#This Row],[Articulo]])</f>
        <v>7798057861592</v>
      </c>
      <c r="Q54" s="22" t="e">
        <f>_xlfn.XLOOKUP(Tabla1[[#This Row],[Ean Normalizado]],tabla_consumos[EAN],tabla_consumos[Familia])</f>
        <v>#N/A</v>
      </c>
      <c r="R54" s="22" t="e">
        <f>_xlfn.XLOOKUP(Tabla1[[#This Row],[Ean Normalizado]],tabla_consumos[EAN],tabla_consumos[UM])</f>
        <v>#N/A</v>
      </c>
      <c r="S54" s="22" t="e">
        <f>Tabla1[[#This Row],[StockDisp]]*Tabla1[[#This Row],[UM producto]]</f>
        <v>#N/A</v>
      </c>
    </row>
    <row r="55" spans="1:19" x14ac:dyDescent="0.35">
      <c r="A55" s="37">
        <v>6</v>
      </c>
      <c r="B55" s="37" t="s">
        <v>319</v>
      </c>
      <c r="C55" s="37" t="s">
        <v>311</v>
      </c>
      <c r="D55" s="37"/>
      <c r="E55" s="37" t="s">
        <v>825</v>
      </c>
      <c r="F55" s="37">
        <v>2007211</v>
      </c>
      <c r="G55" s="37" t="s">
        <v>826</v>
      </c>
      <c r="H55" s="37" t="s">
        <v>315</v>
      </c>
      <c r="I55" s="37">
        <v>15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15</v>
      </c>
      <c r="P55" s="22" t="str">
        <f>TRIM(Tabla1[[#This Row],[Articulo]])</f>
        <v>7794459003240</v>
      </c>
      <c r="Q55" s="22" t="e">
        <f>_xlfn.XLOOKUP(Tabla1[[#This Row],[Ean Normalizado]],tabla_consumos[EAN],tabla_consumos[Familia])</f>
        <v>#N/A</v>
      </c>
      <c r="R55" s="22" t="e">
        <f>_xlfn.XLOOKUP(Tabla1[[#This Row],[Ean Normalizado]],tabla_consumos[EAN],tabla_consumos[UM])</f>
        <v>#N/A</v>
      </c>
      <c r="S55" s="22" t="e">
        <f>Tabla1[[#This Row],[StockDisp]]*Tabla1[[#This Row],[UM producto]]</f>
        <v>#N/A</v>
      </c>
    </row>
    <row r="56" spans="1:19" x14ac:dyDescent="0.35">
      <c r="A56" s="37">
        <v>6</v>
      </c>
      <c r="B56" s="37" t="s">
        <v>319</v>
      </c>
      <c r="C56" s="37" t="s">
        <v>311</v>
      </c>
      <c r="D56" s="37" t="s">
        <v>827</v>
      </c>
      <c r="E56" s="37" t="s">
        <v>828</v>
      </c>
      <c r="F56" s="37">
        <v>2007192</v>
      </c>
      <c r="G56" s="37" t="s">
        <v>829</v>
      </c>
      <c r="H56" s="37" t="s">
        <v>315</v>
      </c>
      <c r="I56" s="37">
        <v>96</v>
      </c>
      <c r="J56" s="37">
        <v>0</v>
      </c>
      <c r="K56" s="37">
        <v>0</v>
      </c>
      <c r="L56" s="37">
        <v>4</v>
      </c>
      <c r="M56" s="37">
        <v>4</v>
      </c>
      <c r="N56" s="37">
        <v>0</v>
      </c>
      <c r="O56" s="37">
        <v>88</v>
      </c>
      <c r="P56" s="22" t="str">
        <f>TRIM(Tabla1[[#This Row],[Articulo]])</f>
        <v>7790000000236</v>
      </c>
      <c r="Q56" s="22" t="str">
        <f>_xlfn.XLOOKUP(Tabla1[[#This Row],[Ean Normalizado]],tabla_consumos[EAN],tabla_consumos[Familia])</f>
        <v>INDIVIDUAL CHEF GOURMET</v>
      </c>
      <c r="R56" s="22">
        <f>_xlfn.XLOOKUP(Tabla1[[#This Row],[Ean Normalizado]],tabla_consumos[EAN],tabla_consumos[UM])</f>
        <v>1000</v>
      </c>
      <c r="S56" s="22">
        <f>Tabla1[[#This Row],[StockDisp]]*Tabla1[[#This Row],[UM producto]]</f>
        <v>88000</v>
      </c>
    </row>
    <row r="57" spans="1:19" x14ac:dyDescent="0.35">
      <c r="A57" s="37">
        <v>6</v>
      </c>
      <c r="B57" s="37" t="s">
        <v>319</v>
      </c>
      <c r="C57" s="37" t="s">
        <v>311</v>
      </c>
      <c r="D57" s="37" t="s">
        <v>750</v>
      </c>
      <c r="E57" s="37" t="s">
        <v>751</v>
      </c>
      <c r="F57" s="37">
        <v>2011468</v>
      </c>
      <c r="G57" s="37" t="s">
        <v>752</v>
      </c>
      <c r="H57" s="37" t="s">
        <v>315</v>
      </c>
      <c r="I57" s="37">
        <v>643</v>
      </c>
      <c r="J57" s="37">
        <v>0</v>
      </c>
      <c r="K57" s="37">
        <v>0</v>
      </c>
      <c r="L57" s="37">
        <v>0</v>
      </c>
      <c r="M57" s="37">
        <v>5</v>
      </c>
      <c r="N57" s="37">
        <v>0</v>
      </c>
      <c r="O57" s="37">
        <v>638</v>
      </c>
      <c r="P57" s="22" t="str">
        <f>TRIM(Tabla1[[#This Row],[Articulo]])</f>
        <v>7798452810027</v>
      </c>
      <c r="Q57" s="22" t="str">
        <f>_xlfn.XLOOKUP(Tabla1[[#This Row],[Ean Normalizado]],tabla_consumos[EAN],tabla_consumos[Familia])</f>
        <v>GUANTE LATEX M</v>
      </c>
      <c r="R57" s="22">
        <f>_xlfn.XLOOKUP(Tabla1[[#This Row],[Ean Normalizado]],tabla_consumos[EAN],tabla_consumos[UM])</f>
        <v>100</v>
      </c>
      <c r="S57" s="22">
        <f>Tabla1[[#This Row],[StockDisp]]*Tabla1[[#This Row],[UM producto]]</f>
        <v>63800</v>
      </c>
    </row>
    <row r="58" spans="1:19" x14ac:dyDescent="0.35">
      <c r="A58" s="37">
        <v>5</v>
      </c>
      <c r="B58" s="37" t="s">
        <v>310</v>
      </c>
      <c r="C58" s="37" t="s">
        <v>311</v>
      </c>
      <c r="D58" s="37" t="s">
        <v>753</v>
      </c>
      <c r="E58" s="37" t="s">
        <v>754</v>
      </c>
      <c r="F58" s="37">
        <v>4020782</v>
      </c>
      <c r="G58" s="37" t="s">
        <v>755</v>
      </c>
      <c r="H58" s="37" t="s">
        <v>315</v>
      </c>
      <c r="I58" s="37">
        <v>77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77</v>
      </c>
      <c r="P58" s="22" t="str">
        <f>TRIM(Tabla1[[#This Row],[Articulo]])</f>
        <v>7798011976010</v>
      </c>
      <c r="Q58" s="22" t="e">
        <f>_xlfn.XLOOKUP(Tabla1[[#This Row],[Ean Normalizado]],tabla_consumos[EAN],tabla_consumos[Familia])</f>
        <v>#N/A</v>
      </c>
      <c r="R58" s="22" t="e">
        <f>_xlfn.XLOOKUP(Tabla1[[#This Row],[Ean Normalizado]],tabla_consumos[EAN],tabla_consumos[UM])</f>
        <v>#N/A</v>
      </c>
      <c r="S58" s="22" t="e">
        <f>Tabla1[[#This Row],[StockDisp]]*Tabla1[[#This Row],[UM producto]]</f>
        <v>#N/A</v>
      </c>
    </row>
    <row r="59" spans="1:19" x14ac:dyDescent="0.35">
      <c r="A59" s="37">
        <v>6</v>
      </c>
      <c r="B59" s="37" t="s">
        <v>319</v>
      </c>
      <c r="C59" s="37" t="s">
        <v>311</v>
      </c>
      <c r="D59" s="37" t="s">
        <v>756</v>
      </c>
      <c r="E59" s="37" t="s">
        <v>757</v>
      </c>
      <c r="F59" s="37">
        <v>2007452</v>
      </c>
      <c r="G59" s="37" t="s">
        <v>758</v>
      </c>
      <c r="H59" s="37" t="s">
        <v>315</v>
      </c>
      <c r="I59" s="37">
        <v>15</v>
      </c>
      <c r="J59" s="37">
        <v>17</v>
      </c>
      <c r="K59" s="37">
        <v>0</v>
      </c>
      <c r="L59" s="37">
        <v>0</v>
      </c>
      <c r="M59" s="37">
        <v>0</v>
      </c>
      <c r="N59" s="37">
        <v>0</v>
      </c>
      <c r="O59" s="37">
        <v>32</v>
      </c>
      <c r="P59" s="22" t="str">
        <f>TRIM(Tabla1[[#This Row],[Articulo]])</f>
        <v>7798090050038</v>
      </c>
      <c r="Q59" s="22" t="e">
        <f>_xlfn.XLOOKUP(Tabla1[[#This Row],[Ean Normalizado]],tabla_consumos[EAN],tabla_consumos[Familia])</f>
        <v>#N/A</v>
      </c>
      <c r="R59" s="22" t="e">
        <f>_xlfn.XLOOKUP(Tabla1[[#This Row],[Ean Normalizado]],tabla_consumos[EAN],tabla_consumos[UM])</f>
        <v>#N/A</v>
      </c>
      <c r="S59" s="22" t="e">
        <f>Tabla1[[#This Row],[StockDisp]]*Tabla1[[#This Row],[UM producto]]</f>
        <v>#N/A</v>
      </c>
    </row>
    <row r="60" spans="1:19" x14ac:dyDescent="0.35">
      <c r="A60" s="37">
        <v>5</v>
      </c>
      <c r="B60" s="37" t="s">
        <v>310</v>
      </c>
      <c r="C60" s="37" t="s">
        <v>311</v>
      </c>
      <c r="D60" s="37" t="s">
        <v>408</v>
      </c>
      <c r="E60" s="37" t="s">
        <v>409</v>
      </c>
      <c r="F60" s="37">
        <v>4021205</v>
      </c>
      <c r="G60" s="37" t="s">
        <v>410</v>
      </c>
      <c r="H60" s="37" t="s">
        <v>315</v>
      </c>
      <c r="I60" s="37">
        <v>1718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1718</v>
      </c>
      <c r="P60" s="22" t="str">
        <f>TRIM(Tabla1[[#This Row],[Articulo]])</f>
        <v>7792860005655</v>
      </c>
      <c r="Q60" s="22" t="e">
        <f>_xlfn.XLOOKUP(Tabla1[[#This Row],[Ean Normalizado]],tabla_consumos[EAN],tabla_consumos[Familia])</f>
        <v>#N/A</v>
      </c>
      <c r="R60" s="22" t="e">
        <f>_xlfn.XLOOKUP(Tabla1[[#This Row],[Ean Normalizado]],tabla_consumos[EAN],tabla_consumos[UM])</f>
        <v>#N/A</v>
      </c>
      <c r="S60" s="22" t="e">
        <f>Tabla1[[#This Row],[StockDisp]]*Tabla1[[#This Row],[UM producto]]</f>
        <v>#N/A</v>
      </c>
    </row>
    <row r="61" spans="1:19" x14ac:dyDescent="0.35">
      <c r="A61" s="37">
        <v>6</v>
      </c>
      <c r="B61" s="37" t="s">
        <v>319</v>
      </c>
      <c r="C61" s="37" t="s">
        <v>311</v>
      </c>
      <c r="D61" s="37"/>
      <c r="E61" s="37" t="s">
        <v>544</v>
      </c>
      <c r="F61" s="37">
        <v>2007216</v>
      </c>
      <c r="G61" s="37" t="s">
        <v>545</v>
      </c>
      <c r="H61" s="37" t="s">
        <v>315</v>
      </c>
      <c r="I61" s="37">
        <v>20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20</v>
      </c>
      <c r="P61" s="22" t="str">
        <f>TRIM(Tabla1[[#This Row],[Articulo]])</f>
        <v>07798090058980</v>
      </c>
      <c r="Q61" s="22" t="e">
        <f>_xlfn.XLOOKUP(Tabla1[[#This Row],[Ean Normalizado]],tabla_consumos[EAN],tabla_consumos[Familia])</f>
        <v>#N/A</v>
      </c>
      <c r="R61" s="22" t="e">
        <f>_xlfn.XLOOKUP(Tabla1[[#This Row],[Ean Normalizado]],tabla_consumos[EAN],tabla_consumos[UM])</f>
        <v>#N/A</v>
      </c>
      <c r="S61" s="22" t="e">
        <f>Tabla1[[#This Row],[StockDisp]]*Tabla1[[#This Row],[UM producto]]</f>
        <v>#N/A</v>
      </c>
    </row>
    <row r="62" spans="1:19" x14ac:dyDescent="0.35">
      <c r="A62" s="37">
        <v>5</v>
      </c>
      <c r="B62" s="37" t="s">
        <v>310</v>
      </c>
      <c r="C62" s="37" t="s">
        <v>311</v>
      </c>
      <c r="D62" s="37"/>
      <c r="E62" s="37" t="s">
        <v>546</v>
      </c>
      <c r="F62" s="37">
        <v>4001207</v>
      </c>
      <c r="G62" s="37" t="s">
        <v>547</v>
      </c>
      <c r="H62" s="37" t="s">
        <v>346</v>
      </c>
      <c r="I62" s="37">
        <v>84.5</v>
      </c>
      <c r="J62" s="37">
        <v>0</v>
      </c>
      <c r="K62" s="37">
        <v>0</v>
      </c>
      <c r="L62" s="37">
        <v>13</v>
      </c>
      <c r="M62" s="37">
        <v>44.5</v>
      </c>
      <c r="N62" s="37">
        <v>0</v>
      </c>
      <c r="O62" s="37">
        <v>27</v>
      </c>
      <c r="P62" s="22" t="str">
        <f>TRIM(Tabla1[[#This Row],[Articulo]])</f>
        <v>4001207</v>
      </c>
      <c r="Q62" s="22" t="e">
        <f>_xlfn.XLOOKUP(Tabla1[[#This Row],[Ean Normalizado]],tabla_consumos[EAN],tabla_consumos[Familia])</f>
        <v>#N/A</v>
      </c>
      <c r="R62" s="22" t="e">
        <f>_xlfn.XLOOKUP(Tabla1[[#This Row],[Ean Normalizado]],tabla_consumos[EAN],tabla_consumos[UM])</f>
        <v>#N/A</v>
      </c>
      <c r="S62" s="22" t="e">
        <f>Tabla1[[#This Row],[StockDisp]]*Tabla1[[#This Row],[UM producto]]</f>
        <v>#N/A</v>
      </c>
    </row>
    <row r="63" spans="1:19" x14ac:dyDescent="0.35">
      <c r="A63" s="37">
        <v>6</v>
      </c>
      <c r="B63" s="37" t="s">
        <v>319</v>
      </c>
      <c r="C63" s="37" t="s">
        <v>311</v>
      </c>
      <c r="D63" s="37" t="s">
        <v>548</v>
      </c>
      <c r="E63" s="37" t="s">
        <v>549</v>
      </c>
      <c r="F63" s="37">
        <v>2016621</v>
      </c>
      <c r="G63" s="37" t="s">
        <v>550</v>
      </c>
      <c r="H63" s="37" t="s">
        <v>315</v>
      </c>
      <c r="I63" s="37">
        <v>2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2</v>
      </c>
      <c r="P63" s="22" t="str">
        <f>TRIM(Tabla1[[#This Row],[Articulo]])</f>
        <v>67798152430299</v>
      </c>
      <c r="Q63" s="22" t="e">
        <f>_xlfn.XLOOKUP(Tabla1[[#This Row],[Ean Normalizado]],tabla_consumos[EAN],tabla_consumos[Familia])</f>
        <v>#N/A</v>
      </c>
      <c r="R63" s="22" t="e">
        <f>_xlfn.XLOOKUP(Tabla1[[#This Row],[Ean Normalizado]],tabla_consumos[EAN],tabla_consumos[UM])</f>
        <v>#N/A</v>
      </c>
      <c r="S63" s="22" t="e">
        <f>Tabla1[[#This Row],[StockDisp]]*Tabla1[[#This Row],[UM producto]]</f>
        <v>#N/A</v>
      </c>
    </row>
    <row r="64" spans="1:19" x14ac:dyDescent="0.35">
      <c r="A64" s="37">
        <v>6</v>
      </c>
      <c r="B64" s="37" t="s">
        <v>319</v>
      </c>
      <c r="C64" s="37" t="s">
        <v>311</v>
      </c>
      <c r="D64" s="37"/>
      <c r="E64" s="37" t="s">
        <v>374</v>
      </c>
      <c r="F64" s="37">
        <v>2007542</v>
      </c>
      <c r="G64" s="37" t="s">
        <v>375</v>
      </c>
      <c r="H64" s="37" t="s">
        <v>315</v>
      </c>
      <c r="I64" s="37">
        <v>17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37">
        <v>17</v>
      </c>
      <c r="P64" s="22" t="str">
        <f>TRIM(Tabla1[[#This Row],[Articulo]])</f>
        <v>7790000000508</v>
      </c>
      <c r="Q64" s="22" t="e">
        <f>_xlfn.XLOOKUP(Tabla1[[#This Row],[Ean Normalizado]],tabla_consumos[EAN],tabla_consumos[Familia])</f>
        <v>#N/A</v>
      </c>
      <c r="R64" s="22" t="e">
        <f>_xlfn.XLOOKUP(Tabla1[[#This Row],[Ean Normalizado]],tabla_consumos[EAN],tabla_consumos[UM])</f>
        <v>#N/A</v>
      </c>
      <c r="S64" s="22" t="e">
        <f>Tabla1[[#This Row],[StockDisp]]*Tabla1[[#This Row],[UM producto]]</f>
        <v>#N/A</v>
      </c>
    </row>
    <row r="65" spans="1:19" x14ac:dyDescent="0.35">
      <c r="A65" s="37">
        <v>6</v>
      </c>
      <c r="B65" s="37" t="s">
        <v>319</v>
      </c>
      <c r="C65" s="37" t="s">
        <v>311</v>
      </c>
      <c r="D65" s="37"/>
      <c r="E65" s="37" t="s">
        <v>882</v>
      </c>
      <c r="F65" s="37">
        <v>2007455</v>
      </c>
      <c r="G65" s="37" t="s">
        <v>883</v>
      </c>
      <c r="H65" s="37" t="s">
        <v>315</v>
      </c>
      <c r="I65" s="37">
        <v>3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37">
        <v>3</v>
      </c>
      <c r="P65" s="22" t="str">
        <f>TRIM(Tabla1[[#This Row],[Articulo]])</f>
        <v>7798113401151</v>
      </c>
      <c r="Q65" s="22" t="e">
        <f>_xlfn.XLOOKUP(Tabla1[[#This Row],[Ean Normalizado]],tabla_consumos[EAN],tabla_consumos[Familia])</f>
        <v>#N/A</v>
      </c>
      <c r="R65" s="22" t="e">
        <f>_xlfn.XLOOKUP(Tabla1[[#This Row],[Ean Normalizado]],tabla_consumos[EAN],tabla_consumos[UM])</f>
        <v>#N/A</v>
      </c>
      <c r="S65" s="22" t="e">
        <f>Tabla1[[#This Row],[StockDisp]]*Tabla1[[#This Row],[UM producto]]</f>
        <v>#N/A</v>
      </c>
    </row>
    <row r="66" spans="1:19" x14ac:dyDescent="0.35">
      <c r="A66" s="37">
        <v>6</v>
      </c>
      <c r="B66" s="37" t="s">
        <v>319</v>
      </c>
      <c r="C66" s="37" t="s">
        <v>311</v>
      </c>
      <c r="D66" s="37" t="s">
        <v>509</v>
      </c>
      <c r="E66" s="37" t="s">
        <v>510</v>
      </c>
      <c r="F66" s="37">
        <v>2011466</v>
      </c>
      <c r="G66" s="37" t="s">
        <v>256</v>
      </c>
      <c r="H66" s="37" t="s">
        <v>315</v>
      </c>
      <c r="I66" s="37">
        <v>1822</v>
      </c>
      <c r="J66" s="37">
        <v>0</v>
      </c>
      <c r="K66" s="37">
        <v>0</v>
      </c>
      <c r="L66" s="37">
        <v>0</v>
      </c>
      <c r="M66" s="37">
        <v>6</v>
      </c>
      <c r="N66" s="37">
        <v>0</v>
      </c>
      <c r="O66" s="37">
        <v>1816</v>
      </c>
      <c r="P66" s="22" t="str">
        <f>TRIM(Tabla1[[#This Row],[Articulo]])</f>
        <v>798011214860</v>
      </c>
      <c r="Q66" s="22" t="str">
        <f>_xlfn.XLOOKUP(Tabla1[[#This Row],[Ean Normalizado]],tabla_consumos[EAN],tabla_consumos[Familia])</f>
        <v>BANDEJA 101</v>
      </c>
      <c r="R66" s="22">
        <f>_xlfn.XLOOKUP(Tabla1[[#This Row],[Ean Normalizado]],tabla_consumos[EAN],tabla_consumos[UM])</f>
        <v>100</v>
      </c>
      <c r="S66" s="22">
        <f>Tabla1[[#This Row],[StockDisp]]*Tabla1[[#This Row],[UM producto]]</f>
        <v>181600</v>
      </c>
    </row>
    <row r="67" spans="1:19" x14ac:dyDescent="0.35">
      <c r="A67" s="37">
        <v>6</v>
      </c>
      <c r="B67" s="37" t="s">
        <v>319</v>
      </c>
      <c r="C67" s="37" t="s">
        <v>311</v>
      </c>
      <c r="D67" s="37"/>
      <c r="E67" s="37" t="s">
        <v>511</v>
      </c>
      <c r="F67" s="37">
        <v>2007178</v>
      </c>
      <c r="G67" s="37" t="s">
        <v>512</v>
      </c>
      <c r="H67" s="37" t="s">
        <v>315</v>
      </c>
      <c r="I67" s="37">
        <v>42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37">
        <v>42</v>
      </c>
      <c r="P67" s="22" t="str">
        <f>TRIM(Tabla1[[#This Row],[Articulo]])</f>
        <v>7790000000219</v>
      </c>
      <c r="Q67" s="22" t="e">
        <f>_xlfn.XLOOKUP(Tabla1[[#This Row],[Ean Normalizado]],tabla_consumos[EAN],tabla_consumos[Familia])</f>
        <v>#N/A</v>
      </c>
      <c r="R67" s="22" t="e">
        <f>_xlfn.XLOOKUP(Tabla1[[#This Row],[Ean Normalizado]],tabla_consumos[EAN],tabla_consumos[UM])</f>
        <v>#N/A</v>
      </c>
      <c r="S67" s="22" t="e">
        <f>Tabla1[[#This Row],[StockDisp]]*Tabla1[[#This Row],[UM producto]]</f>
        <v>#N/A</v>
      </c>
    </row>
    <row r="68" spans="1:19" x14ac:dyDescent="0.35">
      <c r="A68" s="37">
        <v>5</v>
      </c>
      <c r="B68" s="37" t="s">
        <v>310</v>
      </c>
      <c r="C68" s="37" t="s">
        <v>311</v>
      </c>
      <c r="D68" s="37"/>
      <c r="E68" s="37" t="s">
        <v>875</v>
      </c>
      <c r="F68" s="37">
        <v>4001149</v>
      </c>
      <c r="G68" s="37" t="s">
        <v>876</v>
      </c>
      <c r="H68" s="37" t="s">
        <v>346</v>
      </c>
      <c r="I68" s="37">
        <v>309.012</v>
      </c>
      <c r="J68" s="37">
        <v>0</v>
      </c>
      <c r="K68" s="37">
        <v>0</v>
      </c>
      <c r="L68" s="37">
        <v>7</v>
      </c>
      <c r="M68" s="37">
        <v>46</v>
      </c>
      <c r="N68" s="37">
        <v>0</v>
      </c>
      <c r="O68" s="37">
        <v>256.012</v>
      </c>
      <c r="P68" s="22" t="str">
        <f>TRIM(Tabla1[[#This Row],[Articulo]])</f>
        <v>4001149</v>
      </c>
      <c r="Q68" s="22" t="e">
        <f>_xlfn.XLOOKUP(Tabla1[[#This Row],[Ean Normalizado]],tabla_consumos[EAN],tabla_consumos[Familia])</f>
        <v>#N/A</v>
      </c>
      <c r="R68" s="22" t="e">
        <f>_xlfn.XLOOKUP(Tabla1[[#This Row],[Ean Normalizado]],tabla_consumos[EAN],tabla_consumos[UM])</f>
        <v>#N/A</v>
      </c>
      <c r="S68" s="22" t="e">
        <f>Tabla1[[#This Row],[StockDisp]]*Tabla1[[#This Row],[UM producto]]</f>
        <v>#N/A</v>
      </c>
    </row>
    <row r="69" spans="1:19" x14ac:dyDescent="0.35">
      <c r="A69" s="37">
        <v>5</v>
      </c>
      <c r="B69" s="37" t="s">
        <v>310</v>
      </c>
      <c r="C69" s="37" t="s">
        <v>311</v>
      </c>
      <c r="D69" s="37"/>
      <c r="E69" s="37" t="s">
        <v>597</v>
      </c>
      <c r="F69" s="37">
        <v>4023883</v>
      </c>
      <c r="G69" s="37" t="s">
        <v>598</v>
      </c>
      <c r="H69" s="37" t="s">
        <v>315</v>
      </c>
      <c r="I69" s="37">
        <v>130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37">
        <v>130</v>
      </c>
      <c r="P69" s="22" t="str">
        <f>TRIM(Tabla1[[#This Row],[Articulo]])</f>
        <v>7792180007988</v>
      </c>
      <c r="Q69" s="22" t="e">
        <f>_xlfn.XLOOKUP(Tabla1[[#This Row],[Ean Normalizado]],tabla_consumos[EAN],tabla_consumos[Familia])</f>
        <v>#N/A</v>
      </c>
      <c r="R69" s="22" t="e">
        <f>_xlfn.XLOOKUP(Tabla1[[#This Row],[Ean Normalizado]],tabla_consumos[EAN],tabla_consumos[UM])</f>
        <v>#N/A</v>
      </c>
      <c r="S69" s="22" t="e">
        <f>Tabla1[[#This Row],[StockDisp]]*Tabla1[[#This Row],[UM producto]]</f>
        <v>#N/A</v>
      </c>
    </row>
    <row r="70" spans="1:19" x14ac:dyDescent="0.35">
      <c r="A70" s="37">
        <v>6</v>
      </c>
      <c r="B70" s="37" t="s">
        <v>319</v>
      </c>
      <c r="C70" s="37" t="s">
        <v>311</v>
      </c>
      <c r="D70" s="37" t="s">
        <v>397</v>
      </c>
      <c r="E70" s="37" t="s">
        <v>398</v>
      </c>
      <c r="F70" s="37">
        <v>2007491</v>
      </c>
      <c r="G70" s="37" t="s">
        <v>399</v>
      </c>
      <c r="H70" s="37" t="s">
        <v>315</v>
      </c>
      <c r="I70" s="37">
        <v>199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199</v>
      </c>
      <c r="P70" s="22" t="str">
        <f>TRIM(Tabla1[[#This Row],[Articulo]])</f>
        <v>7790000000465</v>
      </c>
      <c r="Q70" s="22" t="e">
        <f>_xlfn.XLOOKUP(Tabla1[[#This Row],[Ean Normalizado]],tabla_consumos[EAN],tabla_consumos[Familia])</f>
        <v>#N/A</v>
      </c>
      <c r="R70" s="22" t="e">
        <f>_xlfn.XLOOKUP(Tabla1[[#This Row],[Ean Normalizado]],tabla_consumos[EAN],tabla_consumos[UM])</f>
        <v>#N/A</v>
      </c>
      <c r="S70" s="22" t="e">
        <f>Tabla1[[#This Row],[StockDisp]]*Tabla1[[#This Row],[UM producto]]</f>
        <v>#N/A</v>
      </c>
    </row>
    <row r="71" spans="1:19" x14ac:dyDescent="0.35">
      <c r="A71" s="37">
        <v>5</v>
      </c>
      <c r="B71" s="37" t="s">
        <v>310</v>
      </c>
      <c r="C71" s="37" t="s">
        <v>311</v>
      </c>
      <c r="D71" s="37"/>
      <c r="E71" s="37" t="s">
        <v>572</v>
      </c>
      <c r="F71" s="37">
        <v>4022179</v>
      </c>
      <c r="G71" s="37" t="s">
        <v>573</v>
      </c>
      <c r="H71" s="37" t="s">
        <v>315</v>
      </c>
      <c r="I71" s="37">
        <v>325</v>
      </c>
      <c r="J71" s="37">
        <v>0</v>
      </c>
      <c r="K71" s="37">
        <v>0</v>
      </c>
      <c r="L71" s="37">
        <v>0</v>
      </c>
      <c r="M71" s="37">
        <v>2</v>
      </c>
      <c r="N71" s="37">
        <v>0</v>
      </c>
      <c r="O71" s="37">
        <v>323</v>
      </c>
      <c r="P71" s="22" t="str">
        <f>TRIM(Tabla1[[#This Row],[Articulo]])</f>
        <v>7798011977413</v>
      </c>
      <c r="Q71" s="22" t="e">
        <f>_xlfn.XLOOKUP(Tabla1[[#This Row],[Ean Normalizado]],tabla_consumos[EAN],tabla_consumos[Familia])</f>
        <v>#N/A</v>
      </c>
      <c r="R71" s="22" t="e">
        <f>_xlfn.XLOOKUP(Tabla1[[#This Row],[Ean Normalizado]],tabla_consumos[EAN],tabla_consumos[UM])</f>
        <v>#N/A</v>
      </c>
      <c r="S71" s="22" t="e">
        <f>Tabla1[[#This Row],[StockDisp]]*Tabla1[[#This Row],[UM producto]]</f>
        <v>#N/A</v>
      </c>
    </row>
    <row r="72" spans="1:19" x14ac:dyDescent="0.35">
      <c r="A72" s="37">
        <v>6</v>
      </c>
      <c r="B72" s="37" t="s">
        <v>319</v>
      </c>
      <c r="C72" s="37" t="s">
        <v>311</v>
      </c>
      <c r="D72" s="37" t="s">
        <v>574</v>
      </c>
      <c r="E72" s="37" t="s">
        <v>575</v>
      </c>
      <c r="F72" s="37">
        <v>2011475</v>
      </c>
      <c r="G72" s="37" t="s">
        <v>291</v>
      </c>
      <c r="H72" s="37" t="s">
        <v>315</v>
      </c>
      <c r="I72" s="37">
        <v>976</v>
      </c>
      <c r="J72" s="37">
        <v>0</v>
      </c>
      <c r="K72" s="37">
        <v>0</v>
      </c>
      <c r="L72" s="37">
        <v>0</v>
      </c>
      <c r="M72" s="37">
        <v>19</v>
      </c>
      <c r="N72" s="37">
        <v>0</v>
      </c>
      <c r="O72" s="37">
        <v>957</v>
      </c>
      <c r="P72" s="22" t="str">
        <f>TRIM(Tabla1[[#This Row],[Articulo]])</f>
        <v>798011210077</v>
      </c>
      <c r="Q72" s="22" t="str">
        <f>_xlfn.XLOOKUP(Tabla1[[#This Row],[Ean Normalizado]],tabla_consumos[EAN],tabla_consumos[Familia])</f>
        <v>BANDEJA 105</v>
      </c>
      <c r="R72" s="22">
        <f>_xlfn.XLOOKUP(Tabla1[[#This Row],[Ean Normalizado]],tabla_consumos[EAN],tabla_consumos[UM])</f>
        <v>100</v>
      </c>
      <c r="S72" s="22">
        <f>Tabla1[[#This Row],[StockDisp]]*Tabla1[[#This Row],[UM producto]]</f>
        <v>95700</v>
      </c>
    </row>
    <row r="73" spans="1:19" x14ac:dyDescent="0.35">
      <c r="A73" s="37">
        <v>5</v>
      </c>
      <c r="B73" s="37" t="s">
        <v>310</v>
      </c>
      <c r="C73" s="37" t="s">
        <v>311</v>
      </c>
      <c r="D73" s="37"/>
      <c r="E73" s="37" t="s">
        <v>800</v>
      </c>
      <c r="F73" s="37">
        <v>4001159</v>
      </c>
      <c r="G73" s="37" t="s">
        <v>801</v>
      </c>
      <c r="H73" s="37" t="s">
        <v>346</v>
      </c>
      <c r="I73" s="37">
        <v>83</v>
      </c>
      <c r="J73" s="37">
        <v>0</v>
      </c>
      <c r="K73" s="37">
        <v>0</v>
      </c>
      <c r="L73" s="37">
        <v>8</v>
      </c>
      <c r="M73" s="37">
        <v>50</v>
      </c>
      <c r="N73" s="37">
        <v>0</v>
      </c>
      <c r="O73" s="37">
        <v>25</v>
      </c>
      <c r="P73" s="22" t="str">
        <f>TRIM(Tabla1[[#This Row],[Articulo]])</f>
        <v>4001159</v>
      </c>
      <c r="Q73" s="22" t="e">
        <f>_xlfn.XLOOKUP(Tabla1[[#This Row],[Ean Normalizado]],tabla_consumos[EAN],tabla_consumos[Familia])</f>
        <v>#N/A</v>
      </c>
      <c r="R73" s="22" t="e">
        <f>_xlfn.XLOOKUP(Tabla1[[#This Row],[Ean Normalizado]],tabla_consumos[EAN],tabla_consumos[UM])</f>
        <v>#N/A</v>
      </c>
      <c r="S73" s="22" t="e">
        <f>Tabla1[[#This Row],[StockDisp]]*Tabla1[[#This Row],[UM producto]]</f>
        <v>#N/A</v>
      </c>
    </row>
    <row r="74" spans="1:19" x14ac:dyDescent="0.35">
      <c r="A74" s="37">
        <v>5</v>
      </c>
      <c r="B74" s="37" t="s">
        <v>310</v>
      </c>
      <c r="C74" s="37" t="s">
        <v>311</v>
      </c>
      <c r="D74" s="37"/>
      <c r="E74" s="37" t="s">
        <v>821</v>
      </c>
      <c r="F74" s="37">
        <v>4001156</v>
      </c>
      <c r="G74" s="37" t="s">
        <v>822</v>
      </c>
      <c r="H74" s="37" t="s">
        <v>346</v>
      </c>
      <c r="I74" s="37">
        <v>3023.7</v>
      </c>
      <c r="J74" s="37">
        <v>0</v>
      </c>
      <c r="K74" s="37">
        <v>0</v>
      </c>
      <c r="L74" s="37">
        <v>36</v>
      </c>
      <c r="M74" s="37">
        <v>391</v>
      </c>
      <c r="N74" s="37">
        <v>0</v>
      </c>
      <c r="O74" s="37">
        <v>2596.6999999999998</v>
      </c>
      <c r="P74" s="22" t="str">
        <f>TRIM(Tabla1[[#This Row],[Articulo]])</f>
        <v>4001156</v>
      </c>
      <c r="Q74" s="22" t="e">
        <f>_xlfn.XLOOKUP(Tabla1[[#This Row],[Ean Normalizado]],tabla_consumos[EAN],tabla_consumos[Familia])</f>
        <v>#N/A</v>
      </c>
      <c r="R74" s="22" t="e">
        <f>_xlfn.XLOOKUP(Tabla1[[#This Row],[Ean Normalizado]],tabla_consumos[EAN],tabla_consumos[UM])</f>
        <v>#N/A</v>
      </c>
      <c r="S74" s="22" t="e">
        <f>Tabla1[[#This Row],[StockDisp]]*Tabla1[[#This Row],[UM producto]]</f>
        <v>#N/A</v>
      </c>
    </row>
    <row r="75" spans="1:19" x14ac:dyDescent="0.35">
      <c r="A75" s="37">
        <v>6</v>
      </c>
      <c r="B75" s="37" t="s">
        <v>319</v>
      </c>
      <c r="C75" s="37" t="s">
        <v>311</v>
      </c>
      <c r="D75" s="37" t="s">
        <v>627</v>
      </c>
      <c r="E75" s="37" t="s">
        <v>628</v>
      </c>
      <c r="F75" s="37">
        <v>2016772</v>
      </c>
      <c r="G75" s="37" t="s">
        <v>293</v>
      </c>
      <c r="H75" s="37" t="s">
        <v>315</v>
      </c>
      <c r="I75" s="37">
        <v>0</v>
      </c>
      <c r="J75" s="37">
        <v>300</v>
      </c>
      <c r="K75" s="37">
        <v>0</v>
      </c>
      <c r="L75" s="37">
        <v>0</v>
      </c>
      <c r="M75" s="37">
        <v>0</v>
      </c>
      <c r="N75" s="37">
        <v>0</v>
      </c>
      <c r="O75" s="37">
        <v>300</v>
      </c>
      <c r="P75" s="22" t="str">
        <f>TRIM(Tabla1[[#This Row],[Articulo]])</f>
        <v>888277409203</v>
      </c>
      <c r="Q75" s="22" t="str">
        <f>_xlfn.XLOOKUP(Tabla1[[#This Row],[Ean Normalizado]],tabla_consumos[EAN],tabla_consumos[Familia])</f>
        <v>GUANTE NITRILO L</v>
      </c>
      <c r="R75" s="22">
        <f>_xlfn.XLOOKUP(Tabla1[[#This Row],[Ean Normalizado]],tabla_consumos[EAN],tabla_consumos[UM])</f>
        <v>100</v>
      </c>
      <c r="S75" s="22">
        <f>Tabla1[[#This Row],[StockDisp]]*Tabla1[[#This Row],[UM producto]]</f>
        <v>30000</v>
      </c>
    </row>
    <row r="76" spans="1:19" x14ac:dyDescent="0.35">
      <c r="A76" s="37">
        <v>6</v>
      </c>
      <c r="B76" s="37" t="s">
        <v>319</v>
      </c>
      <c r="C76" s="37" t="s">
        <v>311</v>
      </c>
      <c r="D76" s="37"/>
      <c r="E76" s="37" t="s">
        <v>468</v>
      </c>
      <c r="F76" s="37">
        <v>2007118</v>
      </c>
      <c r="G76" s="37" t="s">
        <v>469</v>
      </c>
      <c r="H76" s="37" t="s">
        <v>315</v>
      </c>
      <c r="I76" s="37">
        <v>312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312</v>
      </c>
      <c r="P76" s="22" t="str">
        <f>TRIM(Tabla1[[#This Row],[Articulo]])</f>
        <v>7790000000247</v>
      </c>
      <c r="Q76" s="22" t="str">
        <f>_xlfn.XLOOKUP(Tabla1[[#This Row],[Ean Normalizado]],tabla_consumos[EAN],tabla_consumos[Familia])</f>
        <v>TAPA 103</v>
      </c>
      <c r="R76" s="22">
        <f>_xlfn.XLOOKUP(Tabla1[[#This Row],[Ean Normalizado]],tabla_consumos[EAN],tabla_consumos[UM])</f>
        <v>100</v>
      </c>
      <c r="S76" s="22">
        <f>Tabla1[[#This Row],[StockDisp]]*Tabla1[[#This Row],[UM producto]]</f>
        <v>31200</v>
      </c>
    </row>
    <row r="77" spans="1:19" x14ac:dyDescent="0.35">
      <c r="A77" s="37">
        <v>6</v>
      </c>
      <c r="B77" s="37" t="s">
        <v>319</v>
      </c>
      <c r="C77" s="37" t="s">
        <v>311</v>
      </c>
      <c r="D77" s="37"/>
      <c r="E77" s="37" t="s">
        <v>470</v>
      </c>
      <c r="F77" s="37">
        <v>2007202</v>
      </c>
      <c r="G77" s="37" t="s">
        <v>258</v>
      </c>
      <c r="H77" s="37" t="s">
        <v>315</v>
      </c>
      <c r="I77" s="37">
        <v>2517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37">
        <v>2517</v>
      </c>
      <c r="P77" s="22" t="str">
        <f>TRIM(Tabla1[[#This Row],[Articulo]])</f>
        <v>0648260488628</v>
      </c>
      <c r="Q77" s="22" t="str">
        <f>_xlfn.XLOOKUP(Tabla1[[#This Row],[Ean Normalizado]],tabla_consumos[EAN],tabla_consumos[Familia])</f>
        <v>ESCARBADIENTE</v>
      </c>
      <c r="R77" s="22">
        <f>_xlfn.XLOOKUP(Tabla1[[#This Row],[Ean Normalizado]],tabla_consumos[EAN],tabla_consumos[UM])</f>
        <v>500</v>
      </c>
      <c r="S77" s="22">
        <f>Tabla1[[#This Row],[StockDisp]]*Tabla1[[#This Row],[UM producto]]</f>
        <v>1258500</v>
      </c>
    </row>
    <row r="78" spans="1:19" x14ac:dyDescent="0.35">
      <c r="A78" s="37">
        <v>6</v>
      </c>
      <c r="B78" s="37" t="s">
        <v>319</v>
      </c>
      <c r="C78" s="37" t="s">
        <v>311</v>
      </c>
      <c r="D78" s="37" t="s">
        <v>449</v>
      </c>
      <c r="E78" s="37" t="s">
        <v>450</v>
      </c>
      <c r="F78" s="37">
        <v>2006151</v>
      </c>
      <c r="G78" s="37" t="s">
        <v>279</v>
      </c>
      <c r="H78" s="37" t="s">
        <v>315</v>
      </c>
      <c r="I78" s="37">
        <v>445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37">
        <v>445</v>
      </c>
      <c r="P78" s="22" t="str">
        <f>TRIM(Tabla1[[#This Row],[Articulo]])</f>
        <v>13069000A</v>
      </c>
      <c r="Q78" s="22" t="str">
        <f>_xlfn.XLOOKUP(Tabla1[[#This Row],[Ean Normalizado]],tabla_consumos[EAN],tabla_consumos[Familia])</f>
        <v>AGITADORES</v>
      </c>
      <c r="R78" s="22">
        <f>_xlfn.XLOOKUP(Tabla1[[#This Row],[Ean Normalizado]],tabla_consumos[EAN],tabla_consumos[UM])</f>
        <v>1000</v>
      </c>
      <c r="S78" s="22">
        <f>Tabla1[[#This Row],[StockDisp]]*Tabla1[[#This Row],[UM producto]]</f>
        <v>445000</v>
      </c>
    </row>
    <row r="79" spans="1:19" x14ac:dyDescent="0.35">
      <c r="A79" s="37">
        <v>6</v>
      </c>
      <c r="B79" s="37" t="s">
        <v>319</v>
      </c>
      <c r="C79" s="37" t="s">
        <v>311</v>
      </c>
      <c r="D79" s="37"/>
      <c r="E79" s="37" t="s">
        <v>739</v>
      </c>
      <c r="F79" s="37">
        <v>2016650</v>
      </c>
      <c r="G79" s="37" t="s">
        <v>275</v>
      </c>
      <c r="H79" s="37" t="s">
        <v>315</v>
      </c>
      <c r="I79" s="37">
        <v>8</v>
      </c>
      <c r="J79" s="37">
        <v>600</v>
      </c>
      <c r="K79" s="37">
        <v>0</v>
      </c>
      <c r="L79" s="37">
        <v>0</v>
      </c>
      <c r="M79" s="37">
        <v>0</v>
      </c>
      <c r="N79" s="37">
        <v>0</v>
      </c>
      <c r="O79" s="37">
        <v>608</v>
      </c>
      <c r="P79" s="22" t="str">
        <f>TRIM(Tabla1[[#This Row],[Articulo]])</f>
        <v>7798161678789</v>
      </c>
      <c r="Q79" s="22" t="str">
        <f>_xlfn.XLOOKUP(Tabla1[[#This Row],[Ean Normalizado]],tabla_consumos[EAN],tabla_consumos[Familia])</f>
        <v>BARBIJOS</v>
      </c>
      <c r="R79" s="22">
        <f>_xlfn.XLOOKUP(Tabla1[[#This Row],[Ean Normalizado]],tabla_consumos[EAN],tabla_consumos[UM])</f>
        <v>50</v>
      </c>
      <c r="S79" s="22">
        <f>Tabla1[[#This Row],[StockDisp]]*Tabla1[[#This Row],[UM producto]]</f>
        <v>30400</v>
      </c>
    </row>
    <row r="80" spans="1:19" x14ac:dyDescent="0.35">
      <c r="A80" s="37">
        <v>1</v>
      </c>
      <c r="B80" s="37" t="s">
        <v>322</v>
      </c>
      <c r="C80" s="37" t="s">
        <v>311</v>
      </c>
      <c r="D80" s="37" t="s">
        <v>477</v>
      </c>
      <c r="E80" s="37" t="s">
        <v>740</v>
      </c>
      <c r="F80" s="37">
        <v>4024758</v>
      </c>
      <c r="G80" s="37" t="s">
        <v>741</v>
      </c>
      <c r="H80" s="37" t="s">
        <v>315</v>
      </c>
      <c r="I80" s="37">
        <v>100</v>
      </c>
      <c r="J80" s="37">
        <v>0</v>
      </c>
      <c r="K80" s="37">
        <v>0</v>
      </c>
      <c r="L80" s="37">
        <v>0</v>
      </c>
      <c r="M80" s="37">
        <v>0</v>
      </c>
      <c r="N80" s="37">
        <v>0</v>
      </c>
      <c r="O80" s="37">
        <v>100</v>
      </c>
      <c r="P80" s="22" t="str">
        <f>TRIM(Tabla1[[#This Row],[Articulo]])</f>
        <v>17792180006117</v>
      </c>
      <c r="Q80" s="22" t="e">
        <f>_xlfn.XLOOKUP(Tabla1[[#This Row],[Ean Normalizado]],tabla_consumos[EAN],tabla_consumos[Familia])</f>
        <v>#N/A</v>
      </c>
      <c r="R80" s="22" t="e">
        <f>_xlfn.XLOOKUP(Tabla1[[#This Row],[Ean Normalizado]],tabla_consumos[EAN],tabla_consumos[UM])</f>
        <v>#N/A</v>
      </c>
      <c r="S80" s="22" t="e">
        <f>Tabla1[[#This Row],[StockDisp]]*Tabla1[[#This Row],[UM producto]]</f>
        <v>#N/A</v>
      </c>
    </row>
    <row r="81" spans="1:19" x14ac:dyDescent="0.35">
      <c r="A81" s="37">
        <v>6</v>
      </c>
      <c r="B81" s="37" t="s">
        <v>319</v>
      </c>
      <c r="C81" s="37" t="s">
        <v>311</v>
      </c>
      <c r="D81" s="37"/>
      <c r="E81" s="37" t="s">
        <v>713</v>
      </c>
      <c r="F81" s="37">
        <v>2007126</v>
      </c>
      <c r="G81" s="37" t="s">
        <v>714</v>
      </c>
      <c r="H81" s="37" t="s">
        <v>315</v>
      </c>
      <c r="I81" s="37">
        <v>4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37">
        <v>4</v>
      </c>
      <c r="P81" s="22" t="str">
        <f>TRIM(Tabla1[[#This Row],[Articulo]])</f>
        <v>7790000000241</v>
      </c>
      <c r="Q81" s="22" t="str">
        <f>_xlfn.XLOOKUP(Tabla1[[#This Row],[Ean Normalizado]],tabla_consumos[EAN],tabla_consumos[Familia])</f>
        <v>ARRANQUE 40x60</v>
      </c>
      <c r="R81" s="22">
        <f>_xlfn.XLOOKUP(Tabla1[[#This Row],[Ean Normalizado]],tabla_consumos[EAN],tabla_consumos[UM])</f>
        <v>12</v>
      </c>
      <c r="S81" s="22">
        <f>Tabla1[[#This Row],[StockDisp]]*Tabla1[[#This Row],[UM producto]]</f>
        <v>48</v>
      </c>
    </row>
    <row r="82" spans="1:19" x14ac:dyDescent="0.35">
      <c r="A82" s="37">
        <v>6</v>
      </c>
      <c r="B82" s="37" t="s">
        <v>319</v>
      </c>
      <c r="C82" s="37" t="s">
        <v>311</v>
      </c>
      <c r="D82" s="37"/>
      <c r="E82" s="37" t="s">
        <v>715</v>
      </c>
      <c r="F82" s="37">
        <v>2007612</v>
      </c>
      <c r="G82" s="37" t="s">
        <v>716</v>
      </c>
      <c r="H82" s="37" t="s">
        <v>508</v>
      </c>
      <c r="I82" s="37">
        <v>6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37">
        <v>6</v>
      </c>
      <c r="P82" s="22" t="str">
        <f>TRIM(Tabla1[[#This Row],[Articulo]])</f>
        <v>7798057860045</v>
      </c>
      <c r="Q82" s="22" t="e">
        <f>_xlfn.XLOOKUP(Tabla1[[#This Row],[Ean Normalizado]],tabla_consumos[EAN],tabla_consumos[Familia])</f>
        <v>#N/A</v>
      </c>
      <c r="R82" s="22" t="e">
        <f>_xlfn.XLOOKUP(Tabla1[[#This Row],[Ean Normalizado]],tabla_consumos[EAN],tabla_consumos[UM])</f>
        <v>#N/A</v>
      </c>
      <c r="S82" s="22" t="e">
        <f>Tabla1[[#This Row],[StockDisp]]*Tabla1[[#This Row],[UM producto]]</f>
        <v>#N/A</v>
      </c>
    </row>
    <row r="83" spans="1:19" x14ac:dyDescent="0.35">
      <c r="A83" s="37">
        <v>6</v>
      </c>
      <c r="B83" s="37" t="s">
        <v>319</v>
      </c>
      <c r="C83" s="37" t="s">
        <v>311</v>
      </c>
      <c r="D83" s="37" t="s">
        <v>696</v>
      </c>
      <c r="E83" s="37" t="s">
        <v>697</v>
      </c>
      <c r="F83" s="37">
        <v>2007427</v>
      </c>
      <c r="G83" s="37" t="s">
        <v>698</v>
      </c>
      <c r="H83" s="37" t="s">
        <v>315</v>
      </c>
      <c r="I83" s="37">
        <v>100</v>
      </c>
      <c r="J83" s="37">
        <v>100</v>
      </c>
      <c r="K83" s="37">
        <v>100</v>
      </c>
      <c r="L83" s="37">
        <v>0</v>
      </c>
      <c r="M83" s="37">
        <v>0</v>
      </c>
      <c r="N83" s="37">
        <v>0</v>
      </c>
      <c r="O83" s="37">
        <v>100</v>
      </c>
      <c r="P83" s="22" t="str">
        <f>TRIM(Tabla1[[#This Row],[Articulo]])</f>
        <v>7792205105224</v>
      </c>
      <c r="Q83" s="22" t="e">
        <f>_xlfn.XLOOKUP(Tabla1[[#This Row],[Ean Normalizado]],tabla_consumos[EAN],tabla_consumos[Familia])</f>
        <v>#N/A</v>
      </c>
      <c r="R83" s="22" t="e">
        <f>_xlfn.XLOOKUP(Tabla1[[#This Row],[Ean Normalizado]],tabla_consumos[EAN],tabla_consumos[UM])</f>
        <v>#N/A</v>
      </c>
      <c r="S83" s="22" t="e">
        <f>Tabla1[[#This Row],[StockDisp]]*Tabla1[[#This Row],[UM producto]]</f>
        <v>#N/A</v>
      </c>
    </row>
    <row r="84" spans="1:19" x14ac:dyDescent="0.35">
      <c r="A84" s="37">
        <v>5</v>
      </c>
      <c r="B84" s="37" t="s">
        <v>310</v>
      </c>
      <c r="C84" s="37" t="s">
        <v>311</v>
      </c>
      <c r="D84" s="37" t="s">
        <v>699</v>
      </c>
      <c r="E84" s="37" t="s">
        <v>700</v>
      </c>
      <c r="F84" s="37">
        <v>4023919</v>
      </c>
      <c r="G84" s="37" t="s">
        <v>701</v>
      </c>
      <c r="H84" s="37" t="s">
        <v>315</v>
      </c>
      <c r="I84" s="37">
        <v>126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37">
        <v>126</v>
      </c>
      <c r="P84" s="22" t="str">
        <f>TRIM(Tabla1[[#This Row],[Articulo]])</f>
        <v>7790387001426</v>
      </c>
      <c r="Q84" s="22" t="e">
        <f>_xlfn.XLOOKUP(Tabla1[[#This Row],[Ean Normalizado]],tabla_consumos[EAN],tabla_consumos[Familia])</f>
        <v>#N/A</v>
      </c>
      <c r="R84" s="22" t="e">
        <f>_xlfn.XLOOKUP(Tabla1[[#This Row],[Ean Normalizado]],tabla_consumos[EAN],tabla_consumos[UM])</f>
        <v>#N/A</v>
      </c>
      <c r="S84" s="22" t="e">
        <f>Tabla1[[#This Row],[StockDisp]]*Tabla1[[#This Row],[UM producto]]</f>
        <v>#N/A</v>
      </c>
    </row>
    <row r="85" spans="1:19" x14ac:dyDescent="0.35">
      <c r="A85" s="37">
        <v>6</v>
      </c>
      <c r="B85" s="37" t="s">
        <v>319</v>
      </c>
      <c r="C85" s="37" t="s">
        <v>311</v>
      </c>
      <c r="D85" s="37" t="s">
        <v>335</v>
      </c>
      <c r="E85" s="37" t="s">
        <v>702</v>
      </c>
      <c r="F85" s="37">
        <v>2007386</v>
      </c>
      <c r="G85" s="37" t="s">
        <v>244</v>
      </c>
      <c r="H85" s="37" t="s">
        <v>315</v>
      </c>
      <c r="I85" s="37">
        <v>62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37">
        <v>62</v>
      </c>
      <c r="P85" s="22" t="str">
        <f>TRIM(Tabla1[[#This Row],[Articulo]])</f>
        <v>17798038127096</v>
      </c>
      <c r="Q85" s="22" t="str">
        <f>_xlfn.XLOOKUP(Tabla1[[#This Row],[Ean Normalizado]],tabla_consumos[EAN],tabla_consumos[Familia])</f>
        <v>VASO TERMICO 180</v>
      </c>
      <c r="R85" s="22">
        <f>_xlfn.XLOOKUP(Tabla1[[#This Row],[Ean Normalizado]],tabla_consumos[EAN],tabla_consumos[UM])</f>
        <v>1000</v>
      </c>
      <c r="S85" s="22">
        <f>Tabla1[[#This Row],[StockDisp]]*Tabla1[[#This Row],[UM producto]]</f>
        <v>62000</v>
      </c>
    </row>
    <row r="86" spans="1:19" x14ac:dyDescent="0.35">
      <c r="A86" s="37">
        <v>5</v>
      </c>
      <c r="B86" s="37" t="s">
        <v>310</v>
      </c>
      <c r="C86" s="37" t="s">
        <v>311</v>
      </c>
      <c r="D86" s="37"/>
      <c r="E86" s="37" t="s">
        <v>590</v>
      </c>
      <c r="F86" s="37">
        <v>4077161</v>
      </c>
      <c r="G86" s="37" t="s">
        <v>591</v>
      </c>
      <c r="H86" s="37" t="s">
        <v>315</v>
      </c>
      <c r="I86" s="37">
        <v>199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37">
        <v>199</v>
      </c>
      <c r="P86" s="22" t="str">
        <f>TRIM(Tabla1[[#This Row],[Articulo]])</f>
        <v>7790387015331</v>
      </c>
      <c r="Q86" s="22" t="e">
        <f>_xlfn.XLOOKUP(Tabla1[[#This Row],[Ean Normalizado]],tabla_consumos[EAN],tabla_consumos[Familia])</f>
        <v>#N/A</v>
      </c>
      <c r="R86" s="22" t="e">
        <f>_xlfn.XLOOKUP(Tabla1[[#This Row],[Ean Normalizado]],tabla_consumos[EAN],tabla_consumos[UM])</f>
        <v>#N/A</v>
      </c>
      <c r="S86" s="22" t="e">
        <f>Tabla1[[#This Row],[StockDisp]]*Tabla1[[#This Row],[UM producto]]</f>
        <v>#N/A</v>
      </c>
    </row>
    <row r="87" spans="1:19" x14ac:dyDescent="0.35">
      <c r="A87" s="37">
        <v>5</v>
      </c>
      <c r="B87" s="37" t="s">
        <v>310</v>
      </c>
      <c r="C87" s="37" t="s">
        <v>311</v>
      </c>
      <c r="D87" s="37"/>
      <c r="E87" s="37" t="s">
        <v>592</v>
      </c>
      <c r="F87" s="37">
        <v>4077170</v>
      </c>
      <c r="G87" s="37" t="s">
        <v>593</v>
      </c>
      <c r="H87" s="37" t="s">
        <v>315</v>
      </c>
      <c r="I87" s="37">
        <v>126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37">
        <v>126</v>
      </c>
      <c r="P87" s="22" t="str">
        <f>TRIM(Tabla1[[#This Row],[Articulo]])</f>
        <v>7790387001785</v>
      </c>
      <c r="Q87" s="22" t="e">
        <f>_xlfn.XLOOKUP(Tabla1[[#This Row],[Ean Normalizado]],tabla_consumos[EAN],tabla_consumos[Familia])</f>
        <v>#N/A</v>
      </c>
      <c r="R87" s="22" t="e">
        <f>_xlfn.XLOOKUP(Tabla1[[#This Row],[Ean Normalizado]],tabla_consumos[EAN],tabla_consumos[UM])</f>
        <v>#N/A</v>
      </c>
      <c r="S87" s="22" t="e">
        <f>Tabla1[[#This Row],[StockDisp]]*Tabla1[[#This Row],[UM producto]]</f>
        <v>#N/A</v>
      </c>
    </row>
    <row r="88" spans="1:19" x14ac:dyDescent="0.35">
      <c r="A88" s="37">
        <v>5</v>
      </c>
      <c r="B88" s="37" t="s">
        <v>310</v>
      </c>
      <c r="C88" s="37" t="s">
        <v>311</v>
      </c>
      <c r="D88" s="37" t="s">
        <v>594</v>
      </c>
      <c r="E88" s="37" t="s">
        <v>595</v>
      </c>
      <c r="F88" s="37">
        <v>4019380</v>
      </c>
      <c r="G88" s="37" t="s">
        <v>596</v>
      </c>
      <c r="H88" s="37" t="s">
        <v>315</v>
      </c>
      <c r="I88" s="37">
        <v>794</v>
      </c>
      <c r="J88" s="37">
        <v>0</v>
      </c>
      <c r="K88" s="37">
        <v>685</v>
      </c>
      <c r="L88" s="37">
        <v>0</v>
      </c>
      <c r="M88" s="37">
        <v>2</v>
      </c>
      <c r="N88" s="37">
        <v>0</v>
      </c>
      <c r="O88" s="37">
        <v>107</v>
      </c>
      <c r="P88" s="22" t="str">
        <f>TRIM(Tabla1[[#This Row],[Articulo]])</f>
        <v>7790503000029</v>
      </c>
      <c r="Q88" s="22" t="e">
        <f>_xlfn.XLOOKUP(Tabla1[[#This Row],[Ean Normalizado]],tabla_consumos[EAN],tabla_consumos[Familia])</f>
        <v>#N/A</v>
      </c>
      <c r="R88" s="22" t="e">
        <f>_xlfn.XLOOKUP(Tabla1[[#This Row],[Ean Normalizado]],tabla_consumos[EAN],tabla_consumos[UM])</f>
        <v>#N/A</v>
      </c>
      <c r="S88" s="22" t="e">
        <f>Tabla1[[#This Row],[StockDisp]]*Tabla1[[#This Row],[UM producto]]</f>
        <v>#N/A</v>
      </c>
    </row>
    <row r="89" spans="1:19" x14ac:dyDescent="0.35">
      <c r="A89" s="37">
        <v>6</v>
      </c>
      <c r="B89" s="37" t="s">
        <v>319</v>
      </c>
      <c r="C89" s="37" t="s">
        <v>311</v>
      </c>
      <c r="D89" s="37" t="s">
        <v>471</v>
      </c>
      <c r="E89" s="37" t="s">
        <v>472</v>
      </c>
      <c r="F89" s="37">
        <v>2007021</v>
      </c>
      <c r="G89" s="37" t="s">
        <v>473</v>
      </c>
      <c r="H89" s="37" t="s">
        <v>315</v>
      </c>
      <c r="I89" s="37">
        <v>1953</v>
      </c>
      <c r="J89" s="37">
        <v>0</v>
      </c>
      <c r="K89" s="37">
        <v>0</v>
      </c>
      <c r="L89" s="37">
        <v>0</v>
      </c>
      <c r="M89" s="37">
        <v>5</v>
      </c>
      <c r="N89" s="37">
        <v>0</v>
      </c>
      <c r="O89" s="37">
        <v>1948</v>
      </c>
      <c r="P89" s="22" t="str">
        <f>TRIM(Tabla1[[#This Row],[Articulo]])</f>
        <v>7798035491049</v>
      </c>
      <c r="Q89" s="22" t="e">
        <f>_xlfn.XLOOKUP(Tabla1[[#This Row],[Ean Normalizado]],tabla_consumos[EAN],tabla_consumos[Familia])</f>
        <v>#N/A</v>
      </c>
      <c r="R89" s="22" t="e">
        <f>_xlfn.XLOOKUP(Tabla1[[#This Row],[Ean Normalizado]],tabla_consumos[EAN],tabla_consumos[UM])</f>
        <v>#N/A</v>
      </c>
      <c r="S89" s="22" t="e">
        <f>Tabla1[[#This Row],[StockDisp]]*Tabla1[[#This Row],[UM producto]]</f>
        <v>#N/A</v>
      </c>
    </row>
    <row r="90" spans="1:19" x14ac:dyDescent="0.35">
      <c r="A90" s="37">
        <v>6</v>
      </c>
      <c r="B90" s="37" t="s">
        <v>319</v>
      </c>
      <c r="C90" s="37" t="s">
        <v>311</v>
      </c>
      <c r="D90" s="37" t="s">
        <v>474</v>
      </c>
      <c r="E90" s="37" t="s">
        <v>475</v>
      </c>
      <c r="F90" s="37">
        <v>2007183</v>
      </c>
      <c r="G90" s="37" t="s">
        <v>476</v>
      </c>
      <c r="H90" s="37" t="s">
        <v>315</v>
      </c>
      <c r="I90" s="37">
        <v>2441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37">
        <v>2441</v>
      </c>
      <c r="P90" s="22" t="str">
        <f>TRIM(Tabla1[[#This Row],[Articulo]])</f>
        <v>7790000000227</v>
      </c>
      <c r="Q90" s="22" t="str">
        <f>_xlfn.XLOOKUP(Tabla1[[#This Row],[Ean Normalizado]],tabla_consumos[EAN],tabla_consumos[Familia])</f>
        <v>FILM PVC 30</v>
      </c>
      <c r="R90" s="22">
        <f>_xlfn.XLOOKUP(Tabla1[[#This Row],[Ean Normalizado]],tabla_consumos[EAN],tabla_consumos[UM])</f>
        <v>1</v>
      </c>
      <c r="S90" s="22">
        <f>Tabla1[[#This Row],[StockDisp]]*Tabla1[[#This Row],[UM producto]]</f>
        <v>2441</v>
      </c>
    </row>
    <row r="91" spans="1:19" x14ac:dyDescent="0.35">
      <c r="A91" s="37">
        <v>6</v>
      </c>
      <c r="B91" s="37" t="s">
        <v>319</v>
      </c>
      <c r="C91" s="37" t="s">
        <v>311</v>
      </c>
      <c r="D91" s="37"/>
      <c r="E91" s="37" t="s">
        <v>565</v>
      </c>
      <c r="F91" s="37">
        <v>2007439</v>
      </c>
      <c r="G91" s="37" t="s">
        <v>566</v>
      </c>
      <c r="H91" s="37" t="s">
        <v>315</v>
      </c>
      <c r="I91" s="37">
        <v>3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37">
        <v>3</v>
      </c>
      <c r="P91" s="22" t="str">
        <f>TRIM(Tabla1[[#This Row],[Articulo]])</f>
        <v>7798012210311</v>
      </c>
      <c r="Q91" s="22" t="e">
        <f>_xlfn.XLOOKUP(Tabla1[[#This Row],[Ean Normalizado]],tabla_consumos[EAN],tabla_consumos[Familia])</f>
        <v>#N/A</v>
      </c>
      <c r="R91" s="22" t="e">
        <f>_xlfn.XLOOKUP(Tabla1[[#This Row],[Ean Normalizado]],tabla_consumos[EAN],tabla_consumos[UM])</f>
        <v>#N/A</v>
      </c>
      <c r="S91" s="22" t="e">
        <f>Tabla1[[#This Row],[StockDisp]]*Tabla1[[#This Row],[UM producto]]</f>
        <v>#N/A</v>
      </c>
    </row>
    <row r="92" spans="1:19" x14ac:dyDescent="0.35">
      <c r="A92" s="37">
        <v>5</v>
      </c>
      <c r="B92" s="37" t="s">
        <v>310</v>
      </c>
      <c r="C92" s="37" t="s">
        <v>311</v>
      </c>
      <c r="D92" s="37" t="s">
        <v>567</v>
      </c>
      <c r="E92" s="37" t="s">
        <v>568</v>
      </c>
      <c r="F92" s="37">
        <v>4023385</v>
      </c>
      <c r="G92" s="37" t="s">
        <v>569</v>
      </c>
      <c r="H92" s="37" t="s">
        <v>315</v>
      </c>
      <c r="I92" s="37">
        <v>126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37">
        <v>126</v>
      </c>
      <c r="P92" s="22" t="str">
        <f>TRIM(Tabla1[[#This Row],[Articulo]])</f>
        <v>7790387013306</v>
      </c>
      <c r="Q92" s="22" t="e">
        <f>_xlfn.XLOOKUP(Tabla1[[#This Row],[Ean Normalizado]],tabla_consumos[EAN],tabla_consumos[Familia])</f>
        <v>#N/A</v>
      </c>
      <c r="R92" s="22" t="e">
        <f>_xlfn.XLOOKUP(Tabla1[[#This Row],[Ean Normalizado]],tabla_consumos[EAN],tabla_consumos[UM])</f>
        <v>#N/A</v>
      </c>
      <c r="S92" s="22" t="e">
        <f>Tabla1[[#This Row],[StockDisp]]*Tabla1[[#This Row],[UM producto]]</f>
        <v>#N/A</v>
      </c>
    </row>
    <row r="93" spans="1:19" x14ac:dyDescent="0.35">
      <c r="A93" s="37">
        <v>5</v>
      </c>
      <c r="B93" s="37" t="s">
        <v>310</v>
      </c>
      <c r="C93" s="37" t="s">
        <v>311</v>
      </c>
      <c r="D93" s="37"/>
      <c r="E93" s="37" t="s">
        <v>570</v>
      </c>
      <c r="F93" s="37">
        <v>4015212</v>
      </c>
      <c r="G93" s="37" t="s">
        <v>571</v>
      </c>
      <c r="H93" s="37" t="s">
        <v>315</v>
      </c>
      <c r="I93" s="37">
        <v>22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37">
        <v>22</v>
      </c>
      <c r="P93" s="22" t="str">
        <f>TRIM(Tabla1[[#This Row],[Articulo]])</f>
        <v>7794990866069</v>
      </c>
      <c r="Q93" s="22" t="e">
        <f>_xlfn.XLOOKUP(Tabla1[[#This Row],[Ean Normalizado]],tabla_consumos[EAN],tabla_consumos[Familia])</f>
        <v>#N/A</v>
      </c>
      <c r="R93" s="22" t="e">
        <f>_xlfn.XLOOKUP(Tabla1[[#This Row],[Ean Normalizado]],tabla_consumos[EAN],tabla_consumos[UM])</f>
        <v>#N/A</v>
      </c>
      <c r="S93" s="22" t="e">
        <f>Tabla1[[#This Row],[StockDisp]]*Tabla1[[#This Row],[UM producto]]</f>
        <v>#N/A</v>
      </c>
    </row>
    <row r="94" spans="1:19" x14ac:dyDescent="0.35">
      <c r="A94" s="37">
        <v>6</v>
      </c>
      <c r="B94" s="37" t="s">
        <v>319</v>
      </c>
      <c r="C94" s="37" t="s">
        <v>311</v>
      </c>
      <c r="D94" s="37" t="s">
        <v>501</v>
      </c>
      <c r="E94" s="37" t="s">
        <v>910</v>
      </c>
      <c r="F94" s="37">
        <v>2016664</v>
      </c>
      <c r="G94" s="37" t="s">
        <v>911</v>
      </c>
      <c r="H94" s="37" t="s">
        <v>508</v>
      </c>
      <c r="I94" s="37">
        <v>100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37">
        <v>100</v>
      </c>
      <c r="P94" s="22" t="str">
        <f>TRIM(Tabla1[[#This Row],[Articulo]])</f>
        <v>7790000000802</v>
      </c>
      <c r="Q94" s="22" t="e">
        <f>_xlfn.XLOOKUP(Tabla1[[#This Row],[Ean Normalizado]],tabla_consumos[EAN],tabla_consumos[Familia])</f>
        <v>#N/A</v>
      </c>
      <c r="R94" s="22" t="e">
        <f>_xlfn.XLOOKUP(Tabla1[[#This Row],[Ean Normalizado]],tabla_consumos[EAN],tabla_consumos[UM])</f>
        <v>#N/A</v>
      </c>
      <c r="S94" s="22" t="e">
        <f>Tabla1[[#This Row],[StockDisp]]*Tabla1[[#This Row],[UM producto]]</f>
        <v>#N/A</v>
      </c>
    </row>
    <row r="95" spans="1:19" x14ac:dyDescent="0.35">
      <c r="A95" s="37">
        <v>6</v>
      </c>
      <c r="B95" s="37" t="s">
        <v>319</v>
      </c>
      <c r="C95" s="37" t="s">
        <v>311</v>
      </c>
      <c r="D95" s="37"/>
      <c r="E95" s="37" t="s">
        <v>379</v>
      </c>
      <c r="F95" s="37">
        <v>2007158</v>
      </c>
      <c r="G95" s="37" t="s">
        <v>380</v>
      </c>
      <c r="H95" s="37" t="s">
        <v>315</v>
      </c>
      <c r="I95" s="37">
        <v>121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37">
        <v>121</v>
      </c>
      <c r="P95" s="22" t="str">
        <f>TRIM(Tabla1[[#This Row],[Articulo]])</f>
        <v>7790000000197</v>
      </c>
      <c r="Q95" s="22" t="str">
        <f>_xlfn.XLOOKUP(Tabla1[[#This Row],[Ean Normalizado]],tabla_consumos[EAN],tabla_consumos[Familia])</f>
        <v>BOLSA CAMISETA BIO 40x50</v>
      </c>
      <c r="R95" s="22">
        <f>_xlfn.XLOOKUP(Tabla1[[#This Row],[Ean Normalizado]],tabla_consumos[EAN],tabla_consumos[UM])</f>
        <v>1500</v>
      </c>
      <c r="S95" s="22">
        <f>Tabla1[[#This Row],[StockDisp]]*Tabla1[[#This Row],[UM producto]]</f>
        <v>181500</v>
      </c>
    </row>
    <row r="96" spans="1:19" x14ac:dyDescent="0.35">
      <c r="A96" s="37">
        <v>5</v>
      </c>
      <c r="B96" s="37" t="s">
        <v>310</v>
      </c>
      <c r="C96" s="37" t="s">
        <v>311</v>
      </c>
      <c r="D96" s="37" t="s">
        <v>619</v>
      </c>
      <c r="E96" s="37" t="s">
        <v>952</v>
      </c>
      <c r="F96" s="37">
        <v>4077166</v>
      </c>
      <c r="G96" s="37" t="s">
        <v>953</v>
      </c>
      <c r="H96" s="37" t="s">
        <v>315</v>
      </c>
      <c r="I96" s="37">
        <v>130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37">
        <v>130</v>
      </c>
      <c r="P96" s="22" t="str">
        <f>TRIM(Tabla1[[#This Row],[Articulo]])</f>
        <v>7790387010152</v>
      </c>
      <c r="Q96" s="22" t="e">
        <f>_xlfn.XLOOKUP(Tabla1[[#This Row],[Ean Normalizado]],tabla_consumos[EAN],tabla_consumos[Familia])</f>
        <v>#N/A</v>
      </c>
      <c r="R96" s="22" t="e">
        <f>_xlfn.XLOOKUP(Tabla1[[#This Row],[Ean Normalizado]],tabla_consumos[EAN],tabla_consumos[UM])</f>
        <v>#N/A</v>
      </c>
      <c r="S96" s="22" t="e">
        <f>Tabla1[[#This Row],[StockDisp]]*Tabla1[[#This Row],[UM producto]]</f>
        <v>#N/A</v>
      </c>
    </row>
    <row r="97" spans="1:19" x14ac:dyDescent="0.35">
      <c r="A97" s="37">
        <v>6</v>
      </c>
      <c r="B97" s="37" t="s">
        <v>319</v>
      </c>
      <c r="C97" s="37" t="s">
        <v>311</v>
      </c>
      <c r="D97" s="37"/>
      <c r="E97" s="37" t="s">
        <v>954</v>
      </c>
      <c r="F97" s="37">
        <v>2007623</v>
      </c>
      <c r="G97" s="37" t="s">
        <v>955</v>
      </c>
      <c r="H97" s="37" t="s">
        <v>508</v>
      </c>
      <c r="I97" s="37">
        <v>36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37">
        <v>36</v>
      </c>
      <c r="P97" s="22" t="str">
        <f>TRIM(Tabla1[[#This Row],[Articulo]])</f>
        <v>7790000000575</v>
      </c>
      <c r="Q97" s="22" t="e">
        <f>_xlfn.XLOOKUP(Tabla1[[#This Row],[Ean Normalizado]],tabla_consumos[EAN],tabla_consumos[Familia])</f>
        <v>#N/A</v>
      </c>
      <c r="R97" s="22" t="e">
        <f>_xlfn.XLOOKUP(Tabla1[[#This Row],[Ean Normalizado]],tabla_consumos[EAN],tabla_consumos[UM])</f>
        <v>#N/A</v>
      </c>
      <c r="S97" s="22" t="e">
        <f>Tabla1[[#This Row],[StockDisp]]*Tabla1[[#This Row],[UM producto]]</f>
        <v>#N/A</v>
      </c>
    </row>
    <row r="98" spans="1:19" x14ac:dyDescent="0.35">
      <c r="A98" s="37">
        <v>5</v>
      </c>
      <c r="B98" s="37" t="s">
        <v>310</v>
      </c>
      <c r="C98" s="37" t="s">
        <v>311</v>
      </c>
      <c r="D98" s="37" t="s">
        <v>773</v>
      </c>
      <c r="E98" s="37" t="s">
        <v>774</v>
      </c>
      <c r="F98" s="37">
        <v>4020380</v>
      </c>
      <c r="G98" s="37" t="s">
        <v>775</v>
      </c>
      <c r="H98" s="37" t="s">
        <v>315</v>
      </c>
      <c r="I98" s="37">
        <v>20</v>
      </c>
      <c r="J98" s="37">
        <v>0</v>
      </c>
      <c r="K98" s="37">
        <v>0</v>
      </c>
      <c r="L98" s="37">
        <v>0</v>
      </c>
      <c r="M98" s="37">
        <v>2</v>
      </c>
      <c r="N98" s="37">
        <v>0</v>
      </c>
      <c r="O98" s="37">
        <v>18</v>
      </c>
      <c r="P98" s="22" t="str">
        <f>TRIM(Tabla1[[#This Row],[Articulo]])</f>
        <v>7798011976690</v>
      </c>
      <c r="Q98" s="22" t="e">
        <f>_xlfn.XLOOKUP(Tabla1[[#This Row],[Ean Normalizado]],tabla_consumos[EAN],tabla_consumos[Familia])</f>
        <v>#N/A</v>
      </c>
      <c r="R98" s="22" t="e">
        <f>_xlfn.XLOOKUP(Tabla1[[#This Row],[Ean Normalizado]],tabla_consumos[EAN],tabla_consumos[UM])</f>
        <v>#N/A</v>
      </c>
      <c r="S98" s="22" t="e">
        <f>Tabla1[[#This Row],[StockDisp]]*Tabla1[[#This Row],[UM producto]]</f>
        <v>#N/A</v>
      </c>
    </row>
    <row r="99" spans="1:19" x14ac:dyDescent="0.35">
      <c r="A99" s="37">
        <v>6</v>
      </c>
      <c r="B99" s="37" t="s">
        <v>319</v>
      </c>
      <c r="C99" s="37" t="s">
        <v>311</v>
      </c>
      <c r="D99" s="37"/>
      <c r="E99" s="37" t="s">
        <v>340</v>
      </c>
      <c r="F99" s="37">
        <v>2016498</v>
      </c>
      <c r="G99" s="37" t="s">
        <v>250</v>
      </c>
      <c r="H99" s="37" t="s">
        <v>315</v>
      </c>
      <c r="I99" s="37">
        <v>100</v>
      </c>
      <c r="J99" s="37">
        <v>0</v>
      </c>
      <c r="K99" s="37">
        <v>0</v>
      </c>
      <c r="L99" s="37">
        <v>0</v>
      </c>
      <c r="M99" s="37">
        <v>0</v>
      </c>
      <c r="N99" s="37">
        <v>0</v>
      </c>
      <c r="O99" s="37">
        <v>100</v>
      </c>
      <c r="P99" s="22" t="str">
        <f>TRIM(Tabla1[[#This Row],[Articulo]])</f>
        <v>7790000000707</v>
      </c>
      <c r="Q99" s="22" t="str">
        <f>_xlfn.XLOOKUP(Tabla1[[#This Row],[Ean Normalizado]],tabla_consumos[EAN],tabla_consumos[Familia])</f>
        <v>SERVILLETA C/ LOGO HEALTH 33X21.5</v>
      </c>
      <c r="R99" s="22">
        <f>_xlfn.XLOOKUP(Tabla1[[#This Row],[Ean Normalizado]],tabla_consumos[EAN],tabla_consumos[UM])</f>
        <v>1000</v>
      </c>
      <c r="S99" s="22">
        <f>Tabla1[[#This Row],[StockDisp]]*Tabla1[[#This Row],[UM producto]]</f>
        <v>100000</v>
      </c>
    </row>
    <row r="100" spans="1:19" x14ac:dyDescent="0.35">
      <c r="A100" s="37">
        <v>6</v>
      </c>
      <c r="B100" s="37" t="s">
        <v>319</v>
      </c>
      <c r="C100" s="37" t="s">
        <v>311</v>
      </c>
      <c r="D100" s="37" t="s">
        <v>341</v>
      </c>
      <c r="E100" s="37" t="s">
        <v>342</v>
      </c>
      <c r="F100" s="37">
        <v>2016626</v>
      </c>
      <c r="G100" s="37" t="s">
        <v>248</v>
      </c>
      <c r="H100" s="37" t="s">
        <v>315</v>
      </c>
      <c r="I100" s="37">
        <v>386</v>
      </c>
      <c r="J100" s="37">
        <v>0</v>
      </c>
      <c r="K100" s="37">
        <v>0</v>
      </c>
      <c r="L100" s="37">
        <v>0</v>
      </c>
      <c r="M100" s="37">
        <v>17</v>
      </c>
      <c r="N100" s="37">
        <v>0</v>
      </c>
      <c r="O100" s="37">
        <v>369</v>
      </c>
      <c r="P100" s="22" t="str">
        <f>TRIM(Tabla1[[#This Row],[Articulo]])</f>
        <v>7798188651727</v>
      </c>
      <c r="Q100" s="22" t="str">
        <f>_xlfn.XLOOKUP(Tabla1[[#This Row],[Ean Normalizado]],tabla_consumos[EAN],tabla_consumos[Familia])</f>
        <v>SERVILLETA 30X30</v>
      </c>
      <c r="R100" s="22">
        <f>_xlfn.XLOOKUP(Tabla1[[#This Row],[Ean Normalizado]],tabla_consumos[EAN],tabla_consumos[UM])</f>
        <v>1000</v>
      </c>
      <c r="S100" s="22">
        <f>Tabla1[[#This Row],[StockDisp]]*Tabla1[[#This Row],[UM producto]]</f>
        <v>369000</v>
      </c>
    </row>
    <row r="101" spans="1:19" x14ac:dyDescent="0.35">
      <c r="A101" s="37">
        <v>6</v>
      </c>
      <c r="B101" s="37" t="s">
        <v>319</v>
      </c>
      <c r="C101" s="37" t="s">
        <v>311</v>
      </c>
      <c r="D101" s="37" t="s">
        <v>742</v>
      </c>
      <c r="E101" s="37" t="s">
        <v>743</v>
      </c>
      <c r="F101" s="37">
        <v>2007411</v>
      </c>
      <c r="G101" s="37" t="s">
        <v>744</v>
      </c>
      <c r="H101" s="37" t="s">
        <v>315</v>
      </c>
      <c r="I101" s="37">
        <v>16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37">
        <v>16</v>
      </c>
      <c r="P101" s="22" t="str">
        <f>TRIM(Tabla1[[#This Row],[Articulo]])</f>
        <v>7798057869604</v>
      </c>
      <c r="Q101" s="22" t="e">
        <f>_xlfn.XLOOKUP(Tabla1[[#This Row],[Ean Normalizado]],tabla_consumos[EAN],tabla_consumos[Familia])</f>
        <v>#N/A</v>
      </c>
      <c r="R101" s="22" t="e">
        <f>_xlfn.XLOOKUP(Tabla1[[#This Row],[Ean Normalizado]],tabla_consumos[EAN],tabla_consumos[UM])</f>
        <v>#N/A</v>
      </c>
      <c r="S101" s="22" t="e">
        <f>Tabla1[[#This Row],[StockDisp]]*Tabla1[[#This Row],[UM producto]]</f>
        <v>#N/A</v>
      </c>
    </row>
    <row r="102" spans="1:19" x14ac:dyDescent="0.35">
      <c r="A102" s="37">
        <v>6</v>
      </c>
      <c r="B102" s="37" t="s">
        <v>319</v>
      </c>
      <c r="C102" s="37" t="s">
        <v>311</v>
      </c>
      <c r="D102" s="37"/>
      <c r="E102" s="37" t="s">
        <v>839</v>
      </c>
      <c r="F102" s="37">
        <v>2007181</v>
      </c>
      <c r="G102" s="37" t="s">
        <v>840</v>
      </c>
      <c r="H102" s="37" t="s">
        <v>315</v>
      </c>
      <c r="I102" s="37">
        <v>123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>
        <v>123</v>
      </c>
      <c r="P102" s="22" t="str">
        <f>TRIM(Tabla1[[#This Row],[Articulo]])</f>
        <v>7790000000222</v>
      </c>
      <c r="Q102" s="22" t="str">
        <f>_xlfn.XLOOKUP(Tabla1[[#This Row],[Ean Normalizado]],tabla_consumos[EAN],tabla_consumos[Familia])</f>
        <v>ARRANQUE 40x60</v>
      </c>
      <c r="R102" s="22">
        <f>_xlfn.XLOOKUP(Tabla1[[#This Row],[Ean Normalizado]],tabla_consumos[EAN],tabla_consumos[UM])</f>
        <v>12</v>
      </c>
      <c r="S102" s="22">
        <f>Tabla1[[#This Row],[StockDisp]]*Tabla1[[#This Row],[UM producto]]</f>
        <v>1476</v>
      </c>
    </row>
    <row r="103" spans="1:19" x14ac:dyDescent="0.35">
      <c r="A103" s="37">
        <v>5</v>
      </c>
      <c r="B103" s="37" t="s">
        <v>310</v>
      </c>
      <c r="C103" s="37" t="s">
        <v>311</v>
      </c>
      <c r="D103" s="37"/>
      <c r="E103" s="37" t="s">
        <v>402</v>
      </c>
      <c r="F103" s="37">
        <v>4001155</v>
      </c>
      <c r="G103" s="37" t="s">
        <v>403</v>
      </c>
      <c r="H103" s="37" t="s">
        <v>346</v>
      </c>
      <c r="I103" s="37">
        <v>15</v>
      </c>
      <c r="J103" s="37">
        <v>0</v>
      </c>
      <c r="K103" s="37">
        <v>0</v>
      </c>
      <c r="L103" s="37">
        <v>0</v>
      </c>
      <c r="M103" s="37">
        <v>3</v>
      </c>
      <c r="N103" s="37">
        <v>0</v>
      </c>
      <c r="O103" s="37">
        <v>12</v>
      </c>
      <c r="P103" s="22" t="str">
        <f>TRIM(Tabla1[[#This Row],[Articulo]])</f>
        <v>4001155</v>
      </c>
      <c r="Q103" s="22" t="e">
        <f>_xlfn.XLOOKUP(Tabla1[[#This Row],[Ean Normalizado]],tabla_consumos[EAN],tabla_consumos[Familia])</f>
        <v>#N/A</v>
      </c>
      <c r="R103" s="22" t="e">
        <f>_xlfn.XLOOKUP(Tabla1[[#This Row],[Ean Normalizado]],tabla_consumos[EAN],tabla_consumos[UM])</f>
        <v>#N/A</v>
      </c>
      <c r="S103" s="22" t="e">
        <f>Tabla1[[#This Row],[StockDisp]]*Tabla1[[#This Row],[UM producto]]</f>
        <v>#N/A</v>
      </c>
    </row>
    <row r="104" spans="1:19" x14ac:dyDescent="0.35">
      <c r="A104" s="37">
        <v>5</v>
      </c>
      <c r="B104" s="37" t="s">
        <v>310</v>
      </c>
      <c r="C104" s="37" t="s">
        <v>311</v>
      </c>
      <c r="D104" s="37"/>
      <c r="E104" s="37" t="s">
        <v>404</v>
      </c>
      <c r="F104" s="37">
        <v>4001142</v>
      </c>
      <c r="G104" s="37" t="s">
        <v>405</v>
      </c>
      <c r="H104" s="37" t="s">
        <v>346</v>
      </c>
      <c r="I104" s="37">
        <v>29</v>
      </c>
      <c r="J104" s="37">
        <v>0</v>
      </c>
      <c r="K104" s="37">
        <v>0</v>
      </c>
      <c r="L104" s="37">
        <v>0</v>
      </c>
      <c r="M104" s="37">
        <v>19</v>
      </c>
      <c r="N104" s="37">
        <v>0</v>
      </c>
      <c r="O104" s="37">
        <v>10</v>
      </c>
      <c r="P104" s="22" t="str">
        <f>TRIM(Tabla1[[#This Row],[Articulo]])</f>
        <v>4001142</v>
      </c>
      <c r="Q104" s="22" t="e">
        <f>_xlfn.XLOOKUP(Tabla1[[#This Row],[Ean Normalizado]],tabla_consumos[EAN],tabla_consumos[Familia])</f>
        <v>#N/A</v>
      </c>
      <c r="R104" s="22" t="e">
        <f>_xlfn.XLOOKUP(Tabla1[[#This Row],[Ean Normalizado]],tabla_consumos[EAN],tabla_consumos[UM])</f>
        <v>#N/A</v>
      </c>
      <c r="S104" s="22" t="e">
        <f>Tabla1[[#This Row],[StockDisp]]*Tabla1[[#This Row],[UM producto]]</f>
        <v>#N/A</v>
      </c>
    </row>
    <row r="105" spans="1:19" x14ac:dyDescent="0.35">
      <c r="A105" s="37">
        <v>6</v>
      </c>
      <c r="B105" s="37" t="s">
        <v>319</v>
      </c>
      <c r="C105" s="37" t="s">
        <v>311</v>
      </c>
      <c r="D105" s="37"/>
      <c r="E105" s="37" t="s">
        <v>406</v>
      </c>
      <c r="F105" s="37">
        <v>2007200</v>
      </c>
      <c r="G105" s="37" t="s">
        <v>407</v>
      </c>
      <c r="H105" s="37" t="s">
        <v>315</v>
      </c>
      <c r="I105" s="37">
        <v>603</v>
      </c>
      <c r="J105" s="37">
        <v>0</v>
      </c>
      <c r="K105" s="37">
        <v>0</v>
      </c>
      <c r="L105" s="37">
        <v>0</v>
      </c>
      <c r="M105" s="37">
        <v>0</v>
      </c>
      <c r="N105" s="37">
        <v>0</v>
      </c>
      <c r="O105" s="37">
        <v>603</v>
      </c>
      <c r="P105" s="22" t="str">
        <f>TRIM(Tabla1[[#This Row],[Articulo]])</f>
        <v>9992014501035</v>
      </c>
      <c r="Q105" s="22" t="e">
        <f>_xlfn.XLOOKUP(Tabla1[[#This Row],[Ean Normalizado]],tabla_consumos[EAN],tabla_consumos[Familia])</f>
        <v>#N/A</v>
      </c>
      <c r="R105" s="22" t="e">
        <f>_xlfn.XLOOKUP(Tabla1[[#This Row],[Ean Normalizado]],tabla_consumos[EAN],tabla_consumos[UM])</f>
        <v>#N/A</v>
      </c>
      <c r="S105" s="22" t="e">
        <f>Tabla1[[#This Row],[StockDisp]]*Tabla1[[#This Row],[UM producto]]</f>
        <v>#N/A</v>
      </c>
    </row>
    <row r="106" spans="1:19" x14ac:dyDescent="0.35">
      <c r="A106" s="37">
        <v>6</v>
      </c>
      <c r="B106" s="37" t="s">
        <v>319</v>
      </c>
      <c r="C106" s="37" t="s">
        <v>311</v>
      </c>
      <c r="D106" s="37" t="s">
        <v>383</v>
      </c>
      <c r="E106" s="37" t="s">
        <v>384</v>
      </c>
      <c r="F106" s="37">
        <v>2007507</v>
      </c>
      <c r="G106" s="37" t="s">
        <v>385</v>
      </c>
      <c r="H106" s="37" t="s">
        <v>315</v>
      </c>
      <c r="I106" s="37">
        <v>21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21</v>
      </c>
      <c r="P106" s="22" t="str">
        <f>TRIM(Tabla1[[#This Row],[Articulo]])</f>
        <v>7790000000481</v>
      </c>
      <c r="Q106" s="22" t="e">
        <f>_xlfn.XLOOKUP(Tabla1[[#This Row],[Ean Normalizado]],tabla_consumos[EAN],tabla_consumos[Familia])</f>
        <v>#N/A</v>
      </c>
      <c r="R106" s="22" t="e">
        <f>_xlfn.XLOOKUP(Tabla1[[#This Row],[Ean Normalizado]],tabla_consumos[EAN],tabla_consumos[UM])</f>
        <v>#N/A</v>
      </c>
      <c r="S106" s="22" t="e">
        <f>Tabla1[[#This Row],[StockDisp]]*Tabla1[[#This Row],[UM producto]]</f>
        <v>#N/A</v>
      </c>
    </row>
    <row r="107" spans="1:19" x14ac:dyDescent="0.35">
      <c r="A107" s="37">
        <v>6</v>
      </c>
      <c r="B107" s="37" t="s">
        <v>319</v>
      </c>
      <c r="C107" s="37" t="s">
        <v>311</v>
      </c>
      <c r="D107" s="37"/>
      <c r="E107" s="37" t="s">
        <v>441</v>
      </c>
      <c r="F107" s="37">
        <v>2007124</v>
      </c>
      <c r="G107" s="37" t="s">
        <v>442</v>
      </c>
      <c r="H107" s="37" t="s">
        <v>315</v>
      </c>
      <c r="I107" s="37">
        <v>261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37">
        <v>261</v>
      </c>
      <c r="P107" s="22" t="str">
        <f>TRIM(Tabla1[[#This Row],[Articulo]])</f>
        <v>7798011210046</v>
      </c>
      <c r="Q107" s="22" t="str">
        <f>_xlfn.XLOOKUP(Tabla1[[#This Row],[Ean Normalizado]],tabla_consumos[EAN],tabla_consumos[Familia])</f>
        <v>TAPA 102</v>
      </c>
      <c r="R107" s="22">
        <f>_xlfn.XLOOKUP(Tabla1[[#This Row],[Ean Normalizado]],tabla_consumos[EAN],tabla_consumos[UM])</f>
        <v>100</v>
      </c>
      <c r="S107" s="22">
        <f>Tabla1[[#This Row],[StockDisp]]*Tabla1[[#This Row],[UM producto]]</f>
        <v>26100</v>
      </c>
    </row>
    <row r="108" spans="1:19" x14ac:dyDescent="0.35">
      <c r="A108" s="37">
        <v>5</v>
      </c>
      <c r="B108" s="37" t="s">
        <v>310</v>
      </c>
      <c r="C108" s="37" t="s">
        <v>311</v>
      </c>
      <c r="D108" s="37"/>
      <c r="E108" s="37" t="s">
        <v>443</v>
      </c>
      <c r="F108" s="37">
        <v>4001211</v>
      </c>
      <c r="G108" s="37" t="s">
        <v>444</v>
      </c>
      <c r="H108" s="37" t="s">
        <v>346</v>
      </c>
      <c r="I108" s="37">
        <v>71</v>
      </c>
      <c r="J108" s="37">
        <v>0</v>
      </c>
      <c r="K108" s="37">
        <v>0</v>
      </c>
      <c r="L108" s="37">
        <v>1</v>
      </c>
      <c r="M108" s="37">
        <v>17</v>
      </c>
      <c r="N108" s="37">
        <v>0</v>
      </c>
      <c r="O108" s="37">
        <v>53</v>
      </c>
      <c r="P108" s="22" t="str">
        <f>TRIM(Tabla1[[#This Row],[Articulo]])</f>
        <v>4001211</v>
      </c>
      <c r="Q108" s="22" t="e">
        <f>_xlfn.XLOOKUP(Tabla1[[#This Row],[Ean Normalizado]],tabla_consumos[EAN],tabla_consumos[Familia])</f>
        <v>#N/A</v>
      </c>
      <c r="R108" s="22" t="e">
        <f>_xlfn.XLOOKUP(Tabla1[[#This Row],[Ean Normalizado]],tabla_consumos[EAN],tabla_consumos[UM])</f>
        <v>#N/A</v>
      </c>
      <c r="S108" s="22" t="e">
        <f>Tabla1[[#This Row],[StockDisp]]*Tabla1[[#This Row],[UM producto]]</f>
        <v>#N/A</v>
      </c>
    </row>
    <row r="109" spans="1:19" x14ac:dyDescent="0.35">
      <c r="A109" s="37">
        <v>5</v>
      </c>
      <c r="B109" s="37" t="s">
        <v>310</v>
      </c>
      <c r="C109" s="37" t="s">
        <v>311</v>
      </c>
      <c r="D109" s="37" t="s">
        <v>312</v>
      </c>
      <c r="E109" s="37" t="s">
        <v>313</v>
      </c>
      <c r="F109" s="37">
        <v>4077164</v>
      </c>
      <c r="G109" s="37" t="s">
        <v>314</v>
      </c>
      <c r="H109" s="37" t="s">
        <v>315</v>
      </c>
      <c r="I109" s="37">
        <v>150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>
        <v>150</v>
      </c>
      <c r="P109" s="22" t="str">
        <f>TRIM(Tabla1[[#This Row],[Articulo]])</f>
        <v>7790387800050</v>
      </c>
      <c r="Q109" s="22" t="e">
        <f>_xlfn.XLOOKUP(Tabla1[[#This Row],[Ean Normalizado]],tabla_consumos[EAN],tabla_consumos[Familia])</f>
        <v>#N/A</v>
      </c>
      <c r="R109" s="22" t="e">
        <f>_xlfn.XLOOKUP(Tabla1[[#This Row],[Ean Normalizado]],tabla_consumos[EAN],tabla_consumos[UM])</f>
        <v>#N/A</v>
      </c>
      <c r="S109" s="22" t="e">
        <f>Tabla1[[#This Row],[StockDisp]]*Tabla1[[#This Row],[UM producto]]</f>
        <v>#N/A</v>
      </c>
    </row>
    <row r="110" spans="1:19" x14ac:dyDescent="0.35">
      <c r="A110" s="37">
        <v>6</v>
      </c>
      <c r="B110" s="37" t="s">
        <v>319</v>
      </c>
      <c r="C110" s="37" t="s">
        <v>311</v>
      </c>
      <c r="D110" s="37"/>
      <c r="E110" s="37" t="s">
        <v>581</v>
      </c>
      <c r="F110" s="37">
        <v>2016640</v>
      </c>
      <c r="G110" s="37" t="s">
        <v>582</v>
      </c>
      <c r="H110" s="37" t="s">
        <v>315</v>
      </c>
      <c r="I110" s="37">
        <v>50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37">
        <v>50</v>
      </c>
      <c r="P110" s="22" t="str">
        <f>TRIM(Tabla1[[#This Row],[Articulo]])</f>
        <v>7798287510833</v>
      </c>
      <c r="Q110" s="22" t="e">
        <f>_xlfn.XLOOKUP(Tabla1[[#This Row],[Ean Normalizado]],tabla_consumos[EAN],tabla_consumos[Familia])</f>
        <v>#N/A</v>
      </c>
      <c r="R110" s="22" t="e">
        <f>_xlfn.XLOOKUP(Tabla1[[#This Row],[Ean Normalizado]],tabla_consumos[EAN],tabla_consumos[UM])</f>
        <v>#N/A</v>
      </c>
      <c r="S110" s="22" t="e">
        <f>Tabla1[[#This Row],[StockDisp]]*Tabla1[[#This Row],[UM producto]]</f>
        <v>#N/A</v>
      </c>
    </row>
    <row r="111" spans="1:19" x14ac:dyDescent="0.35">
      <c r="A111" s="37">
        <v>6</v>
      </c>
      <c r="B111" s="37" t="s">
        <v>319</v>
      </c>
      <c r="C111" s="37" t="s">
        <v>311</v>
      </c>
      <c r="D111" s="37" t="s">
        <v>359</v>
      </c>
      <c r="E111" s="37" t="s">
        <v>360</v>
      </c>
      <c r="F111" s="37">
        <v>2016720</v>
      </c>
      <c r="G111" s="37" t="s">
        <v>361</v>
      </c>
      <c r="H111" s="37" t="s">
        <v>315</v>
      </c>
      <c r="I111" s="37">
        <v>300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37">
        <v>300</v>
      </c>
      <c r="P111" s="22" t="str">
        <f>TRIM(Tabla1[[#This Row],[Articulo]])</f>
        <v>7798287511748</v>
      </c>
      <c r="Q111" s="22" t="e">
        <f>_xlfn.XLOOKUP(Tabla1[[#This Row],[Ean Normalizado]],tabla_consumos[EAN],tabla_consumos[Familia])</f>
        <v>#N/A</v>
      </c>
      <c r="R111" s="22" t="e">
        <f>_xlfn.XLOOKUP(Tabla1[[#This Row],[Ean Normalizado]],tabla_consumos[EAN],tabla_consumos[UM])</f>
        <v>#N/A</v>
      </c>
      <c r="S111" s="22" t="e">
        <f>Tabla1[[#This Row],[StockDisp]]*Tabla1[[#This Row],[UM producto]]</f>
        <v>#N/A</v>
      </c>
    </row>
    <row r="112" spans="1:19" x14ac:dyDescent="0.35">
      <c r="A112" s="37">
        <v>5</v>
      </c>
      <c r="B112" s="37" t="s">
        <v>310</v>
      </c>
      <c r="C112" s="37" t="s">
        <v>311</v>
      </c>
      <c r="D112" s="37"/>
      <c r="E112" s="37" t="s">
        <v>537</v>
      </c>
      <c r="F112" s="37">
        <v>4001946</v>
      </c>
      <c r="G112" s="37" t="s">
        <v>538</v>
      </c>
      <c r="H112" s="37" t="s">
        <v>346</v>
      </c>
      <c r="I112" s="37">
        <v>48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37">
        <v>48</v>
      </c>
      <c r="P112" s="22" t="str">
        <f>TRIM(Tabla1[[#This Row],[Articulo]])</f>
        <v>4001946</v>
      </c>
      <c r="Q112" s="22" t="e">
        <f>_xlfn.XLOOKUP(Tabla1[[#This Row],[Ean Normalizado]],tabla_consumos[EAN],tabla_consumos[Familia])</f>
        <v>#N/A</v>
      </c>
      <c r="R112" s="22" t="e">
        <f>_xlfn.XLOOKUP(Tabla1[[#This Row],[Ean Normalizado]],tabla_consumos[EAN],tabla_consumos[UM])</f>
        <v>#N/A</v>
      </c>
      <c r="S112" s="22" t="e">
        <f>Tabla1[[#This Row],[StockDisp]]*Tabla1[[#This Row],[UM producto]]</f>
        <v>#N/A</v>
      </c>
    </row>
    <row r="113" spans="1:19" x14ac:dyDescent="0.35">
      <c r="A113" s="37">
        <v>6</v>
      </c>
      <c r="B113" s="37" t="s">
        <v>319</v>
      </c>
      <c r="C113" s="37" t="s">
        <v>311</v>
      </c>
      <c r="D113" s="37" t="s">
        <v>539</v>
      </c>
      <c r="E113" s="37" t="s">
        <v>540</v>
      </c>
      <c r="F113" s="37">
        <v>4022635</v>
      </c>
      <c r="G113" s="37" t="s">
        <v>541</v>
      </c>
      <c r="H113" s="37" t="s">
        <v>315</v>
      </c>
      <c r="I113" s="37">
        <v>5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5</v>
      </c>
      <c r="P113" s="22" t="str">
        <f>TRIM(Tabla1[[#This Row],[Articulo]])</f>
        <v>7790000000320</v>
      </c>
      <c r="Q113" s="22" t="e">
        <f>_xlfn.XLOOKUP(Tabla1[[#This Row],[Ean Normalizado]],tabla_consumos[EAN],tabla_consumos[Familia])</f>
        <v>#N/A</v>
      </c>
      <c r="R113" s="22" t="e">
        <f>_xlfn.XLOOKUP(Tabla1[[#This Row],[Ean Normalizado]],tabla_consumos[EAN],tabla_consumos[UM])</f>
        <v>#N/A</v>
      </c>
      <c r="S113" s="22" t="e">
        <f>Tabla1[[#This Row],[StockDisp]]*Tabla1[[#This Row],[UM producto]]</f>
        <v>#N/A</v>
      </c>
    </row>
    <row r="114" spans="1:19" x14ac:dyDescent="0.35">
      <c r="A114" s="37">
        <v>6</v>
      </c>
      <c r="B114" s="37" t="s">
        <v>319</v>
      </c>
      <c r="C114" s="37" t="s">
        <v>311</v>
      </c>
      <c r="D114" s="37" t="s">
        <v>397</v>
      </c>
      <c r="E114" s="37" t="s">
        <v>854</v>
      </c>
      <c r="F114" s="37">
        <v>2007508</v>
      </c>
      <c r="G114" s="37" t="s">
        <v>855</v>
      </c>
      <c r="H114" s="37" t="s">
        <v>315</v>
      </c>
      <c r="I114" s="37">
        <v>29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37">
        <v>29</v>
      </c>
      <c r="P114" s="22" t="str">
        <f>TRIM(Tabla1[[#This Row],[Articulo]])</f>
        <v>7790000000482</v>
      </c>
      <c r="Q114" s="22" t="e">
        <f>_xlfn.XLOOKUP(Tabla1[[#This Row],[Ean Normalizado]],tabla_consumos[EAN],tabla_consumos[Familia])</f>
        <v>#N/A</v>
      </c>
      <c r="R114" s="22" t="e">
        <f>_xlfn.XLOOKUP(Tabla1[[#This Row],[Ean Normalizado]],tabla_consumos[EAN],tabla_consumos[UM])</f>
        <v>#N/A</v>
      </c>
      <c r="S114" s="22" t="e">
        <f>Tabla1[[#This Row],[StockDisp]]*Tabla1[[#This Row],[UM producto]]</f>
        <v>#N/A</v>
      </c>
    </row>
    <row r="115" spans="1:19" x14ac:dyDescent="0.35">
      <c r="A115" s="37">
        <v>6</v>
      </c>
      <c r="B115" s="37" t="s">
        <v>319</v>
      </c>
      <c r="C115" s="37" t="s">
        <v>311</v>
      </c>
      <c r="D115" s="37" t="s">
        <v>748</v>
      </c>
      <c r="E115" s="37" t="s">
        <v>856</v>
      </c>
      <c r="F115" s="37">
        <v>2011502</v>
      </c>
      <c r="G115" s="37" t="s">
        <v>219</v>
      </c>
      <c r="H115" s="37" t="s">
        <v>315</v>
      </c>
      <c r="I115" s="37">
        <v>17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37">
        <v>17</v>
      </c>
      <c r="P115" s="22" t="str">
        <f>TRIM(Tabla1[[#This Row],[Articulo]])</f>
        <v>7798011210053</v>
      </c>
      <c r="Q115" s="22" t="str">
        <f>_xlfn.XLOOKUP(Tabla1[[#This Row],[Ean Normalizado]],tabla_consumos[EAN],tabla_consumos[Familia])</f>
        <v>BANDEJA 103</v>
      </c>
      <c r="R115" s="22">
        <f>_xlfn.XLOOKUP(Tabla1[[#This Row],[Ean Normalizado]],tabla_consumos[EAN],tabla_consumos[UM])</f>
        <v>100</v>
      </c>
      <c r="S115" s="22">
        <f>Tabla1[[#This Row],[StockDisp]]*Tabla1[[#This Row],[UM producto]]</f>
        <v>1700</v>
      </c>
    </row>
    <row r="116" spans="1:19" x14ac:dyDescent="0.35">
      <c r="A116" s="37">
        <v>1</v>
      </c>
      <c r="B116" s="37" t="s">
        <v>322</v>
      </c>
      <c r="C116" s="37" t="s">
        <v>311</v>
      </c>
      <c r="D116" s="37" t="s">
        <v>857</v>
      </c>
      <c r="E116" s="37" t="s">
        <v>858</v>
      </c>
      <c r="F116" s="37">
        <v>4017956</v>
      </c>
      <c r="G116" s="37" t="s">
        <v>859</v>
      </c>
      <c r="H116" s="37" t="s">
        <v>315</v>
      </c>
      <c r="I116" s="37">
        <v>46</v>
      </c>
      <c r="J116" s="37">
        <v>0</v>
      </c>
      <c r="K116" s="37">
        <v>0</v>
      </c>
      <c r="L116" s="37">
        <v>0</v>
      </c>
      <c r="M116" s="37">
        <v>0</v>
      </c>
      <c r="N116" s="37">
        <v>0</v>
      </c>
      <c r="O116" s="37">
        <v>46</v>
      </c>
      <c r="P116" s="22" t="str">
        <f>TRIM(Tabla1[[#This Row],[Articulo]])</f>
        <v>7790670002437</v>
      </c>
      <c r="Q116" s="22" t="e">
        <f>_xlfn.XLOOKUP(Tabla1[[#This Row],[Ean Normalizado]],tabla_consumos[EAN],tabla_consumos[Familia])</f>
        <v>#N/A</v>
      </c>
      <c r="R116" s="22" t="e">
        <f>_xlfn.XLOOKUP(Tabla1[[#This Row],[Ean Normalizado]],tabla_consumos[EAN],tabla_consumos[UM])</f>
        <v>#N/A</v>
      </c>
      <c r="S116" s="22" t="e">
        <f>Tabla1[[#This Row],[StockDisp]]*Tabla1[[#This Row],[UM producto]]</f>
        <v>#N/A</v>
      </c>
    </row>
    <row r="117" spans="1:19" x14ac:dyDescent="0.35">
      <c r="A117" s="37">
        <v>5</v>
      </c>
      <c r="B117" s="37" t="s">
        <v>310</v>
      </c>
      <c r="C117" s="37" t="s">
        <v>311</v>
      </c>
      <c r="D117" s="37"/>
      <c r="E117" s="37" t="s">
        <v>526</v>
      </c>
      <c r="F117" s="37">
        <v>4001129</v>
      </c>
      <c r="G117" s="37" t="s">
        <v>527</v>
      </c>
      <c r="H117" s="37" t="s">
        <v>346</v>
      </c>
      <c r="I117" s="37">
        <v>422.1</v>
      </c>
      <c r="J117" s="37">
        <v>0</v>
      </c>
      <c r="K117" s="37">
        <v>0</v>
      </c>
      <c r="L117" s="37">
        <v>4</v>
      </c>
      <c r="M117" s="37">
        <v>67</v>
      </c>
      <c r="N117" s="37">
        <v>0</v>
      </c>
      <c r="O117" s="37">
        <v>351.1</v>
      </c>
      <c r="P117" s="22" t="str">
        <f>TRIM(Tabla1[[#This Row],[Articulo]])</f>
        <v>4001129</v>
      </c>
      <c r="Q117" s="22" t="e">
        <f>_xlfn.XLOOKUP(Tabla1[[#This Row],[Ean Normalizado]],tabla_consumos[EAN],tabla_consumos[Familia])</f>
        <v>#N/A</v>
      </c>
      <c r="R117" s="22" t="e">
        <f>_xlfn.XLOOKUP(Tabla1[[#This Row],[Ean Normalizado]],tabla_consumos[EAN],tabla_consumos[UM])</f>
        <v>#N/A</v>
      </c>
      <c r="S117" s="22" t="e">
        <f>Tabla1[[#This Row],[StockDisp]]*Tabla1[[#This Row],[UM producto]]</f>
        <v>#N/A</v>
      </c>
    </row>
    <row r="118" spans="1:19" x14ac:dyDescent="0.35">
      <c r="A118" s="37">
        <v>6</v>
      </c>
      <c r="B118" s="37" t="s">
        <v>319</v>
      </c>
      <c r="C118" s="37" t="s">
        <v>311</v>
      </c>
      <c r="D118" s="37"/>
      <c r="E118" s="37" t="s">
        <v>576</v>
      </c>
      <c r="F118" s="37">
        <v>2007444</v>
      </c>
      <c r="G118" s="37" t="s">
        <v>577</v>
      </c>
      <c r="H118" s="37" t="s">
        <v>315</v>
      </c>
      <c r="I118" s="37">
        <v>415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415</v>
      </c>
      <c r="P118" s="22" t="str">
        <f>TRIM(Tabla1[[#This Row],[Articulo]])</f>
        <v>7790520995285</v>
      </c>
      <c r="Q118" s="22" t="e">
        <f>_xlfn.XLOOKUP(Tabla1[[#This Row],[Ean Normalizado]],tabla_consumos[EAN],tabla_consumos[Familia])</f>
        <v>#N/A</v>
      </c>
      <c r="R118" s="22" t="e">
        <f>_xlfn.XLOOKUP(Tabla1[[#This Row],[Ean Normalizado]],tabla_consumos[EAN],tabla_consumos[UM])</f>
        <v>#N/A</v>
      </c>
      <c r="S118" s="22" t="e">
        <f>Tabla1[[#This Row],[StockDisp]]*Tabla1[[#This Row],[UM producto]]</f>
        <v>#N/A</v>
      </c>
    </row>
    <row r="119" spans="1:19" x14ac:dyDescent="0.35">
      <c r="A119" s="37">
        <v>6</v>
      </c>
      <c r="B119" s="37" t="s">
        <v>319</v>
      </c>
      <c r="C119" s="37" t="s">
        <v>311</v>
      </c>
      <c r="D119" s="37"/>
      <c r="E119" s="37" t="s">
        <v>485</v>
      </c>
      <c r="F119" s="37">
        <v>2007212</v>
      </c>
      <c r="G119" s="37" t="s">
        <v>486</v>
      </c>
      <c r="H119" s="37" t="s">
        <v>315</v>
      </c>
      <c r="I119" s="37">
        <v>17</v>
      </c>
      <c r="J119" s="37">
        <v>400</v>
      </c>
      <c r="K119" s="37">
        <v>0</v>
      </c>
      <c r="L119" s="37">
        <v>0</v>
      </c>
      <c r="M119" s="37">
        <v>0</v>
      </c>
      <c r="N119" s="37">
        <v>0</v>
      </c>
      <c r="O119" s="37">
        <v>417</v>
      </c>
      <c r="P119" s="22" t="str">
        <f>TRIM(Tabla1[[#This Row],[Articulo]])</f>
        <v>7798362410546</v>
      </c>
      <c r="Q119" s="22" t="str">
        <f>_xlfn.XLOOKUP(Tabla1[[#This Row],[Ean Normalizado]],tabla_consumos[EAN],tabla_consumos[Familia])</f>
        <v>COFIAS</v>
      </c>
      <c r="R119" s="22">
        <f>_xlfn.XLOOKUP(Tabla1[[#This Row],[Ean Normalizado]],tabla_consumos[EAN],tabla_consumos[UM])</f>
        <v>100</v>
      </c>
      <c r="S119" s="22">
        <f>Tabla1[[#This Row],[StockDisp]]*Tabla1[[#This Row],[UM producto]]</f>
        <v>41700</v>
      </c>
    </row>
    <row r="120" spans="1:19" x14ac:dyDescent="0.35">
      <c r="A120" s="37">
        <v>5</v>
      </c>
      <c r="B120" s="37" t="s">
        <v>310</v>
      </c>
      <c r="C120" s="37" t="s">
        <v>311</v>
      </c>
      <c r="D120" s="37" t="s">
        <v>693</v>
      </c>
      <c r="E120" s="37" t="s">
        <v>694</v>
      </c>
      <c r="F120" s="37">
        <v>4077169</v>
      </c>
      <c r="G120" s="37" t="s">
        <v>695</v>
      </c>
      <c r="H120" s="37" t="s">
        <v>315</v>
      </c>
      <c r="I120" s="37">
        <v>126</v>
      </c>
      <c r="J120" s="37">
        <v>0</v>
      </c>
      <c r="K120" s="37">
        <v>0</v>
      </c>
      <c r="L120" s="37">
        <v>0</v>
      </c>
      <c r="M120" s="37">
        <v>0</v>
      </c>
      <c r="N120" s="37">
        <v>0</v>
      </c>
      <c r="O120" s="37">
        <v>126</v>
      </c>
      <c r="P120" s="22" t="str">
        <f>TRIM(Tabla1[[#This Row],[Articulo]])</f>
        <v>7790387800203</v>
      </c>
      <c r="Q120" s="22" t="e">
        <f>_xlfn.XLOOKUP(Tabla1[[#This Row],[Ean Normalizado]],tabla_consumos[EAN],tabla_consumos[Familia])</f>
        <v>#N/A</v>
      </c>
      <c r="R120" s="22" t="e">
        <f>_xlfn.XLOOKUP(Tabla1[[#This Row],[Ean Normalizado]],tabla_consumos[EAN],tabla_consumos[UM])</f>
        <v>#N/A</v>
      </c>
      <c r="S120" s="22" t="e">
        <f>Tabla1[[#This Row],[StockDisp]]*Tabla1[[#This Row],[UM producto]]</f>
        <v>#N/A</v>
      </c>
    </row>
    <row r="121" spans="1:19" x14ac:dyDescent="0.35">
      <c r="A121" s="37">
        <v>5</v>
      </c>
      <c r="B121" s="37" t="s">
        <v>310</v>
      </c>
      <c r="C121" s="37" t="s">
        <v>311</v>
      </c>
      <c r="D121" s="37"/>
      <c r="E121" s="37" t="s">
        <v>672</v>
      </c>
      <c r="F121" s="37">
        <v>4001131</v>
      </c>
      <c r="G121" s="37" t="s">
        <v>673</v>
      </c>
      <c r="H121" s="37" t="s">
        <v>346</v>
      </c>
      <c r="I121" s="37">
        <v>82</v>
      </c>
      <c r="J121" s="37">
        <v>0</v>
      </c>
      <c r="K121" s="37">
        <v>0</v>
      </c>
      <c r="L121" s="37">
        <v>0</v>
      </c>
      <c r="M121" s="37">
        <v>40</v>
      </c>
      <c r="N121" s="37">
        <v>0</v>
      </c>
      <c r="O121" s="37">
        <v>42</v>
      </c>
      <c r="P121" s="22" t="str">
        <f>TRIM(Tabla1[[#This Row],[Articulo]])</f>
        <v>4001131</v>
      </c>
      <c r="Q121" s="22" t="e">
        <f>_xlfn.XLOOKUP(Tabla1[[#This Row],[Ean Normalizado]],tabla_consumos[EAN],tabla_consumos[Familia])</f>
        <v>#N/A</v>
      </c>
      <c r="R121" s="22" t="e">
        <f>_xlfn.XLOOKUP(Tabla1[[#This Row],[Ean Normalizado]],tabla_consumos[EAN],tabla_consumos[UM])</f>
        <v>#N/A</v>
      </c>
      <c r="S121" s="22" t="e">
        <f>Tabla1[[#This Row],[StockDisp]]*Tabla1[[#This Row],[UM producto]]</f>
        <v>#N/A</v>
      </c>
    </row>
    <row r="122" spans="1:19" x14ac:dyDescent="0.35">
      <c r="A122" s="37">
        <v>5</v>
      </c>
      <c r="B122" s="37" t="s">
        <v>310</v>
      </c>
      <c r="C122" s="37" t="s">
        <v>311</v>
      </c>
      <c r="D122" s="37" t="s">
        <v>813</v>
      </c>
      <c r="E122" s="37" t="s">
        <v>814</v>
      </c>
      <c r="F122" s="37">
        <v>4020682</v>
      </c>
      <c r="G122" s="37" t="s">
        <v>815</v>
      </c>
      <c r="H122" s="37" t="s">
        <v>315</v>
      </c>
      <c r="I122" s="37">
        <v>2460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37">
        <v>2460</v>
      </c>
      <c r="P122" s="22" t="str">
        <f>TRIM(Tabla1[[#This Row],[Articulo]])</f>
        <v>7792180001665</v>
      </c>
      <c r="Q122" s="22" t="e">
        <f>_xlfn.XLOOKUP(Tabla1[[#This Row],[Ean Normalizado]],tabla_consumos[EAN],tabla_consumos[Familia])</f>
        <v>#N/A</v>
      </c>
      <c r="R122" s="22" t="e">
        <f>_xlfn.XLOOKUP(Tabla1[[#This Row],[Ean Normalizado]],tabla_consumos[EAN],tabla_consumos[UM])</f>
        <v>#N/A</v>
      </c>
      <c r="S122" s="22" t="e">
        <f>Tabla1[[#This Row],[StockDisp]]*Tabla1[[#This Row],[UM producto]]</f>
        <v>#N/A</v>
      </c>
    </row>
    <row r="123" spans="1:19" x14ac:dyDescent="0.35">
      <c r="A123" s="37">
        <v>6</v>
      </c>
      <c r="B123" s="37" t="s">
        <v>319</v>
      </c>
      <c r="C123" s="37" t="s">
        <v>311</v>
      </c>
      <c r="D123" s="37" t="s">
        <v>332</v>
      </c>
      <c r="E123" s="37" t="s">
        <v>816</v>
      </c>
      <c r="F123" s="37">
        <v>2016598</v>
      </c>
      <c r="G123" s="37" t="s">
        <v>271</v>
      </c>
      <c r="H123" s="37" t="s">
        <v>315</v>
      </c>
      <c r="I123" s="37">
        <v>28</v>
      </c>
      <c r="J123" s="37">
        <v>0</v>
      </c>
      <c r="K123" s="37">
        <v>0</v>
      </c>
      <c r="L123" s="37">
        <v>0</v>
      </c>
      <c r="M123" s="37">
        <v>0</v>
      </c>
      <c r="N123" s="37">
        <v>0</v>
      </c>
      <c r="O123" s="37">
        <v>28</v>
      </c>
      <c r="P123" s="22" t="str">
        <f>TRIM(Tabla1[[#This Row],[Articulo]])</f>
        <v>7794459001383</v>
      </c>
      <c r="Q123" s="22" t="str">
        <f>_xlfn.XLOOKUP(Tabla1[[#This Row],[Ean Normalizado]],tabla_consumos[EAN],tabla_consumos[Familia])</f>
        <v>ARRANQUE 15x20</v>
      </c>
      <c r="R123" s="22">
        <f>_xlfn.XLOOKUP(Tabla1[[#This Row],[Ean Normalizado]],tabla_consumos[EAN],tabla_consumos[UM])</f>
        <v>12</v>
      </c>
      <c r="S123" s="22">
        <f>Tabla1[[#This Row],[StockDisp]]*Tabla1[[#This Row],[UM producto]]</f>
        <v>336</v>
      </c>
    </row>
    <row r="124" spans="1:19" x14ac:dyDescent="0.35">
      <c r="A124" s="37">
        <v>6</v>
      </c>
      <c r="B124" s="37" t="s">
        <v>319</v>
      </c>
      <c r="C124" s="37" t="s">
        <v>311</v>
      </c>
      <c r="D124" s="37"/>
      <c r="E124" s="37" t="s">
        <v>392</v>
      </c>
      <c r="F124" s="37">
        <v>2007209</v>
      </c>
      <c r="G124" s="37" t="s">
        <v>393</v>
      </c>
      <c r="H124" s="37" t="s">
        <v>315</v>
      </c>
      <c r="I124" s="37">
        <v>46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37">
        <v>46</v>
      </c>
      <c r="P124" s="22" t="str">
        <f>TRIM(Tabla1[[#This Row],[Articulo]])</f>
        <v>7795618000193</v>
      </c>
      <c r="Q124" s="22" t="str">
        <f>_xlfn.XLOOKUP(Tabla1[[#This Row],[Ean Normalizado]],tabla_consumos[EAN],tabla_consumos[Familia])</f>
        <v>ARRANQUE 20x30</v>
      </c>
      <c r="R124" s="22">
        <f>_xlfn.XLOOKUP(Tabla1[[#This Row],[Ean Normalizado]],tabla_consumos[EAN],tabla_consumos[UM])</f>
        <v>12</v>
      </c>
      <c r="S124" s="22">
        <f>Tabla1[[#This Row],[StockDisp]]*Tabla1[[#This Row],[UM producto]]</f>
        <v>552</v>
      </c>
    </row>
    <row r="125" spans="1:19" x14ac:dyDescent="0.35">
      <c r="A125" s="37">
        <v>6</v>
      </c>
      <c r="B125" s="37" t="s">
        <v>319</v>
      </c>
      <c r="C125" s="37" t="s">
        <v>311</v>
      </c>
      <c r="D125" s="37"/>
      <c r="E125" s="37" t="s">
        <v>671</v>
      </c>
      <c r="F125" s="37">
        <v>2007144</v>
      </c>
      <c r="G125" s="37" t="s">
        <v>273</v>
      </c>
      <c r="H125" s="37" t="s">
        <v>315</v>
      </c>
      <c r="I125" s="37">
        <v>15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37">
        <v>15</v>
      </c>
      <c r="P125" s="22" t="str">
        <f>TRIM(Tabla1[[#This Row],[Articulo]])</f>
        <v>7790000000240</v>
      </c>
      <c r="Q125" s="22" t="str">
        <f>_xlfn.XLOOKUP(Tabla1[[#This Row],[Ean Normalizado]],tabla_consumos[EAN],tabla_consumos[Familia])</f>
        <v>ARRANQUE 20x30</v>
      </c>
      <c r="R125" s="22">
        <f>_xlfn.XLOOKUP(Tabla1[[#This Row],[Ean Normalizado]],tabla_consumos[EAN],tabla_consumos[UM])</f>
        <v>12</v>
      </c>
      <c r="S125" s="22">
        <f>Tabla1[[#This Row],[StockDisp]]*Tabla1[[#This Row],[UM producto]]</f>
        <v>180</v>
      </c>
    </row>
    <row r="126" spans="1:19" x14ac:dyDescent="0.35">
      <c r="A126" s="37">
        <v>5</v>
      </c>
      <c r="B126" s="37" t="s">
        <v>310</v>
      </c>
      <c r="C126" s="37" t="s">
        <v>311</v>
      </c>
      <c r="D126" s="37" t="s">
        <v>316</v>
      </c>
      <c r="E126" s="37" t="s">
        <v>709</v>
      </c>
      <c r="F126" s="37">
        <v>4048925</v>
      </c>
      <c r="G126" s="37" t="s">
        <v>710</v>
      </c>
      <c r="H126" s="37" t="s">
        <v>315</v>
      </c>
      <c r="I126" s="37">
        <v>800</v>
      </c>
      <c r="J126" s="37">
        <v>0</v>
      </c>
      <c r="K126" s="37">
        <v>0</v>
      </c>
      <c r="L126" s="37">
        <v>0</v>
      </c>
      <c r="M126" s="37">
        <v>0</v>
      </c>
      <c r="N126" s="37">
        <v>0</v>
      </c>
      <c r="O126" s="37">
        <v>800</v>
      </c>
      <c r="P126" s="22" t="str">
        <f>TRIM(Tabla1[[#This Row],[Articulo]])</f>
        <v>7790387013627</v>
      </c>
      <c r="Q126" s="22" t="e">
        <f>_xlfn.XLOOKUP(Tabla1[[#This Row],[Ean Normalizado]],tabla_consumos[EAN],tabla_consumos[Familia])</f>
        <v>#N/A</v>
      </c>
      <c r="R126" s="22" t="e">
        <f>_xlfn.XLOOKUP(Tabla1[[#This Row],[Ean Normalizado]],tabla_consumos[EAN],tabla_consumos[UM])</f>
        <v>#N/A</v>
      </c>
      <c r="S126" s="22" t="e">
        <f>Tabla1[[#This Row],[StockDisp]]*Tabla1[[#This Row],[UM producto]]</f>
        <v>#N/A</v>
      </c>
    </row>
    <row r="127" spans="1:19" x14ac:dyDescent="0.35">
      <c r="A127" s="37">
        <v>6</v>
      </c>
      <c r="B127" s="37" t="s">
        <v>319</v>
      </c>
      <c r="C127" s="37" t="s">
        <v>311</v>
      </c>
      <c r="D127" s="37" t="s">
        <v>980</v>
      </c>
      <c r="E127" s="37" t="s">
        <v>981</v>
      </c>
      <c r="F127" s="37">
        <v>2006627</v>
      </c>
      <c r="G127" s="37" t="s">
        <v>982</v>
      </c>
      <c r="H127" s="37" t="s">
        <v>315</v>
      </c>
      <c r="I127" s="37">
        <v>0</v>
      </c>
      <c r="J127" s="37">
        <v>500</v>
      </c>
      <c r="K127" s="37">
        <v>500</v>
      </c>
      <c r="L127" s="37">
        <v>0</v>
      </c>
      <c r="M127" s="37">
        <v>0</v>
      </c>
      <c r="N127" s="37">
        <v>0</v>
      </c>
      <c r="O127" s="37">
        <v>0</v>
      </c>
      <c r="P127" s="22" t="str">
        <f>TRIM(Tabla1[[#This Row],[Articulo]])</f>
        <v>7790520028747</v>
      </c>
      <c r="Q127" s="22" t="e">
        <f>_xlfn.XLOOKUP(Tabla1[[#This Row],[Ean Normalizado]],tabla_consumos[EAN],tabla_consumos[Familia])</f>
        <v>#N/A</v>
      </c>
      <c r="R127" s="22" t="e">
        <f>_xlfn.XLOOKUP(Tabla1[[#This Row],[Ean Normalizado]],tabla_consumos[EAN],tabla_consumos[UM])</f>
        <v>#N/A</v>
      </c>
      <c r="S127" s="22" t="e">
        <f>Tabla1[[#This Row],[StockDisp]]*Tabla1[[#This Row],[UM producto]]</f>
        <v>#N/A</v>
      </c>
    </row>
    <row r="128" spans="1:19" x14ac:dyDescent="0.35">
      <c r="A128" s="37">
        <v>6</v>
      </c>
      <c r="B128" s="37" t="s">
        <v>319</v>
      </c>
      <c r="C128" s="37" t="s">
        <v>311</v>
      </c>
      <c r="D128" s="37" t="s">
        <v>424</v>
      </c>
      <c r="E128" s="37" t="s">
        <v>711</v>
      </c>
      <c r="F128" s="37">
        <v>2007509</v>
      </c>
      <c r="G128" s="37" t="s">
        <v>712</v>
      </c>
      <c r="H128" s="37" t="s">
        <v>315</v>
      </c>
      <c r="I128" s="37">
        <v>300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37">
        <v>300</v>
      </c>
      <c r="P128" s="22" t="str">
        <f>TRIM(Tabla1[[#This Row],[Articulo]])</f>
        <v>7790000000483</v>
      </c>
      <c r="Q128" s="22" t="e">
        <f>_xlfn.XLOOKUP(Tabla1[[#This Row],[Ean Normalizado]],tabla_consumos[EAN],tabla_consumos[Familia])</f>
        <v>#N/A</v>
      </c>
      <c r="R128" s="22" t="e">
        <f>_xlfn.XLOOKUP(Tabla1[[#This Row],[Ean Normalizado]],tabla_consumos[EAN],tabla_consumos[UM])</f>
        <v>#N/A</v>
      </c>
      <c r="S128" s="22" t="e">
        <f>Tabla1[[#This Row],[StockDisp]]*Tabla1[[#This Row],[UM producto]]</f>
        <v>#N/A</v>
      </c>
    </row>
    <row r="129" spans="1:19" x14ac:dyDescent="0.35">
      <c r="A129" s="37">
        <v>6</v>
      </c>
      <c r="B129" s="37" t="s">
        <v>319</v>
      </c>
      <c r="C129" s="37" t="s">
        <v>311</v>
      </c>
      <c r="D129" s="37"/>
      <c r="E129" s="37" t="s">
        <v>717</v>
      </c>
      <c r="F129" s="37">
        <v>2007131</v>
      </c>
      <c r="G129" s="37" t="s">
        <v>718</v>
      </c>
      <c r="H129" s="37" t="s">
        <v>315</v>
      </c>
      <c r="I129" s="37">
        <v>42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37">
        <v>42</v>
      </c>
      <c r="P129" s="22" t="str">
        <f>TRIM(Tabla1[[#This Row],[Articulo]])</f>
        <v>7790000000255</v>
      </c>
      <c r="Q129" s="22" t="str">
        <f>_xlfn.XLOOKUP(Tabla1[[#This Row],[Ean Normalizado]],tabla_consumos[EAN],tabla_consumos[Familia])</f>
        <v>VASO PLASTICO 165CC</v>
      </c>
      <c r="R129" s="22">
        <f>_xlfn.XLOOKUP(Tabla1[[#This Row],[Ean Normalizado]],tabla_consumos[EAN],tabla_consumos[UM])</f>
        <v>3000</v>
      </c>
      <c r="S129" s="22">
        <f>Tabla1[[#This Row],[StockDisp]]*Tabla1[[#This Row],[UM producto]]</f>
        <v>126000</v>
      </c>
    </row>
    <row r="130" spans="1:19" x14ac:dyDescent="0.35">
      <c r="A130" s="37">
        <v>6</v>
      </c>
      <c r="B130" s="37" t="s">
        <v>319</v>
      </c>
      <c r="C130" s="37" t="s">
        <v>311</v>
      </c>
      <c r="D130" s="37"/>
      <c r="E130" s="37" t="s">
        <v>914</v>
      </c>
      <c r="F130" s="37">
        <v>2016759</v>
      </c>
      <c r="G130" s="37" t="s">
        <v>915</v>
      </c>
      <c r="H130" s="37" t="s">
        <v>315</v>
      </c>
      <c r="I130" s="37">
        <v>3000</v>
      </c>
      <c r="J130" s="37">
        <v>0</v>
      </c>
      <c r="K130" s="37">
        <v>0</v>
      </c>
      <c r="L130" s="37">
        <v>10</v>
      </c>
      <c r="M130" s="37">
        <v>20</v>
      </c>
      <c r="N130" s="37">
        <v>0</v>
      </c>
      <c r="O130" s="37">
        <v>2970</v>
      </c>
      <c r="P130" s="22" t="str">
        <f>TRIM(Tabla1[[#This Row],[Articulo]])</f>
        <v>7798092964043</v>
      </c>
      <c r="Q130" s="22" t="e">
        <f>_xlfn.XLOOKUP(Tabla1[[#This Row],[Ean Normalizado]],tabla_consumos[EAN],tabla_consumos[Familia])</f>
        <v>#N/A</v>
      </c>
      <c r="R130" s="22" t="e">
        <f>_xlfn.XLOOKUP(Tabla1[[#This Row],[Ean Normalizado]],tabla_consumos[EAN],tabla_consumos[UM])</f>
        <v>#N/A</v>
      </c>
      <c r="S130" s="22" t="e">
        <f>Tabla1[[#This Row],[StockDisp]]*Tabla1[[#This Row],[UM producto]]</f>
        <v>#N/A</v>
      </c>
    </row>
    <row r="131" spans="1:19" x14ac:dyDescent="0.35">
      <c r="A131" s="37">
        <v>6</v>
      </c>
      <c r="B131" s="37" t="s">
        <v>319</v>
      </c>
      <c r="C131" s="37" t="s">
        <v>311</v>
      </c>
      <c r="D131" s="37" t="s">
        <v>905</v>
      </c>
      <c r="E131" s="37" t="s">
        <v>906</v>
      </c>
      <c r="F131" s="37">
        <v>2007522</v>
      </c>
      <c r="G131" s="37" t="s">
        <v>907</v>
      </c>
      <c r="H131" s="37" t="s">
        <v>315</v>
      </c>
      <c r="I131" s="37">
        <v>19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37">
        <v>19</v>
      </c>
      <c r="P131" s="22" t="str">
        <f>TRIM(Tabla1[[#This Row],[Articulo]])</f>
        <v>7790520996138</v>
      </c>
      <c r="Q131" s="22" t="e">
        <f>_xlfn.XLOOKUP(Tabla1[[#This Row],[Ean Normalizado]],tabla_consumos[EAN],tabla_consumos[Familia])</f>
        <v>#N/A</v>
      </c>
      <c r="R131" s="22" t="e">
        <f>_xlfn.XLOOKUP(Tabla1[[#This Row],[Ean Normalizado]],tabla_consumos[EAN],tabla_consumos[UM])</f>
        <v>#N/A</v>
      </c>
      <c r="S131" s="22" t="e">
        <f>Tabla1[[#This Row],[StockDisp]]*Tabla1[[#This Row],[UM producto]]</f>
        <v>#N/A</v>
      </c>
    </row>
    <row r="132" spans="1:19" x14ac:dyDescent="0.35">
      <c r="A132" s="37">
        <v>6</v>
      </c>
      <c r="B132" s="37" t="s">
        <v>319</v>
      </c>
      <c r="C132" s="37" t="s">
        <v>311</v>
      </c>
      <c r="D132" s="37" t="s">
        <v>427</v>
      </c>
      <c r="E132" s="37" t="s">
        <v>908</v>
      </c>
      <c r="F132" s="37">
        <v>2007169</v>
      </c>
      <c r="G132" s="37" t="s">
        <v>909</v>
      </c>
      <c r="H132" s="37" t="s">
        <v>315</v>
      </c>
      <c r="I132" s="37">
        <v>176</v>
      </c>
      <c r="J132" s="37">
        <v>200</v>
      </c>
      <c r="K132" s="37">
        <v>0</v>
      </c>
      <c r="L132" s="37">
        <v>0</v>
      </c>
      <c r="M132" s="37">
        <v>8</v>
      </c>
      <c r="N132" s="37">
        <v>0</v>
      </c>
      <c r="O132" s="37">
        <v>368</v>
      </c>
      <c r="P132" s="22" t="str">
        <f>TRIM(Tabla1[[#This Row],[Articulo]])</f>
        <v>7790000000209</v>
      </c>
      <c r="Q132" s="22" t="e">
        <f>_xlfn.XLOOKUP(Tabla1[[#This Row],[Ean Normalizado]],tabla_consumos[EAN],tabla_consumos[Familia])</f>
        <v>#N/A</v>
      </c>
      <c r="R132" s="22" t="e">
        <f>_xlfn.XLOOKUP(Tabla1[[#This Row],[Ean Normalizado]],tabla_consumos[EAN],tabla_consumos[UM])</f>
        <v>#N/A</v>
      </c>
      <c r="S132" s="22" t="e">
        <f>Tabla1[[#This Row],[StockDisp]]*Tabla1[[#This Row],[UM producto]]</f>
        <v>#N/A</v>
      </c>
    </row>
    <row r="133" spans="1:19" x14ac:dyDescent="0.35">
      <c r="A133" s="37">
        <v>5</v>
      </c>
      <c r="B133" s="37" t="s">
        <v>310</v>
      </c>
      <c r="C133" s="37" t="s">
        <v>311</v>
      </c>
      <c r="D133" s="37"/>
      <c r="E133" s="37" t="s">
        <v>381</v>
      </c>
      <c r="F133" s="37">
        <v>4001223</v>
      </c>
      <c r="G133" s="37" t="s">
        <v>382</v>
      </c>
      <c r="H133" s="37" t="s">
        <v>346</v>
      </c>
      <c r="I133" s="37">
        <v>233</v>
      </c>
      <c r="J133" s="37">
        <v>0</v>
      </c>
      <c r="K133" s="37">
        <v>0</v>
      </c>
      <c r="L133" s="37">
        <v>16</v>
      </c>
      <c r="M133" s="37">
        <v>173</v>
      </c>
      <c r="N133" s="37">
        <v>0</v>
      </c>
      <c r="O133" s="37">
        <v>44</v>
      </c>
      <c r="P133" s="22" t="str">
        <f>TRIM(Tabla1[[#This Row],[Articulo]])</f>
        <v>4001223</v>
      </c>
      <c r="Q133" s="22" t="e">
        <f>_xlfn.XLOOKUP(Tabla1[[#This Row],[Ean Normalizado]],tabla_consumos[EAN],tabla_consumos[Familia])</f>
        <v>#N/A</v>
      </c>
      <c r="R133" s="22" t="e">
        <f>_xlfn.XLOOKUP(Tabla1[[#This Row],[Ean Normalizado]],tabla_consumos[EAN],tabla_consumos[UM])</f>
        <v>#N/A</v>
      </c>
      <c r="S133" s="22" t="e">
        <f>Tabla1[[#This Row],[StockDisp]]*Tabla1[[#This Row],[UM producto]]</f>
        <v>#N/A</v>
      </c>
    </row>
    <row r="134" spans="1:19" x14ac:dyDescent="0.35">
      <c r="A134" s="37">
        <v>6</v>
      </c>
      <c r="B134" s="37" t="s">
        <v>319</v>
      </c>
      <c r="C134" s="37" t="s">
        <v>311</v>
      </c>
      <c r="D134" s="37" t="s">
        <v>609</v>
      </c>
      <c r="E134" s="37" t="s">
        <v>610</v>
      </c>
      <c r="F134" s="37">
        <v>2007424</v>
      </c>
      <c r="G134" s="37" t="s">
        <v>611</v>
      </c>
      <c r="H134" s="37" t="s">
        <v>315</v>
      </c>
      <c r="I134" s="37">
        <v>20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37">
        <v>20</v>
      </c>
      <c r="P134" s="22" t="str">
        <f>TRIM(Tabla1[[#This Row],[Articulo]])</f>
        <v>7798057860274</v>
      </c>
      <c r="Q134" s="22" t="e">
        <f>_xlfn.XLOOKUP(Tabla1[[#This Row],[Ean Normalizado]],tabla_consumos[EAN],tabla_consumos[Familia])</f>
        <v>#N/A</v>
      </c>
      <c r="R134" s="22" t="e">
        <f>_xlfn.XLOOKUP(Tabla1[[#This Row],[Ean Normalizado]],tabla_consumos[EAN],tabla_consumos[UM])</f>
        <v>#N/A</v>
      </c>
      <c r="S134" s="22" t="e">
        <f>Tabla1[[#This Row],[StockDisp]]*Tabla1[[#This Row],[UM producto]]</f>
        <v>#N/A</v>
      </c>
    </row>
    <row r="135" spans="1:19" x14ac:dyDescent="0.35">
      <c r="A135" s="37">
        <v>6</v>
      </c>
      <c r="B135" s="37" t="s">
        <v>319</v>
      </c>
      <c r="C135" s="37" t="s">
        <v>311</v>
      </c>
      <c r="D135" s="37" t="s">
        <v>719</v>
      </c>
      <c r="E135" s="37" t="s">
        <v>720</v>
      </c>
      <c r="F135" s="37">
        <v>2006222</v>
      </c>
      <c r="G135" s="37" t="s">
        <v>721</v>
      </c>
      <c r="H135" s="37" t="s">
        <v>315</v>
      </c>
      <c r="I135" s="37">
        <v>0</v>
      </c>
      <c r="J135" s="37">
        <v>195</v>
      </c>
      <c r="K135" s="37">
        <v>0</v>
      </c>
      <c r="L135" s="37">
        <v>0</v>
      </c>
      <c r="M135" s="37">
        <v>0</v>
      </c>
      <c r="N135" s="37">
        <v>0</v>
      </c>
      <c r="O135" s="37">
        <v>195</v>
      </c>
      <c r="P135" s="22" t="str">
        <f>TRIM(Tabla1[[#This Row],[Articulo]])</f>
        <v>7790321000060</v>
      </c>
      <c r="Q135" s="22" t="e">
        <f>_xlfn.XLOOKUP(Tabla1[[#This Row],[Ean Normalizado]],tabla_consumos[EAN],tabla_consumos[Familia])</f>
        <v>#N/A</v>
      </c>
      <c r="R135" s="22" t="e">
        <f>_xlfn.XLOOKUP(Tabla1[[#This Row],[Ean Normalizado]],tabla_consumos[EAN],tabla_consumos[UM])</f>
        <v>#N/A</v>
      </c>
      <c r="S135" s="22" t="e">
        <f>Tabla1[[#This Row],[StockDisp]]*Tabla1[[#This Row],[UM producto]]</f>
        <v>#N/A</v>
      </c>
    </row>
    <row r="136" spans="1:19" x14ac:dyDescent="0.35">
      <c r="A136" s="37">
        <v>5</v>
      </c>
      <c r="B136" s="37" t="s">
        <v>310</v>
      </c>
      <c r="C136" s="37" t="s">
        <v>311</v>
      </c>
      <c r="D136" s="37" t="s">
        <v>722</v>
      </c>
      <c r="E136" s="37" t="s">
        <v>723</v>
      </c>
      <c r="F136" s="37">
        <v>4022671</v>
      </c>
      <c r="G136" s="37" t="s">
        <v>724</v>
      </c>
      <c r="H136" s="37" t="s">
        <v>315</v>
      </c>
      <c r="I136" s="37">
        <v>126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37">
        <v>126</v>
      </c>
      <c r="P136" s="22" t="str">
        <f>TRIM(Tabla1[[#This Row],[Articulo]])</f>
        <v>7790387001433</v>
      </c>
      <c r="Q136" s="22" t="e">
        <f>_xlfn.XLOOKUP(Tabla1[[#This Row],[Ean Normalizado]],tabla_consumos[EAN],tabla_consumos[Familia])</f>
        <v>#N/A</v>
      </c>
      <c r="R136" s="22" t="e">
        <f>_xlfn.XLOOKUP(Tabla1[[#This Row],[Ean Normalizado]],tabla_consumos[EAN],tabla_consumos[UM])</f>
        <v>#N/A</v>
      </c>
      <c r="S136" s="22" t="e">
        <f>Tabla1[[#This Row],[StockDisp]]*Tabla1[[#This Row],[UM producto]]</f>
        <v>#N/A</v>
      </c>
    </row>
    <row r="137" spans="1:19" x14ac:dyDescent="0.35">
      <c r="A137" s="37">
        <v>5</v>
      </c>
      <c r="B137" s="37" t="s">
        <v>310</v>
      </c>
      <c r="C137" s="37" t="s">
        <v>311</v>
      </c>
      <c r="D137" s="37"/>
      <c r="E137" s="37" t="s">
        <v>707</v>
      </c>
      <c r="F137" s="37">
        <v>4021207</v>
      </c>
      <c r="G137" s="37" t="s">
        <v>708</v>
      </c>
      <c r="H137" s="37" t="s">
        <v>315</v>
      </c>
      <c r="I137" s="37">
        <v>908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37">
        <v>908</v>
      </c>
      <c r="P137" s="22" t="str">
        <f>TRIM(Tabla1[[#This Row],[Articulo]])</f>
        <v>7798411013148</v>
      </c>
      <c r="Q137" s="22" t="e">
        <f>_xlfn.XLOOKUP(Tabla1[[#This Row],[Ean Normalizado]],tabla_consumos[EAN],tabla_consumos[Familia])</f>
        <v>#N/A</v>
      </c>
      <c r="R137" s="22" t="e">
        <f>_xlfn.XLOOKUP(Tabla1[[#This Row],[Ean Normalizado]],tabla_consumos[EAN],tabla_consumos[UM])</f>
        <v>#N/A</v>
      </c>
      <c r="S137" s="22" t="e">
        <f>Tabla1[[#This Row],[StockDisp]]*Tabla1[[#This Row],[UM producto]]</f>
        <v>#N/A</v>
      </c>
    </row>
    <row r="138" spans="1:19" x14ac:dyDescent="0.35">
      <c r="A138" s="37">
        <v>6</v>
      </c>
      <c r="B138" s="37" t="s">
        <v>319</v>
      </c>
      <c r="C138" s="37" t="s">
        <v>311</v>
      </c>
      <c r="D138" s="37" t="s">
        <v>562</v>
      </c>
      <c r="E138" s="37" t="s">
        <v>563</v>
      </c>
      <c r="F138" s="37">
        <v>2007410</v>
      </c>
      <c r="G138" s="37" t="s">
        <v>564</v>
      </c>
      <c r="H138" s="37" t="s">
        <v>315</v>
      </c>
      <c r="I138" s="37">
        <v>39</v>
      </c>
      <c r="J138" s="37">
        <v>0</v>
      </c>
      <c r="K138" s="37">
        <v>39</v>
      </c>
      <c r="L138" s="37">
        <v>0</v>
      </c>
      <c r="M138" s="37">
        <v>0</v>
      </c>
      <c r="N138" s="37">
        <v>0</v>
      </c>
      <c r="O138" s="37">
        <v>0</v>
      </c>
      <c r="P138" s="22" t="str">
        <f>TRIM(Tabla1[[#This Row],[Articulo]])</f>
        <v>7798057860489</v>
      </c>
      <c r="Q138" s="22" t="e">
        <f>_xlfn.XLOOKUP(Tabla1[[#This Row],[Ean Normalizado]],tabla_consumos[EAN],tabla_consumos[Familia])</f>
        <v>#N/A</v>
      </c>
      <c r="R138" s="22" t="e">
        <f>_xlfn.XLOOKUP(Tabla1[[#This Row],[Ean Normalizado]],tabla_consumos[EAN],tabla_consumos[UM])</f>
        <v>#N/A</v>
      </c>
      <c r="S138" s="22" t="e">
        <f>Tabla1[[#This Row],[StockDisp]]*Tabla1[[#This Row],[UM producto]]</f>
        <v>#N/A</v>
      </c>
    </row>
    <row r="139" spans="1:19" x14ac:dyDescent="0.35">
      <c r="A139" s="37">
        <v>6</v>
      </c>
      <c r="B139" s="37" t="s">
        <v>319</v>
      </c>
      <c r="C139" s="37" t="s">
        <v>311</v>
      </c>
      <c r="D139" s="37"/>
      <c r="E139" s="37" t="s">
        <v>432</v>
      </c>
      <c r="F139" s="37">
        <v>2007457</v>
      </c>
      <c r="G139" s="37" t="s">
        <v>433</v>
      </c>
      <c r="H139" s="37" t="s">
        <v>315</v>
      </c>
      <c r="I139" s="37">
        <v>6</v>
      </c>
      <c r="J139" s="37">
        <v>0</v>
      </c>
      <c r="K139" s="37">
        <v>0</v>
      </c>
      <c r="L139" s="37">
        <v>0</v>
      </c>
      <c r="M139" s="37">
        <v>0</v>
      </c>
      <c r="N139" s="37">
        <v>0</v>
      </c>
      <c r="O139" s="37">
        <v>6</v>
      </c>
      <c r="P139" s="22" t="str">
        <f>TRIM(Tabla1[[#This Row],[Articulo]])</f>
        <v>7790520025746</v>
      </c>
      <c r="Q139" s="22" t="e">
        <f>_xlfn.XLOOKUP(Tabla1[[#This Row],[Ean Normalizado]],tabla_consumos[EAN],tabla_consumos[Familia])</f>
        <v>#N/A</v>
      </c>
      <c r="R139" s="22" t="e">
        <f>_xlfn.XLOOKUP(Tabla1[[#This Row],[Ean Normalizado]],tabla_consumos[EAN],tabla_consumos[UM])</f>
        <v>#N/A</v>
      </c>
      <c r="S139" s="22" t="e">
        <f>Tabla1[[#This Row],[StockDisp]]*Tabla1[[#This Row],[UM producto]]</f>
        <v>#N/A</v>
      </c>
    </row>
    <row r="140" spans="1:19" x14ac:dyDescent="0.35">
      <c r="A140" s="37">
        <v>6</v>
      </c>
      <c r="B140" s="37" t="s">
        <v>319</v>
      </c>
      <c r="C140" s="37" t="s">
        <v>311</v>
      </c>
      <c r="D140" s="37" t="s">
        <v>750</v>
      </c>
      <c r="E140" s="37" t="s">
        <v>776</v>
      </c>
      <c r="F140" s="37">
        <v>2006735</v>
      </c>
      <c r="G140" s="37" t="s">
        <v>283</v>
      </c>
      <c r="H140" s="37" t="s">
        <v>315</v>
      </c>
      <c r="I140" s="37">
        <v>471</v>
      </c>
      <c r="J140" s="37">
        <v>0</v>
      </c>
      <c r="K140" s="37">
        <v>0</v>
      </c>
      <c r="L140" s="37">
        <v>0</v>
      </c>
      <c r="M140" s="37">
        <v>0</v>
      </c>
      <c r="N140" s="37">
        <v>0</v>
      </c>
      <c r="O140" s="37">
        <v>471</v>
      </c>
      <c r="P140" s="22" t="str">
        <f>TRIM(Tabla1[[#This Row],[Articulo]])</f>
        <v>4968420500356</v>
      </c>
      <c r="Q140" s="22" t="str">
        <f>_xlfn.XLOOKUP(Tabla1[[#This Row],[Ean Normalizado]],tabla_consumos[EAN],tabla_consumos[Familia])</f>
        <v>GUANTE LATEX L</v>
      </c>
      <c r="R140" s="22">
        <f>_xlfn.XLOOKUP(Tabla1[[#This Row],[Ean Normalizado]],tabla_consumos[EAN],tabla_consumos[UM])</f>
        <v>100</v>
      </c>
      <c r="S140" s="22">
        <f>Tabla1[[#This Row],[StockDisp]]*Tabla1[[#This Row],[UM producto]]</f>
        <v>47100</v>
      </c>
    </row>
    <row r="141" spans="1:19" x14ac:dyDescent="0.35">
      <c r="A141" s="37">
        <v>6</v>
      </c>
      <c r="B141" s="37" t="s">
        <v>319</v>
      </c>
      <c r="C141" s="37" t="s">
        <v>311</v>
      </c>
      <c r="D141" s="37" t="s">
        <v>641</v>
      </c>
      <c r="E141" s="37" t="s">
        <v>766</v>
      </c>
      <c r="F141" s="37">
        <v>2006598</v>
      </c>
      <c r="G141" s="37" t="s">
        <v>767</v>
      </c>
      <c r="H141" s="37" t="s">
        <v>315</v>
      </c>
      <c r="I141" s="37">
        <v>0</v>
      </c>
      <c r="J141" s="37">
        <v>1000</v>
      </c>
      <c r="K141" s="37">
        <v>500</v>
      </c>
      <c r="L141" s="37">
        <v>0</v>
      </c>
      <c r="M141" s="37">
        <v>0</v>
      </c>
      <c r="N141" s="37">
        <v>24</v>
      </c>
      <c r="O141" s="37">
        <v>476</v>
      </c>
      <c r="P141" s="22" t="str">
        <f>TRIM(Tabla1[[#This Row],[Articulo]])</f>
        <v>7798188651109</v>
      </c>
      <c r="Q141" s="22" t="e">
        <f>_xlfn.XLOOKUP(Tabla1[[#This Row],[Ean Normalizado]],tabla_consumos[EAN],tabla_consumos[Familia])</f>
        <v>#N/A</v>
      </c>
      <c r="R141" s="22" t="e">
        <f>_xlfn.XLOOKUP(Tabla1[[#This Row],[Ean Normalizado]],tabla_consumos[EAN],tabla_consumos[UM])</f>
        <v>#N/A</v>
      </c>
      <c r="S141" s="22" t="e">
        <f>Tabla1[[#This Row],[StockDisp]]*Tabla1[[#This Row],[UM producto]]</f>
        <v>#N/A</v>
      </c>
    </row>
    <row r="142" spans="1:19" x14ac:dyDescent="0.35">
      <c r="A142" s="37">
        <v>6</v>
      </c>
      <c r="B142" s="37" t="s">
        <v>319</v>
      </c>
      <c r="C142" s="37" t="s">
        <v>311</v>
      </c>
      <c r="D142" s="37" t="s">
        <v>451</v>
      </c>
      <c r="E142" s="37" t="s">
        <v>452</v>
      </c>
      <c r="F142" s="37">
        <v>2007129</v>
      </c>
      <c r="G142" s="37" t="s">
        <v>281</v>
      </c>
      <c r="H142" s="37" t="s">
        <v>315</v>
      </c>
      <c r="I142" s="37">
        <v>45</v>
      </c>
      <c r="J142" s="37">
        <v>0</v>
      </c>
      <c r="K142" s="37">
        <v>0</v>
      </c>
      <c r="L142" s="37">
        <v>2</v>
      </c>
      <c r="M142" s="37">
        <v>2</v>
      </c>
      <c r="N142" s="37">
        <v>0</v>
      </c>
      <c r="O142" s="37">
        <v>41</v>
      </c>
      <c r="P142" s="22" t="str">
        <f>TRIM(Tabla1[[#This Row],[Articulo]])</f>
        <v>0736372273444</v>
      </c>
      <c r="Q142" s="22" t="str">
        <f>_xlfn.XLOOKUP(Tabla1[[#This Row],[Ean Normalizado]],tabla_consumos[EAN],tabla_consumos[Familia])</f>
        <v>ROLLO ALUMINIO 40</v>
      </c>
      <c r="R142" s="22">
        <f>_xlfn.XLOOKUP(Tabla1[[#This Row],[Ean Normalizado]],tabla_consumos[EAN],tabla_consumos[UM])</f>
        <v>1</v>
      </c>
      <c r="S142" s="22">
        <f>Tabla1[[#This Row],[StockDisp]]*Tabla1[[#This Row],[UM producto]]</f>
        <v>41</v>
      </c>
    </row>
    <row r="143" spans="1:19" x14ac:dyDescent="0.35">
      <c r="A143" s="37">
        <v>5</v>
      </c>
      <c r="B143" s="37" t="s">
        <v>310</v>
      </c>
      <c r="C143" s="37" t="s">
        <v>311</v>
      </c>
      <c r="D143" s="37" t="s">
        <v>453</v>
      </c>
      <c r="E143" s="37" t="s">
        <v>454</v>
      </c>
      <c r="F143" s="37">
        <v>4022180</v>
      </c>
      <c r="G143" s="37" t="s">
        <v>455</v>
      </c>
      <c r="H143" s="37" t="s">
        <v>315</v>
      </c>
      <c r="I143" s="37">
        <v>212</v>
      </c>
      <c r="J143" s="37">
        <v>0</v>
      </c>
      <c r="K143" s="37">
        <v>0</v>
      </c>
      <c r="L143" s="37">
        <v>0</v>
      </c>
      <c r="M143" s="37">
        <v>0</v>
      </c>
      <c r="N143" s="37">
        <v>0</v>
      </c>
      <c r="O143" s="37">
        <v>212</v>
      </c>
      <c r="P143" s="22" t="str">
        <f>TRIM(Tabla1[[#This Row],[Articulo]])</f>
        <v>7798011977420</v>
      </c>
      <c r="Q143" s="22" t="e">
        <f>_xlfn.XLOOKUP(Tabla1[[#This Row],[Ean Normalizado]],tabla_consumos[EAN],tabla_consumos[Familia])</f>
        <v>#N/A</v>
      </c>
      <c r="R143" s="22" t="e">
        <f>_xlfn.XLOOKUP(Tabla1[[#This Row],[Ean Normalizado]],tabla_consumos[EAN],tabla_consumos[UM])</f>
        <v>#N/A</v>
      </c>
      <c r="S143" s="22" t="e">
        <f>Tabla1[[#This Row],[StockDisp]]*Tabla1[[#This Row],[UM producto]]</f>
        <v>#N/A</v>
      </c>
    </row>
    <row r="144" spans="1:19" x14ac:dyDescent="0.35">
      <c r="A144" s="37">
        <v>6</v>
      </c>
      <c r="B144" s="37" t="s">
        <v>319</v>
      </c>
      <c r="C144" s="37" t="s">
        <v>311</v>
      </c>
      <c r="D144" s="37" t="s">
        <v>916</v>
      </c>
      <c r="E144" s="37" t="s">
        <v>917</v>
      </c>
      <c r="F144" s="37"/>
      <c r="G144" s="37" t="s">
        <v>918</v>
      </c>
      <c r="H144" s="37" t="s">
        <v>315</v>
      </c>
      <c r="I144" s="37">
        <v>7</v>
      </c>
      <c r="J144" s="37">
        <v>0</v>
      </c>
      <c r="K144" s="37">
        <v>0</v>
      </c>
      <c r="L144" s="37">
        <v>0</v>
      </c>
      <c r="M144" s="37">
        <v>0</v>
      </c>
      <c r="N144" s="37">
        <v>0</v>
      </c>
      <c r="O144" s="37">
        <v>7</v>
      </c>
      <c r="P144" s="22" t="str">
        <f>TRIM(Tabla1[[#This Row],[Articulo]])</f>
        <v>7790001300217</v>
      </c>
      <c r="Q144" s="22" t="e">
        <f>_xlfn.XLOOKUP(Tabla1[[#This Row],[Ean Normalizado]],tabla_consumos[EAN],tabla_consumos[Familia])</f>
        <v>#N/A</v>
      </c>
      <c r="R144" s="22" t="e">
        <f>_xlfn.XLOOKUP(Tabla1[[#This Row],[Ean Normalizado]],tabla_consumos[EAN],tabla_consumos[UM])</f>
        <v>#N/A</v>
      </c>
      <c r="S144" s="22" t="e">
        <f>Tabla1[[#This Row],[StockDisp]]*Tabla1[[#This Row],[UM producto]]</f>
        <v>#N/A</v>
      </c>
    </row>
    <row r="145" spans="1:19" x14ac:dyDescent="0.35">
      <c r="A145" s="37">
        <v>6</v>
      </c>
      <c r="B145" s="37" t="s">
        <v>319</v>
      </c>
      <c r="C145" s="37" t="s">
        <v>311</v>
      </c>
      <c r="D145" s="37"/>
      <c r="E145" s="37" t="s">
        <v>919</v>
      </c>
      <c r="F145" s="37"/>
      <c r="G145" s="37" t="s">
        <v>183</v>
      </c>
      <c r="H145" s="37" t="s">
        <v>315</v>
      </c>
      <c r="I145" s="37">
        <v>233</v>
      </c>
      <c r="J145" s="37">
        <v>0</v>
      </c>
      <c r="K145" s="37">
        <v>0</v>
      </c>
      <c r="L145" s="37">
        <v>0</v>
      </c>
      <c r="M145" s="37">
        <v>0</v>
      </c>
      <c r="N145" s="37">
        <v>0</v>
      </c>
      <c r="O145" s="37">
        <v>233</v>
      </c>
      <c r="P145" s="22" t="str">
        <f>TRIM(Tabla1[[#This Row],[Articulo]])</f>
        <v>7790000000344</v>
      </c>
      <c r="Q145" s="22" t="str">
        <f>_xlfn.XLOOKUP(Tabla1[[#This Row],[Ean Normalizado]],tabla_consumos[EAN],tabla_consumos[Familia])</f>
        <v>TAPA 105</v>
      </c>
      <c r="R145" s="22">
        <f>_xlfn.XLOOKUP(Tabla1[[#This Row],[Ean Normalizado]],tabla_consumos[EAN],tabla_consumos[UM])</f>
        <v>50</v>
      </c>
      <c r="S145" s="22">
        <f>Tabla1[[#This Row],[StockDisp]]*Tabla1[[#This Row],[UM producto]]</f>
        <v>11650</v>
      </c>
    </row>
    <row r="146" spans="1:19" x14ac:dyDescent="0.35">
      <c r="A146" s="37">
        <v>6</v>
      </c>
      <c r="B146" s="37" t="s">
        <v>319</v>
      </c>
      <c r="C146" s="37" t="s">
        <v>311</v>
      </c>
      <c r="D146" s="37"/>
      <c r="E146" s="37" t="s">
        <v>920</v>
      </c>
      <c r="F146" s="37"/>
      <c r="G146" s="37" t="s">
        <v>921</v>
      </c>
      <c r="H146" s="37" t="s">
        <v>315</v>
      </c>
      <c r="I146" s="37">
        <v>10</v>
      </c>
      <c r="J146" s="37">
        <v>0</v>
      </c>
      <c r="K146" s="37">
        <v>0</v>
      </c>
      <c r="L146" s="37">
        <v>0</v>
      </c>
      <c r="M146" s="37">
        <v>0</v>
      </c>
      <c r="N146" s="37">
        <v>0</v>
      </c>
      <c r="O146" s="37">
        <v>10</v>
      </c>
      <c r="P146" s="22" t="str">
        <f>TRIM(Tabla1[[#This Row],[Articulo]])</f>
        <v>7790000000569</v>
      </c>
      <c r="Q146" s="22" t="e">
        <f>_xlfn.XLOOKUP(Tabla1[[#This Row],[Ean Normalizado]],tabla_consumos[EAN],tabla_consumos[Familia])</f>
        <v>#N/A</v>
      </c>
      <c r="R146" s="22" t="e">
        <f>_xlfn.XLOOKUP(Tabla1[[#This Row],[Ean Normalizado]],tabla_consumos[EAN],tabla_consumos[UM])</f>
        <v>#N/A</v>
      </c>
      <c r="S146" s="22" t="e">
        <f>Tabla1[[#This Row],[StockDisp]]*Tabla1[[#This Row],[UM producto]]</f>
        <v>#N/A</v>
      </c>
    </row>
    <row r="147" spans="1:19" x14ac:dyDescent="0.35">
      <c r="A147" s="37">
        <v>1</v>
      </c>
      <c r="B147" s="37" t="s">
        <v>322</v>
      </c>
      <c r="C147" s="37" t="s">
        <v>311</v>
      </c>
      <c r="D147" s="37"/>
      <c r="E147" s="37" t="s">
        <v>922</v>
      </c>
      <c r="F147" s="37"/>
      <c r="G147" s="37" t="s">
        <v>923</v>
      </c>
      <c r="H147" s="37" t="s">
        <v>315</v>
      </c>
      <c r="I147" s="37">
        <v>7</v>
      </c>
      <c r="J147" s="37">
        <v>0</v>
      </c>
      <c r="K147" s="37">
        <v>0</v>
      </c>
      <c r="L147" s="37">
        <v>0</v>
      </c>
      <c r="M147" s="37">
        <v>0</v>
      </c>
      <c r="N147" s="37">
        <v>0</v>
      </c>
      <c r="O147" s="37">
        <v>7</v>
      </c>
      <c r="P147" s="22" t="str">
        <f>TRIM(Tabla1[[#This Row],[Articulo]])</f>
        <v>7790000000436</v>
      </c>
      <c r="Q147" s="22" t="e">
        <f>_xlfn.XLOOKUP(Tabla1[[#This Row],[Ean Normalizado]],tabla_consumos[EAN],tabla_consumos[Familia])</f>
        <v>#N/A</v>
      </c>
      <c r="R147" s="22" t="e">
        <f>_xlfn.XLOOKUP(Tabla1[[#This Row],[Ean Normalizado]],tabla_consumos[EAN],tabla_consumos[UM])</f>
        <v>#N/A</v>
      </c>
      <c r="S147" s="22" t="e">
        <f>Tabla1[[#This Row],[StockDisp]]*Tabla1[[#This Row],[UM producto]]</f>
        <v>#N/A</v>
      </c>
    </row>
    <row r="148" spans="1:19" x14ac:dyDescent="0.35">
      <c r="A148" s="37">
        <v>6</v>
      </c>
      <c r="B148" s="37" t="s">
        <v>319</v>
      </c>
      <c r="C148" s="37" t="s">
        <v>311</v>
      </c>
      <c r="D148" s="37"/>
      <c r="E148" s="37" t="s">
        <v>535</v>
      </c>
      <c r="F148" s="37">
        <v>2011432</v>
      </c>
      <c r="G148" s="37" t="s">
        <v>536</v>
      </c>
      <c r="H148" s="37" t="s">
        <v>315</v>
      </c>
      <c r="I148" s="37">
        <v>10</v>
      </c>
      <c r="J148" s="37">
        <v>0</v>
      </c>
      <c r="K148" s="37">
        <v>0</v>
      </c>
      <c r="L148" s="37">
        <v>0</v>
      </c>
      <c r="M148" s="37">
        <v>0</v>
      </c>
      <c r="N148" s="37">
        <v>0</v>
      </c>
      <c r="O148" s="37">
        <v>10</v>
      </c>
      <c r="P148" s="22" t="str">
        <f>TRIM(Tabla1[[#This Row],[Articulo]])</f>
        <v>7790000000674</v>
      </c>
      <c r="Q148" s="22" t="e">
        <f>_xlfn.XLOOKUP(Tabla1[[#This Row],[Ean Normalizado]],tabla_consumos[EAN],tabla_consumos[Familia])</f>
        <v>#N/A</v>
      </c>
      <c r="R148" s="22" t="e">
        <f>_xlfn.XLOOKUP(Tabla1[[#This Row],[Ean Normalizado]],tabla_consumos[EAN],tabla_consumos[UM])</f>
        <v>#N/A</v>
      </c>
      <c r="S148" s="22" t="e">
        <f>Tabla1[[#This Row],[StockDisp]]*Tabla1[[#This Row],[UM producto]]</f>
        <v>#N/A</v>
      </c>
    </row>
    <row r="149" spans="1:19" x14ac:dyDescent="0.35">
      <c r="A149" s="37">
        <v>1</v>
      </c>
      <c r="B149" s="37" t="s">
        <v>322</v>
      </c>
      <c r="C149" s="37" t="s">
        <v>311</v>
      </c>
      <c r="D149" s="37" t="s">
        <v>587</v>
      </c>
      <c r="E149" s="37" t="s">
        <v>588</v>
      </c>
      <c r="F149" s="37">
        <v>4048933</v>
      </c>
      <c r="G149" s="37" t="s">
        <v>589</v>
      </c>
      <c r="H149" s="37" t="s">
        <v>315</v>
      </c>
      <c r="I149" s="37">
        <v>3</v>
      </c>
      <c r="J149" s="37">
        <v>0</v>
      </c>
      <c r="K149" s="37">
        <v>0</v>
      </c>
      <c r="L149" s="37">
        <v>0</v>
      </c>
      <c r="M149" s="37">
        <v>0</v>
      </c>
      <c r="N149" s="37">
        <v>0</v>
      </c>
      <c r="O149" s="37">
        <v>3</v>
      </c>
      <c r="P149" s="22" t="str">
        <f>TRIM(Tabla1[[#This Row],[Articulo]])</f>
        <v>7798221742566</v>
      </c>
      <c r="Q149" s="22" t="e">
        <f>_xlfn.XLOOKUP(Tabla1[[#This Row],[Ean Normalizado]],tabla_consumos[EAN],tabla_consumos[Familia])</f>
        <v>#N/A</v>
      </c>
      <c r="R149" s="22" t="e">
        <f>_xlfn.XLOOKUP(Tabla1[[#This Row],[Ean Normalizado]],tabla_consumos[EAN],tabla_consumos[UM])</f>
        <v>#N/A</v>
      </c>
      <c r="S149" s="22" t="e">
        <f>Tabla1[[#This Row],[StockDisp]]*Tabla1[[#This Row],[UM producto]]</f>
        <v>#N/A</v>
      </c>
    </row>
    <row r="150" spans="1:19" x14ac:dyDescent="0.35">
      <c r="A150" s="37">
        <v>6</v>
      </c>
      <c r="B150" s="37" t="s">
        <v>319</v>
      </c>
      <c r="C150" s="37" t="s">
        <v>311</v>
      </c>
      <c r="D150" s="37" t="s">
        <v>394</v>
      </c>
      <c r="E150" s="37" t="s">
        <v>395</v>
      </c>
      <c r="F150" s="37">
        <v>2007504</v>
      </c>
      <c r="G150" s="37" t="s">
        <v>396</v>
      </c>
      <c r="H150" s="37" t="s">
        <v>315</v>
      </c>
      <c r="I150" s="37">
        <v>299</v>
      </c>
      <c r="J150" s="37">
        <v>0</v>
      </c>
      <c r="K150" s="37">
        <v>0</v>
      </c>
      <c r="L150" s="37">
        <v>0</v>
      </c>
      <c r="M150" s="37">
        <v>0</v>
      </c>
      <c r="N150" s="37">
        <v>0</v>
      </c>
      <c r="O150" s="37">
        <v>299</v>
      </c>
      <c r="P150" s="22" t="str">
        <f>TRIM(Tabla1[[#This Row],[Articulo]])</f>
        <v>7790000000478</v>
      </c>
      <c r="Q150" s="22" t="e">
        <f>_xlfn.XLOOKUP(Tabla1[[#This Row],[Ean Normalizado]],tabla_consumos[EAN],tabla_consumos[Familia])</f>
        <v>#N/A</v>
      </c>
      <c r="R150" s="22" t="e">
        <f>_xlfn.XLOOKUP(Tabla1[[#This Row],[Ean Normalizado]],tabla_consumos[EAN],tabla_consumos[UM])</f>
        <v>#N/A</v>
      </c>
      <c r="S150" s="22" t="e">
        <f>Tabla1[[#This Row],[StockDisp]]*Tabla1[[#This Row],[UM producto]]</f>
        <v>#N/A</v>
      </c>
    </row>
    <row r="151" spans="1:19" x14ac:dyDescent="0.35">
      <c r="A151" s="37">
        <v>5</v>
      </c>
      <c r="B151" s="37" t="s">
        <v>310</v>
      </c>
      <c r="C151" s="37" t="s">
        <v>311</v>
      </c>
      <c r="D151" s="37"/>
      <c r="E151" s="37" t="s">
        <v>372</v>
      </c>
      <c r="F151" s="37">
        <v>4077163</v>
      </c>
      <c r="G151" s="37" t="s">
        <v>373</v>
      </c>
      <c r="H151" s="37" t="s">
        <v>315</v>
      </c>
      <c r="I151" s="37">
        <v>100</v>
      </c>
      <c r="J151" s="37">
        <v>0</v>
      </c>
      <c r="K151" s="37">
        <v>0</v>
      </c>
      <c r="L151" s="37">
        <v>0</v>
      </c>
      <c r="M151" s="37">
        <v>0</v>
      </c>
      <c r="N151" s="37">
        <v>0</v>
      </c>
      <c r="O151" s="37">
        <v>100</v>
      </c>
      <c r="P151" s="22" t="str">
        <f>TRIM(Tabla1[[#This Row],[Articulo]])</f>
        <v>7790387015317</v>
      </c>
      <c r="Q151" s="22" t="e">
        <f>_xlfn.XLOOKUP(Tabla1[[#This Row],[Ean Normalizado]],tabla_consumos[EAN],tabla_consumos[Familia])</f>
        <v>#N/A</v>
      </c>
      <c r="R151" s="22" t="e">
        <f>_xlfn.XLOOKUP(Tabla1[[#This Row],[Ean Normalizado]],tabla_consumos[EAN],tabla_consumos[UM])</f>
        <v>#N/A</v>
      </c>
      <c r="S151" s="22" t="e">
        <f>Tabla1[[#This Row],[StockDisp]]*Tabla1[[#This Row],[UM producto]]</f>
        <v>#N/A</v>
      </c>
    </row>
    <row r="152" spans="1:19" x14ac:dyDescent="0.35">
      <c r="A152" s="37">
        <v>5</v>
      </c>
      <c r="B152" s="37" t="s">
        <v>310</v>
      </c>
      <c r="C152" s="37" t="s">
        <v>311</v>
      </c>
      <c r="D152" s="37" t="s">
        <v>337</v>
      </c>
      <c r="E152" s="37" t="s">
        <v>338</v>
      </c>
      <c r="F152" s="37">
        <v>4023885</v>
      </c>
      <c r="G152" s="37" t="s">
        <v>339</v>
      </c>
      <c r="H152" s="37" t="s">
        <v>315</v>
      </c>
      <c r="I152" s="37">
        <v>241</v>
      </c>
      <c r="J152" s="37">
        <v>0</v>
      </c>
      <c r="K152" s="37">
        <v>0</v>
      </c>
      <c r="L152" s="37">
        <v>0</v>
      </c>
      <c r="M152" s="37">
        <v>0</v>
      </c>
      <c r="N152" s="37">
        <v>0</v>
      </c>
      <c r="O152" s="37">
        <v>241</v>
      </c>
      <c r="P152" s="22" t="str">
        <f>TRIM(Tabla1[[#This Row],[Articulo]])</f>
        <v>7791476034059</v>
      </c>
      <c r="Q152" s="22" t="e">
        <f>_xlfn.XLOOKUP(Tabla1[[#This Row],[Ean Normalizado]],tabla_consumos[EAN],tabla_consumos[Familia])</f>
        <v>#N/A</v>
      </c>
      <c r="R152" s="22" t="e">
        <f>_xlfn.XLOOKUP(Tabla1[[#This Row],[Ean Normalizado]],tabla_consumos[EAN],tabla_consumos[UM])</f>
        <v>#N/A</v>
      </c>
      <c r="S152" s="22" t="e">
        <f>Tabla1[[#This Row],[StockDisp]]*Tabla1[[#This Row],[UM producto]]</f>
        <v>#N/A</v>
      </c>
    </row>
    <row r="153" spans="1:19" x14ac:dyDescent="0.35">
      <c r="A153" s="37">
        <v>5</v>
      </c>
      <c r="B153" s="37" t="s">
        <v>310</v>
      </c>
      <c r="C153" s="37" t="s">
        <v>311</v>
      </c>
      <c r="D153" s="37"/>
      <c r="E153" s="37" t="s">
        <v>956</v>
      </c>
      <c r="F153" s="37">
        <v>4001160</v>
      </c>
      <c r="G153" s="37" t="s">
        <v>957</v>
      </c>
      <c r="H153" s="37" t="s">
        <v>346</v>
      </c>
      <c r="I153" s="37">
        <v>83</v>
      </c>
      <c r="J153" s="37">
        <v>0</v>
      </c>
      <c r="K153" s="37">
        <v>0</v>
      </c>
      <c r="L153" s="37">
        <v>0</v>
      </c>
      <c r="M153" s="37">
        <v>10</v>
      </c>
      <c r="N153" s="37">
        <v>0</v>
      </c>
      <c r="O153" s="37">
        <v>73</v>
      </c>
      <c r="P153" s="22" t="str">
        <f>TRIM(Tabla1[[#This Row],[Articulo]])</f>
        <v>4001160</v>
      </c>
      <c r="Q153" s="22" t="e">
        <f>_xlfn.XLOOKUP(Tabla1[[#This Row],[Ean Normalizado]],tabla_consumos[EAN],tabla_consumos[Familia])</f>
        <v>#N/A</v>
      </c>
      <c r="R153" s="22" t="e">
        <f>_xlfn.XLOOKUP(Tabla1[[#This Row],[Ean Normalizado]],tabla_consumos[EAN],tabla_consumos[UM])</f>
        <v>#N/A</v>
      </c>
      <c r="S153" s="22" t="e">
        <f>Tabla1[[#This Row],[StockDisp]]*Tabla1[[#This Row],[UM producto]]</f>
        <v>#N/A</v>
      </c>
    </row>
    <row r="154" spans="1:19" x14ac:dyDescent="0.35">
      <c r="A154" s="37">
        <v>6</v>
      </c>
      <c r="B154" s="37" t="s">
        <v>319</v>
      </c>
      <c r="C154" s="37" t="s">
        <v>311</v>
      </c>
      <c r="D154" s="37" t="s">
        <v>969</v>
      </c>
      <c r="E154" s="37" t="s">
        <v>970</v>
      </c>
      <c r="F154" s="37">
        <v>2006441</v>
      </c>
      <c r="G154" s="37" t="s">
        <v>971</v>
      </c>
      <c r="H154" s="37" t="s">
        <v>315</v>
      </c>
      <c r="I154" s="37">
        <v>8</v>
      </c>
      <c r="J154" s="37">
        <v>0</v>
      </c>
      <c r="K154" s="37">
        <v>0</v>
      </c>
      <c r="L154" s="37">
        <v>0</v>
      </c>
      <c r="M154" s="37">
        <v>0</v>
      </c>
      <c r="N154" s="37">
        <v>0</v>
      </c>
      <c r="O154" s="37">
        <v>8</v>
      </c>
      <c r="P154" s="22" t="str">
        <f>TRIM(Tabla1[[#This Row],[Articulo]])</f>
        <v>7797390190505</v>
      </c>
      <c r="Q154" s="22" t="e">
        <f>_xlfn.XLOOKUP(Tabla1[[#This Row],[Ean Normalizado]],tabla_consumos[EAN],tabla_consumos[Familia])</f>
        <v>#N/A</v>
      </c>
      <c r="R154" s="22" t="e">
        <f>_xlfn.XLOOKUP(Tabla1[[#This Row],[Ean Normalizado]],tabla_consumos[EAN],tabla_consumos[UM])</f>
        <v>#N/A</v>
      </c>
      <c r="S154" s="22" t="e">
        <f>Tabla1[[#This Row],[StockDisp]]*Tabla1[[#This Row],[UM producto]]</f>
        <v>#N/A</v>
      </c>
    </row>
    <row r="155" spans="1:19" x14ac:dyDescent="0.35">
      <c r="A155" s="37">
        <v>6</v>
      </c>
      <c r="B155" s="37" t="s">
        <v>319</v>
      </c>
      <c r="C155" s="37" t="s">
        <v>311</v>
      </c>
      <c r="D155" s="37"/>
      <c r="E155" s="37" t="s">
        <v>937</v>
      </c>
      <c r="F155" s="37">
        <v>2007194</v>
      </c>
      <c r="G155" s="37" t="s">
        <v>938</v>
      </c>
      <c r="H155" s="37" t="s">
        <v>315</v>
      </c>
      <c r="I155" s="37">
        <v>50</v>
      </c>
      <c r="J155" s="37">
        <v>0</v>
      </c>
      <c r="K155" s="37">
        <v>0</v>
      </c>
      <c r="L155" s="37">
        <v>0</v>
      </c>
      <c r="M155" s="37">
        <v>0</v>
      </c>
      <c r="N155" s="37">
        <v>0</v>
      </c>
      <c r="O155" s="37">
        <v>50</v>
      </c>
      <c r="P155" s="22" t="str">
        <f>TRIM(Tabla1[[#This Row],[Articulo]])</f>
        <v>7790000000238</v>
      </c>
      <c r="Q155" s="22" t="str">
        <f>_xlfn.XLOOKUP(Tabla1[[#This Row],[Ean Normalizado]],tabla_consumos[EAN],tabla_consumos[Familia])</f>
        <v>INDIVIDUAL IAF</v>
      </c>
      <c r="R155" s="22">
        <f>_xlfn.XLOOKUP(Tabla1[[#This Row],[Ean Normalizado]],tabla_consumos[EAN],tabla_consumos[UM])</f>
        <v>1000</v>
      </c>
      <c r="S155" s="22">
        <f>Tabla1[[#This Row],[StockDisp]]*Tabla1[[#This Row],[UM producto]]</f>
        <v>50000</v>
      </c>
    </row>
    <row r="156" spans="1:19" x14ac:dyDescent="0.35">
      <c r="A156" s="37">
        <v>6</v>
      </c>
      <c r="B156" s="37" t="s">
        <v>319</v>
      </c>
      <c r="C156" s="37" t="s">
        <v>311</v>
      </c>
      <c r="D156" s="37"/>
      <c r="E156" s="37" t="s">
        <v>983</v>
      </c>
      <c r="F156" s="37">
        <v>2007443</v>
      </c>
      <c r="G156" s="37" t="s">
        <v>984</v>
      </c>
      <c r="H156" s="37" t="s">
        <v>315</v>
      </c>
      <c r="I156" s="37">
        <v>65</v>
      </c>
      <c r="J156" s="37">
        <v>500</v>
      </c>
      <c r="K156" s="37">
        <v>500</v>
      </c>
      <c r="L156" s="37">
        <v>0</v>
      </c>
      <c r="M156" s="37">
        <v>0</v>
      </c>
      <c r="N156" s="37">
        <v>0</v>
      </c>
      <c r="O156" s="37">
        <v>65</v>
      </c>
      <c r="P156" s="22" t="str">
        <f>TRIM(Tabla1[[#This Row],[Articulo]])</f>
        <v>7796322010904</v>
      </c>
      <c r="Q156" s="22" t="e">
        <f>_xlfn.XLOOKUP(Tabla1[[#This Row],[Ean Normalizado]],tabla_consumos[EAN],tabla_consumos[Familia])</f>
        <v>#N/A</v>
      </c>
      <c r="R156" s="22" t="e">
        <f>_xlfn.XLOOKUP(Tabla1[[#This Row],[Ean Normalizado]],tabla_consumos[EAN],tabla_consumos[UM])</f>
        <v>#N/A</v>
      </c>
      <c r="S156" s="22" t="e">
        <f>Tabla1[[#This Row],[StockDisp]]*Tabla1[[#This Row],[UM producto]]</f>
        <v>#N/A</v>
      </c>
    </row>
    <row r="157" spans="1:19" x14ac:dyDescent="0.35">
      <c r="A157" s="37">
        <v>6</v>
      </c>
      <c r="B157" s="37" t="s">
        <v>319</v>
      </c>
      <c r="C157" s="37" t="s">
        <v>311</v>
      </c>
      <c r="D157" s="37"/>
      <c r="E157" s="37" t="s">
        <v>737</v>
      </c>
      <c r="F157" s="37"/>
      <c r="G157" s="37" t="s">
        <v>738</v>
      </c>
      <c r="H157" s="37" t="s">
        <v>315</v>
      </c>
      <c r="I157" s="37">
        <v>0</v>
      </c>
      <c r="J157" s="37">
        <v>60</v>
      </c>
      <c r="K157" s="37">
        <v>0</v>
      </c>
      <c r="L157" s="37">
        <v>0</v>
      </c>
      <c r="M157" s="37">
        <v>0</v>
      </c>
      <c r="N157" s="37">
        <v>0</v>
      </c>
      <c r="O157" s="37">
        <v>60</v>
      </c>
      <c r="P157" s="22" t="str">
        <f>TRIM(Tabla1[[#This Row],[Articulo]])</f>
        <v>7798057869413</v>
      </c>
      <c r="Q157" s="22" t="e">
        <f>_xlfn.XLOOKUP(Tabla1[[#This Row],[Ean Normalizado]],tabla_consumos[EAN],tabla_consumos[Familia])</f>
        <v>#N/A</v>
      </c>
      <c r="R157" s="22" t="e">
        <f>_xlfn.XLOOKUP(Tabla1[[#This Row],[Ean Normalizado]],tabla_consumos[EAN],tabla_consumos[UM])</f>
        <v>#N/A</v>
      </c>
      <c r="S157" s="22" t="e">
        <f>Tabla1[[#This Row],[StockDisp]]*Tabla1[[#This Row],[UM producto]]</f>
        <v>#N/A</v>
      </c>
    </row>
    <row r="158" spans="1:19" x14ac:dyDescent="0.35">
      <c r="A158" s="37">
        <v>5</v>
      </c>
      <c r="B158" s="37" t="s">
        <v>310</v>
      </c>
      <c r="C158" s="37" t="s">
        <v>311</v>
      </c>
      <c r="D158" s="37" t="s">
        <v>768</v>
      </c>
      <c r="E158" s="37" t="s">
        <v>769</v>
      </c>
      <c r="F158" s="37">
        <v>4023877</v>
      </c>
      <c r="G158" s="37" t="s">
        <v>770</v>
      </c>
      <c r="H158" s="37" t="s">
        <v>315</v>
      </c>
      <c r="I158" s="37">
        <v>63</v>
      </c>
      <c r="J158" s="37">
        <v>0</v>
      </c>
      <c r="K158" s="37">
        <v>0</v>
      </c>
      <c r="L158" s="37">
        <v>0</v>
      </c>
      <c r="M158" s="37">
        <v>0</v>
      </c>
      <c r="N158" s="37">
        <v>0</v>
      </c>
      <c r="O158" s="37">
        <v>63</v>
      </c>
      <c r="P158" s="22" t="str">
        <f>TRIM(Tabla1[[#This Row],[Articulo]])</f>
        <v>7798048730722</v>
      </c>
      <c r="Q158" s="22" t="e">
        <f>_xlfn.XLOOKUP(Tabla1[[#This Row],[Ean Normalizado]],tabla_consumos[EAN],tabla_consumos[Familia])</f>
        <v>#N/A</v>
      </c>
      <c r="R158" s="22" t="e">
        <f>_xlfn.XLOOKUP(Tabla1[[#This Row],[Ean Normalizado]],tabla_consumos[EAN],tabla_consumos[UM])</f>
        <v>#N/A</v>
      </c>
      <c r="S158" s="22" t="e">
        <f>Tabla1[[#This Row],[StockDisp]]*Tabla1[[#This Row],[UM producto]]</f>
        <v>#N/A</v>
      </c>
    </row>
    <row r="159" spans="1:19" x14ac:dyDescent="0.35">
      <c r="A159" s="37">
        <v>6</v>
      </c>
      <c r="B159" s="37" t="s">
        <v>319</v>
      </c>
      <c r="C159" s="37" t="s">
        <v>311</v>
      </c>
      <c r="D159" s="37" t="s">
        <v>501</v>
      </c>
      <c r="E159" s="37" t="s">
        <v>502</v>
      </c>
      <c r="F159" s="37">
        <v>2007321</v>
      </c>
      <c r="G159" s="37" t="s">
        <v>503</v>
      </c>
      <c r="H159" s="37" t="s">
        <v>315</v>
      </c>
      <c r="I159" s="37">
        <v>15</v>
      </c>
      <c r="J159" s="37">
        <v>0</v>
      </c>
      <c r="K159" s="37">
        <v>0</v>
      </c>
      <c r="L159" s="37">
        <v>0</v>
      </c>
      <c r="M159" s="37">
        <v>0</v>
      </c>
      <c r="N159" s="37">
        <v>0</v>
      </c>
      <c r="O159" s="37">
        <v>15</v>
      </c>
      <c r="P159" s="22" t="str">
        <f>TRIM(Tabla1[[#This Row],[Articulo]])</f>
        <v>7790000000379</v>
      </c>
      <c r="Q159" s="22" t="str">
        <f>_xlfn.XLOOKUP(Tabla1[[#This Row],[Ean Normalizado]],tabla_consumos[EAN],tabla_consumos[Familia])</f>
        <v>BANDEJA 102 BIO</v>
      </c>
      <c r="R159" s="22">
        <f>_xlfn.XLOOKUP(Tabla1[[#This Row],[Ean Normalizado]],tabla_consumos[EAN],tabla_consumos[UM])</f>
        <v>1400</v>
      </c>
      <c r="S159" s="22">
        <f>Tabla1[[#This Row],[StockDisp]]*Tabla1[[#This Row],[UM producto]]</f>
        <v>21000</v>
      </c>
    </row>
    <row r="160" spans="1:19" x14ac:dyDescent="0.35">
      <c r="A160" s="37">
        <v>6</v>
      </c>
      <c r="B160" s="37" t="s">
        <v>319</v>
      </c>
      <c r="C160" s="37" t="s">
        <v>311</v>
      </c>
      <c r="D160" s="37"/>
      <c r="E160" s="37" t="s">
        <v>504</v>
      </c>
      <c r="F160" s="37">
        <v>2007360</v>
      </c>
      <c r="G160" s="37" t="s">
        <v>505</v>
      </c>
      <c r="H160" s="37" t="s">
        <v>315</v>
      </c>
      <c r="I160" s="37">
        <v>3420</v>
      </c>
      <c r="J160" s="37">
        <v>0</v>
      </c>
      <c r="K160" s="37">
        <v>0</v>
      </c>
      <c r="L160" s="37">
        <v>0</v>
      </c>
      <c r="M160" s="37">
        <v>0</v>
      </c>
      <c r="N160" s="37">
        <v>0</v>
      </c>
      <c r="O160" s="37">
        <v>3420</v>
      </c>
      <c r="P160" s="22" t="str">
        <f>TRIM(Tabla1[[#This Row],[Articulo]])</f>
        <v>7790000000404</v>
      </c>
      <c r="Q160" s="22" t="str">
        <f>_xlfn.XLOOKUP(Tabla1[[#This Row],[Ean Normalizado]],tabla_consumos[EAN],tabla_consumos[Familia])</f>
        <v>PANERA</v>
      </c>
      <c r="R160" s="22">
        <f>_xlfn.XLOOKUP(Tabla1[[#This Row],[Ean Normalizado]],tabla_consumos[EAN],tabla_consumos[UM])</f>
        <v>1</v>
      </c>
      <c r="S160" s="22">
        <f>Tabla1[[#This Row],[StockDisp]]*Tabla1[[#This Row],[UM producto]]</f>
        <v>3420</v>
      </c>
    </row>
    <row r="161" spans="1:19" x14ac:dyDescent="0.35">
      <c r="A161" s="37">
        <v>6</v>
      </c>
      <c r="B161" s="37" t="s">
        <v>319</v>
      </c>
      <c r="C161" s="37" t="s">
        <v>311</v>
      </c>
      <c r="D161" s="37" t="s">
        <v>389</v>
      </c>
      <c r="E161" s="37" t="s">
        <v>390</v>
      </c>
      <c r="F161" s="37">
        <v>2007191</v>
      </c>
      <c r="G161" s="37" t="s">
        <v>391</v>
      </c>
      <c r="H161" s="37" t="s">
        <v>315</v>
      </c>
      <c r="I161" s="37">
        <v>86</v>
      </c>
      <c r="J161" s="37">
        <v>0</v>
      </c>
      <c r="K161" s="37">
        <v>0</v>
      </c>
      <c r="L161" s="37">
        <v>0</v>
      </c>
      <c r="M161" s="37">
        <v>0</v>
      </c>
      <c r="N161" s="37">
        <v>0</v>
      </c>
      <c r="O161" s="37">
        <v>86</v>
      </c>
      <c r="P161" s="22" t="str">
        <f>TRIM(Tabla1[[#This Row],[Articulo]])</f>
        <v>7790000000235</v>
      </c>
      <c r="Q161" s="22" t="str">
        <f>_xlfn.XLOOKUP(Tabla1[[#This Row],[Ean Normalizado]],tabla_consumos[EAN],tabla_consumos[Familia])</f>
        <v>INDIVIDIDUAL HEALTH</v>
      </c>
      <c r="R161" s="22">
        <f>_xlfn.XLOOKUP(Tabla1[[#This Row],[Ean Normalizado]],tabla_consumos[EAN],tabla_consumos[UM])</f>
        <v>1000</v>
      </c>
      <c r="S161" s="22">
        <f>Tabla1[[#This Row],[StockDisp]]*Tabla1[[#This Row],[UM producto]]</f>
        <v>86000</v>
      </c>
    </row>
    <row r="162" spans="1:19" x14ac:dyDescent="0.35">
      <c r="A162" s="37">
        <v>5</v>
      </c>
      <c r="B162" s="37" t="s">
        <v>310</v>
      </c>
      <c r="C162" s="37" t="s">
        <v>311</v>
      </c>
      <c r="D162" s="37"/>
      <c r="E162" s="37" t="s">
        <v>777</v>
      </c>
      <c r="F162" s="37"/>
      <c r="G162" s="37" t="s">
        <v>778</v>
      </c>
      <c r="H162" s="37" t="s">
        <v>346</v>
      </c>
      <c r="I162" s="37">
        <v>210</v>
      </c>
      <c r="J162" s="37">
        <v>0</v>
      </c>
      <c r="K162" s="37">
        <v>0</v>
      </c>
      <c r="L162" s="37">
        <v>0</v>
      </c>
      <c r="M162" s="37">
        <v>0</v>
      </c>
      <c r="N162" s="37">
        <v>0</v>
      </c>
      <c r="O162" s="37">
        <v>210</v>
      </c>
      <c r="P162" s="22" t="str">
        <f>TRIM(Tabla1[[#This Row],[Articulo]])</f>
        <v>4016736</v>
      </c>
      <c r="Q162" s="22" t="e">
        <f>_xlfn.XLOOKUP(Tabla1[[#This Row],[Ean Normalizado]],tabla_consumos[EAN],tabla_consumos[Familia])</f>
        <v>#N/A</v>
      </c>
      <c r="R162" s="22" t="e">
        <f>_xlfn.XLOOKUP(Tabla1[[#This Row],[Ean Normalizado]],tabla_consumos[EAN],tabla_consumos[UM])</f>
        <v>#N/A</v>
      </c>
      <c r="S162" s="22" t="e">
        <f>Tabla1[[#This Row],[StockDisp]]*Tabla1[[#This Row],[UM producto]]</f>
        <v>#N/A</v>
      </c>
    </row>
    <row r="163" spans="1:19" x14ac:dyDescent="0.35">
      <c r="A163" s="37">
        <v>1</v>
      </c>
      <c r="B163" s="37" t="s">
        <v>322</v>
      </c>
      <c r="C163" s="37" t="s">
        <v>311</v>
      </c>
      <c r="D163" s="37"/>
      <c r="E163" s="37" t="s">
        <v>886</v>
      </c>
      <c r="F163" s="37"/>
      <c r="G163" s="37" t="s">
        <v>887</v>
      </c>
      <c r="H163" s="37" t="s">
        <v>315</v>
      </c>
      <c r="I163" s="37">
        <v>31</v>
      </c>
      <c r="J163" s="37">
        <v>0</v>
      </c>
      <c r="K163" s="37">
        <v>0</v>
      </c>
      <c r="L163" s="37">
        <v>0</v>
      </c>
      <c r="M163" s="37">
        <v>0</v>
      </c>
      <c r="N163" s="37">
        <v>0</v>
      </c>
      <c r="O163" s="37">
        <v>31</v>
      </c>
      <c r="P163" s="22" t="str">
        <f>TRIM(Tabla1[[#This Row],[Articulo]])</f>
        <v>7790000000427</v>
      </c>
      <c r="Q163" s="22" t="e">
        <f>_xlfn.XLOOKUP(Tabla1[[#This Row],[Ean Normalizado]],tabla_consumos[EAN],tabla_consumos[Familia])</f>
        <v>#N/A</v>
      </c>
      <c r="R163" s="22" t="e">
        <f>_xlfn.XLOOKUP(Tabla1[[#This Row],[Ean Normalizado]],tabla_consumos[EAN],tabla_consumos[UM])</f>
        <v>#N/A</v>
      </c>
      <c r="S163" s="22" t="e">
        <f>Tabla1[[#This Row],[StockDisp]]*Tabla1[[#This Row],[UM producto]]</f>
        <v>#N/A</v>
      </c>
    </row>
    <row r="164" spans="1:19" x14ac:dyDescent="0.35">
      <c r="A164" s="37">
        <v>6</v>
      </c>
      <c r="B164" s="37" t="s">
        <v>319</v>
      </c>
      <c r="C164" s="37" t="s">
        <v>311</v>
      </c>
      <c r="D164" s="37" t="s">
        <v>332</v>
      </c>
      <c r="E164" s="37" t="s">
        <v>888</v>
      </c>
      <c r="F164" s="37"/>
      <c r="G164" s="37" t="s">
        <v>204</v>
      </c>
      <c r="H164" s="37" t="s">
        <v>315</v>
      </c>
      <c r="I164" s="37">
        <v>14</v>
      </c>
      <c r="J164" s="37">
        <v>0</v>
      </c>
      <c r="K164" s="37">
        <v>0</v>
      </c>
      <c r="L164" s="37">
        <v>0</v>
      </c>
      <c r="M164" s="37">
        <v>0</v>
      </c>
      <c r="N164" s="37">
        <v>0</v>
      </c>
      <c r="O164" s="37">
        <v>14</v>
      </c>
      <c r="P164" s="22" t="str">
        <f>TRIM(Tabla1[[#This Row],[Articulo]])</f>
        <v>7790025000196</v>
      </c>
      <c r="Q164" s="22" t="str">
        <f>_xlfn.XLOOKUP(Tabla1[[#This Row],[Ean Normalizado]],tabla_consumos[EAN],tabla_consumos[Familia])</f>
        <v>ARRANQUE 40X60</v>
      </c>
      <c r="R164" s="22">
        <f>_xlfn.XLOOKUP(Tabla1[[#This Row],[Ean Normalizado]],tabla_consumos[EAN],tabla_consumos[UM])</f>
        <v>12</v>
      </c>
      <c r="S164" s="22">
        <f>Tabla1[[#This Row],[StockDisp]]*Tabla1[[#This Row],[UM producto]]</f>
        <v>168</v>
      </c>
    </row>
    <row r="165" spans="1:19" x14ac:dyDescent="0.35">
      <c r="A165" s="37">
        <v>6</v>
      </c>
      <c r="B165" s="37" t="s">
        <v>319</v>
      </c>
      <c r="C165" s="37" t="s">
        <v>311</v>
      </c>
      <c r="D165" s="37"/>
      <c r="E165" s="37" t="s">
        <v>889</v>
      </c>
      <c r="F165" s="37"/>
      <c r="G165" s="37" t="s">
        <v>890</v>
      </c>
      <c r="H165" s="37" t="s">
        <v>315</v>
      </c>
      <c r="I165" s="37">
        <v>11</v>
      </c>
      <c r="J165" s="37">
        <v>0</v>
      </c>
      <c r="K165" s="37">
        <v>0</v>
      </c>
      <c r="L165" s="37">
        <v>0</v>
      </c>
      <c r="M165" s="37">
        <v>1</v>
      </c>
      <c r="N165" s="37">
        <v>0</v>
      </c>
      <c r="O165" s="37">
        <v>10</v>
      </c>
      <c r="P165" s="22" t="str">
        <f>TRIM(Tabla1[[#This Row],[Articulo]])</f>
        <v>7798332280797</v>
      </c>
      <c r="Q165" s="22" t="e">
        <f>_xlfn.XLOOKUP(Tabla1[[#This Row],[Ean Normalizado]],tabla_consumos[EAN],tabla_consumos[Familia])</f>
        <v>#N/A</v>
      </c>
      <c r="R165" s="22" t="e">
        <f>_xlfn.XLOOKUP(Tabla1[[#This Row],[Ean Normalizado]],tabla_consumos[EAN],tabla_consumos[UM])</f>
        <v>#N/A</v>
      </c>
      <c r="S165" s="22" t="e">
        <f>Tabla1[[#This Row],[StockDisp]]*Tabla1[[#This Row],[UM producto]]</f>
        <v>#N/A</v>
      </c>
    </row>
    <row r="166" spans="1:19" x14ac:dyDescent="0.35">
      <c r="A166" s="37">
        <v>6</v>
      </c>
      <c r="B166" s="37" t="s">
        <v>319</v>
      </c>
      <c r="C166" s="37" t="s">
        <v>311</v>
      </c>
      <c r="D166" s="37" t="s">
        <v>356</v>
      </c>
      <c r="E166" s="37" t="s">
        <v>357</v>
      </c>
      <c r="F166" s="37">
        <v>2006364</v>
      </c>
      <c r="G166" s="37" t="s">
        <v>358</v>
      </c>
      <c r="H166" s="37" t="s">
        <v>315</v>
      </c>
      <c r="I166" s="37">
        <v>11</v>
      </c>
      <c r="J166" s="37">
        <v>0</v>
      </c>
      <c r="K166" s="37">
        <v>0</v>
      </c>
      <c r="L166" s="37">
        <v>0</v>
      </c>
      <c r="M166" s="37">
        <v>0</v>
      </c>
      <c r="N166" s="37">
        <v>0</v>
      </c>
      <c r="O166" s="37">
        <v>11</v>
      </c>
      <c r="P166" s="22" t="str">
        <f>TRIM(Tabla1[[#This Row],[Articulo]])</f>
        <v>7798188650362</v>
      </c>
      <c r="Q166" s="22" t="e">
        <f>_xlfn.XLOOKUP(Tabla1[[#This Row],[Ean Normalizado]],tabla_consumos[EAN],tabla_consumos[Familia])</f>
        <v>#N/A</v>
      </c>
      <c r="R166" s="22" t="e">
        <f>_xlfn.XLOOKUP(Tabla1[[#This Row],[Ean Normalizado]],tabla_consumos[EAN],tabla_consumos[UM])</f>
        <v>#N/A</v>
      </c>
      <c r="S166" s="22" t="e">
        <f>Tabla1[[#This Row],[StockDisp]]*Tabla1[[#This Row],[UM producto]]</f>
        <v>#N/A</v>
      </c>
    </row>
    <row r="167" spans="1:19" x14ac:dyDescent="0.35">
      <c r="A167" s="37">
        <v>6</v>
      </c>
      <c r="B167" s="37" t="s">
        <v>319</v>
      </c>
      <c r="C167" s="37" t="s">
        <v>311</v>
      </c>
      <c r="D167" s="37" t="s">
        <v>629</v>
      </c>
      <c r="E167" s="37" t="s">
        <v>924</v>
      </c>
      <c r="F167" s="37">
        <v>2007428</v>
      </c>
      <c r="G167" s="37" t="s">
        <v>925</v>
      </c>
      <c r="H167" s="37" t="s">
        <v>315</v>
      </c>
      <c r="I167" s="37">
        <v>8</v>
      </c>
      <c r="J167" s="37">
        <v>0</v>
      </c>
      <c r="K167" s="37">
        <v>0</v>
      </c>
      <c r="L167" s="37">
        <v>0</v>
      </c>
      <c r="M167" s="37">
        <v>0</v>
      </c>
      <c r="N167" s="37">
        <v>0</v>
      </c>
      <c r="O167" s="37">
        <v>8</v>
      </c>
      <c r="P167" s="22" t="str">
        <f>TRIM(Tabla1[[#This Row],[Articulo]])</f>
        <v>7793071002488</v>
      </c>
      <c r="Q167" s="22" t="e">
        <f>_xlfn.XLOOKUP(Tabla1[[#This Row],[Ean Normalizado]],tabla_consumos[EAN],tabla_consumos[Familia])</f>
        <v>#N/A</v>
      </c>
      <c r="R167" s="22" t="e">
        <f>_xlfn.XLOOKUP(Tabla1[[#This Row],[Ean Normalizado]],tabla_consumos[EAN],tabla_consumos[UM])</f>
        <v>#N/A</v>
      </c>
      <c r="S167" s="22" t="e">
        <f>Tabla1[[#This Row],[StockDisp]]*Tabla1[[#This Row],[UM producto]]</f>
        <v>#N/A</v>
      </c>
    </row>
    <row r="168" spans="1:19" x14ac:dyDescent="0.35">
      <c r="A168" s="37">
        <v>5</v>
      </c>
      <c r="B168" s="37" t="s">
        <v>310</v>
      </c>
      <c r="C168" s="37" t="s">
        <v>311</v>
      </c>
      <c r="D168" s="37"/>
      <c r="E168" s="37" t="s">
        <v>926</v>
      </c>
      <c r="F168" s="37">
        <v>4001209</v>
      </c>
      <c r="G168" s="37" t="s">
        <v>927</v>
      </c>
      <c r="H168" s="37" t="s">
        <v>346</v>
      </c>
      <c r="I168" s="37">
        <v>163</v>
      </c>
      <c r="J168" s="37">
        <v>0</v>
      </c>
      <c r="K168" s="37">
        <v>0</v>
      </c>
      <c r="L168" s="37">
        <v>7</v>
      </c>
      <c r="M168" s="37">
        <v>116</v>
      </c>
      <c r="N168" s="37">
        <v>0</v>
      </c>
      <c r="O168" s="37">
        <v>40</v>
      </c>
      <c r="P168" s="22" t="str">
        <f>TRIM(Tabla1[[#This Row],[Articulo]])</f>
        <v>4001209</v>
      </c>
      <c r="Q168" s="22" t="e">
        <f>_xlfn.XLOOKUP(Tabla1[[#This Row],[Ean Normalizado]],tabla_consumos[EAN],tabla_consumos[Familia])</f>
        <v>#N/A</v>
      </c>
      <c r="R168" s="22" t="e">
        <f>_xlfn.XLOOKUP(Tabla1[[#This Row],[Ean Normalizado]],tabla_consumos[EAN],tabla_consumos[UM])</f>
        <v>#N/A</v>
      </c>
      <c r="S168" s="22" t="e">
        <f>Tabla1[[#This Row],[StockDisp]]*Tabla1[[#This Row],[UM producto]]</f>
        <v>#N/A</v>
      </c>
    </row>
    <row r="169" spans="1:19" x14ac:dyDescent="0.35">
      <c r="A169" s="37">
        <v>6</v>
      </c>
      <c r="B169" s="37" t="s">
        <v>319</v>
      </c>
      <c r="C169" s="37" t="s">
        <v>311</v>
      </c>
      <c r="D169" s="37" t="s">
        <v>928</v>
      </c>
      <c r="E169" s="37" t="s">
        <v>929</v>
      </c>
      <c r="F169" s="37">
        <v>2016627</v>
      </c>
      <c r="G169" s="37" t="s">
        <v>930</v>
      </c>
      <c r="H169" s="37" t="s">
        <v>315</v>
      </c>
      <c r="I169" s="37">
        <v>68</v>
      </c>
      <c r="J169" s="37">
        <v>0</v>
      </c>
      <c r="K169" s="37">
        <v>0</v>
      </c>
      <c r="L169" s="37">
        <v>0</v>
      </c>
      <c r="M169" s="37">
        <v>0</v>
      </c>
      <c r="N169" s="37">
        <v>0</v>
      </c>
      <c r="O169" s="37">
        <v>68</v>
      </c>
      <c r="P169" s="22" t="str">
        <f>TRIM(Tabla1[[#This Row],[Articulo]])</f>
        <v>7790000000762</v>
      </c>
      <c r="Q169" s="22" t="e">
        <f>_xlfn.XLOOKUP(Tabla1[[#This Row],[Ean Normalizado]],tabla_consumos[EAN],tabla_consumos[Familia])</f>
        <v>#N/A</v>
      </c>
      <c r="R169" s="22" t="e">
        <f>_xlfn.XLOOKUP(Tabla1[[#This Row],[Ean Normalizado]],tabla_consumos[EAN],tabla_consumos[UM])</f>
        <v>#N/A</v>
      </c>
      <c r="S169" s="22" t="e">
        <f>Tabla1[[#This Row],[StockDisp]]*Tabla1[[#This Row],[UM producto]]</f>
        <v>#N/A</v>
      </c>
    </row>
    <row r="170" spans="1:19" x14ac:dyDescent="0.35">
      <c r="A170" s="37">
        <v>6</v>
      </c>
      <c r="B170" s="37" t="s">
        <v>319</v>
      </c>
      <c r="C170" s="37" t="s">
        <v>311</v>
      </c>
      <c r="D170" s="37" t="s">
        <v>463</v>
      </c>
      <c r="E170" s="37" t="s">
        <v>884</v>
      </c>
      <c r="F170" s="37">
        <v>2007412</v>
      </c>
      <c r="G170" s="37" t="s">
        <v>885</v>
      </c>
      <c r="H170" s="37" t="s">
        <v>315</v>
      </c>
      <c r="I170" s="37">
        <v>0</v>
      </c>
      <c r="J170" s="37">
        <v>42</v>
      </c>
      <c r="K170" s="37">
        <v>0</v>
      </c>
      <c r="L170" s="37">
        <v>0</v>
      </c>
      <c r="M170" s="37">
        <v>0</v>
      </c>
      <c r="N170" s="37">
        <v>0</v>
      </c>
      <c r="O170" s="37">
        <v>42</v>
      </c>
      <c r="P170" s="22" t="str">
        <f>TRIM(Tabla1[[#This Row],[Articulo]])</f>
        <v>7798057860472</v>
      </c>
      <c r="Q170" s="22" t="e">
        <f>_xlfn.XLOOKUP(Tabla1[[#This Row],[Ean Normalizado]],tabla_consumos[EAN],tabla_consumos[Familia])</f>
        <v>#N/A</v>
      </c>
      <c r="R170" s="22" t="e">
        <f>_xlfn.XLOOKUP(Tabla1[[#This Row],[Ean Normalizado]],tabla_consumos[EAN],tabla_consumos[UM])</f>
        <v>#N/A</v>
      </c>
      <c r="S170" s="22" t="e">
        <f>Tabla1[[#This Row],[StockDisp]]*Tabla1[[#This Row],[UM producto]]</f>
        <v>#N/A</v>
      </c>
    </row>
    <row r="171" spans="1:19" x14ac:dyDescent="0.35">
      <c r="A171" s="37">
        <v>1</v>
      </c>
      <c r="B171" s="37" t="s">
        <v>322</v>
      </c>
      <c r="C171" s="37" t="s">
        <v>311</v>
      </c>
      <c r="D171" s="37" t="s">
        <v>587</v>
      </c>
      <c r="E171" s="37" t="s">
        <v>912</v>
      </c>
      <c r="F171" s="37">
        <v>4024748</v>
      </c>
      <c r="G171" s="37" t="s">
        <v>913</v>
      </c>
      <c r="H171" s="37" t="s">
        <v>315</v>
      </c>
      <c r="I171" s="37">
        <v>1</v>
      </c>
      <c r="J171" s="37">
        <v>0</v>
      </c>
      <c r="K171" s="37">
        <v>0</v>
      </c>
      <c r="L171" s="37">
        <v>0</v>
      </c>
      <c r="M171" s="37">
        <v>0</v>
      </c>
      <c r="N171" s="37">
        <v>0</v>
      </c>
      <c r="O171" s="37">
        <v>1</v>
      </c>
      <c r="P171" s="22" t="str">
        <f>TRIM(Tabla1[[#This Row],[Articulo]])</f>
        <v>7790000000615</v>
      </c>
      <c r="Q171" s="22" t="e">
        <f>_xlfn.XLOOKUP(Tabla1[[#This Row],[Ean Normalizado]],tabla_consumos[EAN],tabla_consumos[Familia])</f>
        <v>#N/A</v>
      </c>
      <c r="R171" s="22" t="e">
        <f>_xlfn.XLOOKUP(Tabla1[[#This Row],[Ean Normalizado]],tabla_consumos[EAN],tabla_consumos[UM])</f>
        <v>#N/A</v>
      </c>
      <c r="S171" s="22" t="e">
        <f>Tabla1[[#This Row],[StockDisp]]*Tabla1[[#This Row],[UM producto]]</f>
        <v>#N/A</v>
      </c>
    </row>
    <row r="172" spans="1:19" x14ac:dyDescent="0.35">
      <c r="A172" s="37">
        <v>6</v>
      </c>
      <c r="B172" s="37" t="s">
        <v>319</v>
      </c>
      <c r="C172" s="37" t="s">
        <v>311</v>
      </c>
      <c r="D172" s="37" t="s">
        <v>804</v>
      </c>
      <c r="E172" s="37" t="s">
        <v>805</v>
      </c>
      <c r="F172" s="37"/>
      <c r="G172" s="37" t="s">
        <v>193</v>
      </c>
      <c r="H172" s="37" t="s">
        <v>315</v>
      </c>
      <c r="I172" s="37">
        <v>686</v>
      </c>
      <c r="J172" s="37">
        <v>0</v>
      </c>
      <c r="K172" s="37">
        <v>0</v>
      </c>
      <c r="L172" s="37">
        <v>0</v>
      </c>
      <c r="M172" s="37">
        <v>0</v>
      </c>
      <c r="N172" s="37">
        <v>0</v>
      </c>
      <c r="O172" s="37">
        <v>686</v>
      </c>
      <c r="P172" s="22" t="str">
        <f>TRIM(Tabla1[[#This Row],[Articulo]])</f>
        <v>7790000002198</v>
      </c>
      <c r="Q172" s="22" t="str">
        <f>_xlfn.XLOOKUP(Tabla1[[#This Row],[Ean Normalizado]],tabla_consumos[EAN],tabla_consumos[Familia])</f>
        <v>BOLSA CAMISETA 40X50</v>
      </c>
      <c r="R172" s="22">
        <f>_xlfn.XLOOKUP(Tabla1[[#This Row],[Ean Normalizado]],tabla_consumos[EAN],tabla_consumos[UM])</f>
        <v>60</v>
      </c>
      <c r="S172" s="22">
        <f>Tabla1[[#This Row],[StockDisp]]*Tabla1[[#This Row],[UM producto]]</f>
        <v>41160</v>
      </c>
    </row>
    <row r="173" spans="1:19" x14ac:dyDescent="0.35">
      <c r="A173" s="37">
        <v>1</v>
      </c>
      <c r="B173" s="37" t="s">
        <v>322</v>
      </c>
      <c r="C173" s="37" t="s">
        <v>311</v>
      </c>
      <c r="D173" s="37"/>
      <c r="E173" s="37" t="s">
        <v>806</v>
      </c>
      <c r="F173" s="37"/>
      <c r="G173" s="37" t="s">
        <v>807</v>
      </c>
      <c r="H173" s="37" t="s">
        <v>346</v>
      </c>
      <c r="I173" s="37">
        <v>1.59</v>
      </c>
      <c r="J173" s="37">
        <v>0</v>
      </c>
      <c r="K173" s="37">
        <v>0</v>
      </c>
      <c r="L173" s="37">
        <v>0</v>
      </c>
      <c r="M173" s="37">
        <v>0</v>
      </c>
      <c r="N173" s="37">
        <v>0</v>
      </c>
      <c r="O173" s="37">
        <v>1.59</v>
      </c>
      <c r="P173" s="22" t="str">
        <f>TRIM(Tabla1[[#This Row],[Articulo]])</f>
        <v>7790000000637</v>
      </c>
      <c r="Q173" s="22" t="e">
        <f>_xlfn.XLOOKUP(Tabla1[[#This Row],[Ean Normalizado]],tabla_consumos[EAN],tabla_consumos[Familia])</f>
        <v>#N/A</v>
      </c>
      <c r="R173" s="22" t="e">
        <f>_xlfn.XLOOKUP(Tabla1[[#This Row],[Ean Normalizado]],tabla_consumos[EAN],tabla_consumos[UM])</f>
        <v>#N/A</v>
      </c>
      <c r="S173" s="22" t="e">
        <f>Tabla1[[#This Row],[StockDisp]]*Tabla1[[#This Row],[UM producto]]</f>
        <v>#N/A</v>
      </c>
    </row>
    <row r="174" spans="1:19" x14ac:dyDescent="0.35">
      <c r="A174" s="37">
        <v>6</v>
      </c>
      <c r="B174" s="37" t="s">
        <v>319</v>
      </c>
      <c r="C174" s="37" t="s">
        <v>311</v>
      </c>
      <c r="D174" s="37"/>
      <c r="E174" s="37" t="s">
        <v>808</v>
      </c>
      <c r="F174" s="37"/>
      <c r="G174" s="37" t="s">
        <v>442</v>
      </c>
      <c r="H174" s="37" t="s">
        <v>315</v>
      </c>
      <c r="I174" s="37">
        <v>1023</v>
      </c>
      <c r="J174" s="37">
        <v>0</v>
      </c>
      <c r="K174" s="37">
        <v>0</v>
      </c>
      <c r="L174" s="37">
        <v>0</v>
      </c>
      <c r="M174" s="37">
        <v>0</v>
      </c>
      <c r="N174" s="37">
        <v>0</v>
      </c>
      <c r="O174" s="37">
        <v>1023</v>
      </c>
      <c r="P174" s="22" t="str">
        <f>TRIM(Tabla1[[#This Row],[Articulo]])</f>
        <v>7790000000342</v>
      </c>
      <c r="Q174" s="22" t="str">
        <f>_xlfn.XLOOKUP(Tabla1[[#This Row],[Ean Normalizado]],tabla_consumos[EAN],tabla_consumos[Familia])</f>
        <v>TAPA 102</v>
      </c>
      <c r="R174" s="22">
        <f>_xlfn.XLOOKUP(Tabla1[[#This Row],[Ean Normalizado]],tabla_consumos[EAN],tabla_consumos[UM])</f>
        <v>50</v>
      </c>
      <c r="S174" s="22">
        <f>Tabla1[[#This Row],[StockDisp]]*Tabla1[[#This Row],[UM producto]]</f>
        <v>51150</v>
      </c>
    </row>
    <row r="175" spans="1:19" x14ac:dyDescent="0.35">
      <c r="A175" s="37">
        <v>6</v>
      </c>
      <c r="B175" s="37" t="s">
        <v>319</v>
      </c>
      <c r="C175" s="37" t="s">
        <v>311</v>
      </c>
      <c r="D175" s="37" t="s">
        <v>386</v>
      </c>
      <c r="E175" s="37" t="s">
        <v>387</v>
      </c>
      <c r="F175" s="37">
        <v>2006349</v>
      </c>
      <c r="G175" s="37" t="s">
        <v>388</v>
      </c>
      <c r="H175" s="37" t="s">
        <v>328</v>
      </c>
      <c r="I175" s="37">
        <v>44</v>
      </c>
      <c r="J175" s="37">
        <v>0</v>
      </c>
      <c r="K175" s="37">
        <v>0</v>
      </c>
      <c r="L175" s="37">
        <v>0</v>
      </c>
      <c r="M175" s="37">
        <v>0</v>
      </c>
      <c r="N175" s="37">
        <v>0</v>
      </c>
      <c r="O175" s="37">
        <v>44</v>
      </c>
      <c r="P175" s="22" t="str">
        <f>TRIM(Tabla1[[#This Row],[Articulo]])</f>
        <v>LIM000505</v>
      </c>
      <c r="Q175" s="22" t="e">
        <f>_xlfn.XLOOKUP(Tabla1[[#This Row],[Ean Normalizado]],tabla_consumos[EAN],tabla_consumos[Familia])</f>
        <v>#N/A</v>
      </c>
      <c r="R175" s="22" t="e">
        <f>_xlfn.XLOOKUP(Tabla1[[#This Row],[Ean Normalizado]],tabla_consumos[EAN],tabla_consumos[UM])</f>
        <v>#N/A</v>
      </c>
      <c r="S175" s="22" t="e">
        <f>Tabla1[[#This Row],[StockDisp]]*Tabla1[[#This Row],[UM producto]]</f>
        <v>#N/A</v>
      </c>
    </row>
    <row r="176" spans="1:19" x14ac:dyDescent="0.35">
      <c r="A176" s="37">
        <v>5</v>
      </c>
      <c r="B176" s="37" t="s">
        <v>310</v>
      </c>
      <c r="C176" s="37" t="s">
        <v>311</v>
      </c>
      <c r="D176" s="37"/>
      <c r="E176" s="37" t="s">
        <v>985</v>
      </c>
      <c r="F176" s="37">
        <v>4001163</v>
      </c>
      <c r="G176" s="37" t="s">
        <v>986</v>
      </c>
      <c r="H176" s="37" t="s">
        <v>346</v>
      </c>
      <c r="I176" s="37">
        <v>130</v>
      </c>
      <c r="J176" s="37">
        <v>0</v>
      </c>
      <c r="K176" s="37">
        <v>0</v>
      </c>
      <c r="L176" s="37">
        <v>14.5</v>
      </c>
      <c r="M176" s="37">
        <v>109.5</v>
      </c>
      <c r="N176" s="37">
        <v>0</v>
      </c>
      <c r="O176" s="37">
        <v>6</v>
      </c>
      <c r="P176" s="22" t="str">
        <f>TRIM(Tabla1[[#This Row],[Articulo]])</f>
        <v>4001163</v>
      </c>
      <c r="Q176" s="22" t="e">
        <f>_xlfn.XLOOKUP(Tabla1[[#This Row],[Ean Normalizado]],tabla_consumos[EAN],tabla_consumos[Familia])</f>
        <v>#N/A</v>
      </c>
      <c r="R176" s="22" t="e">
        <f>_xlfn.XLOOKUP(Tabla1[[#This Row],[Ean Normalizado]],tabla_consumos[EAN],tabla_consumos[UM])</f>
        <v>#N/A</v>
      </c>
      <c r="S176" s="22" t="e">
        <f>Tabla1[[#This Row],[StockDisp]]*Tabla1[[#This Row],[UM producto]]</f>
        <v>#N/A</v>
      </c>
    </row>
    <row r="177" spans="1:19" x14ac:dyDescent="0.35">
      <c r="A177" s="37">
        <v>6</v>
      </c>
      <c r="B177" s="37" t="s">
        <v>319</v>
      </c>
      <c r="C177" s="37" t="s">
        <v>311</v>
      </c>
      <c r="D177" s="37"/>
      <c r="E177" s="37" t="s">
        <v>812</v>
      </c>
      <c r="F177" s="37">
        <v>2007141</v>
      </c>
      <c r="G177" s="37" t="s">
        <v>242</v>
      </c>
      <c r="H177" s="37" t="s">
        <v>315</v>
      </c>
      <c r="I177" s="37">
        <v>17</v>
      </c>
      <c r="J177" s="37">
        <v>0</v>
      </c>
      <c r="K177" s="37">
        <v>0</v>
      </c>
      <c r="L177" s="37">
        <v>0</v>
      </c>
      <c r="M177" s="37">
        <v>0</v>
      </c>
      <c r="N177" s="37">
        <v>0</v>
      </c>
      <c r="O177" s="37">
        <v>17</v>
      </c>
      <c r="P177" s="22" t="str">
        <f>TRIM(Tabla1[[#This Row],[Articulo]])</f>
        <v>7790000000254</v>
      </c>
      <c r="Q177" s="22" t="str">
        <f>_xlfn.XLOOKUP(Tabla1[[#This Row],[Ean Normalizado]],tabla_consumos[EAN],tabla_consumos[Familia])</f>
        <v>VASO PLASTICO 300CC</v>
      </c>
      <c r="R177" s="22">
        <f>_xlfn.XLOOKUP(Tabla1[[#This Row],[Ean Normalizado]],tabla_consumos[EAN],tabla_consumos[UM])</f>
        <v>100</v>
      </c>
      <c r="S177" s="22">
        <f>Tabla1[[#This Row],[StockDisp]]*Tabla1[[#This Row],[UM producto]]</f>
        <v>1700</v>
      </c>
    </row>
    <row r="178" spans="1:19" x14ac:dyDescent="0.35">
      <c r="A178" s="37">
        <v>6</v>
      </c>
      <c r="B178" s="37" t="s">
        <v>319</v>
      </c>
      <c r="C178" s="37" t="s">
        <v>311</v>
      </c>
      <c r="D178" s="37"/>
      <c r="E178" s="37" t="s">
        <v>873</v>
      </c>
      <c r="F178" s="37"/>
      <c r="G178" s="37" t="s">
        <v>874</v>
      </c>
      <c r="H178" s="37" t="s">
        <v>315</v>
      </c>
      <c r="I178" s="37">
        <v>199</v>
      </c>
      <c r="J178" s="37">
        <v>0</v>
      </c>
      <c r="K178" s="37">
        <v>0</v>
      </c>
      <c r="L178" s="37">
        <v>0</v>
      </c>
      <c r="M178" s="37">
        <v>0</v>
      </c>
      <c r="N178" s="37">
        <v>0</v>
      </c>
      <c r="O178" s="37">
        <v>199</v>
      </c>
      <c r="P178" s="22" t="str">
        <f>TRIM(Tabla1[[#This Row],[Articulo]])</f>
        <v>7790000000282</v>
      </c>
      <c r="Q178" s="22" t="e">
        <f>_xlfn.XLOOKUP(Tabla1[[#This Row],[Ean Normalizado]],tabla_consumos[EAN],tabla_consumos[Familia])</f>
        <v>#N/A</v>
      </c>
      <c r="R178" s="22" t="e">
        <f>_xlfn.XLOOKUP(Tabla1[[#This Row],[Ean Normalizado]],tabla_consumos[EAN],tabla_consumos[UM])</f>
        <v>#N/A</v>
      </c>
      <c r="S178" s="22" t="e">
        <f>Tabla1[[#This Row],[StockDisp]]*Tabla1[[#This Row],[UM producto]]</f>
        <v>#N/A</v>
      </c>
    </row>
    <row r="179" spans="1:19" x14ac:dyDescent="0.35">
      <c r="A179" s="37">
        <v>1</v>
      </c>
      <c r="B179" s="37" t="s">
        <v>322</v>
      </c>
      <c r="C179" s="37" t="s">
        <v>311</v>
      </c>
      <c r="D179" s="37" t="s">
        <v>436</v>
      </c>
      <c r="E179" s="37" t="s">
        <v>437</v>
      </c>
      <c r="F179" s="37">
        <v>4002136</v>
      </c>
      <c r="G179" s="37" t="s">
        <v>438</v>
      </c>
      <c r="H179" s="37" t="s">
        <v>315</v>
      </c>
      <c r="I179" s="37">
        <v>28</v>
      </c>
      <c r="J179" s="37">
        <v>0</v>
      </c>
      <c r="K179" s="37">
        <v>0</v>
      </c>
      <c r="L179" s="37">
        <v>0</v>
      </c>
      <c r="M179" s="37">
        <v>0</v>
      </c>
      <c r="N179" s="37">
        <v>0</v>
      </c>
      <c r="O179" s="37">
        <v>28</v>
      </c>
      <c r="P179" s="22" t="str">
        <f>TRIM(Tabla1[[#This Row],[Articulo]])</f>
        <v>7790000000617</v>
      </c>
      <c r="Q179" s="22" t="e">
        <f>_xlfn.XLOOKUP(Tabla1[[#This Row],[Ean Normalizado]],tabla_consumos[EAN],tabla_consumos[Familia])</f>
        <v>#N/A</v>
      </c>
      <c r="R179" s="22" t="e">
        <f>_xlfn.XLOOKUP(Tabla1[[#This Row],[Ean Normalizado]],tabla_consumos[EAN],tabla_consumos[UM])</f>
        <v>#N/A</v>
      </c>
      <c r="S179" s="22" t="e">
        <f>Tabla1[[#This Row],[StockDisp]]*Tabla1[[#This Row],[UM producto]]</f>
        <v>#N/A</v>
      </c>
    </row>
    <row r="180" spans="1:19" x14ac:dyDescent="0.35">
      <c r="A180" s="37">
        <v>6</v>
      </c>
      <c r="B180" s="37" t="s">
        <v>319</v>
      </c>
      <c r="C180" s="37" t="s">
        <v>311</v>
      </c>
      <c r="D180" s="37" t="s">
        <v>439</v>
      </c>
      <c r="E180" s="37" t="s">
        <v>440</v>
      </c>
      <c r="F180" s="37">
        <v>2006665</v>
      </c>
      <c r="G180" s="37" t="s">
        <v>264</v>
      </c>
      <c r="H180" s="37" t="s">
        <v>315</v>
      </c>
      <c r="I180" s="37">
        <v>65</v>
      </c>
      <c r="J180" s="37">
        <v>42</v>
      </c>
      <c r="K180" s="37">
        <v>0</v>
      </c>
      <c r="L180" s="37">
        <v>0</v>
      </c>
      <c r="M180" s="37">
        <v>0</v>
      </c>
      <c r="N180" s="37">
        <v>0</v>
      </c>
      <c r="O180" s="37">
        <v>107</v>
      </c>
      <c r="P180" s="22" t="str">
        <f>TRIM(Tabla1[[#This Row],[Articulo]])</f>
        <v>17790250912825</v>
      </c>
      <c r="Q180" s="22" t="str">
        <f>_xlfn.XLOOKUP(Tabla1[[#This Row],[Ean Normalizado]],tabla_consumos[EAN],tabla_consumos[Familia])</f>
        <v>SERVILLETAS ELITE 16X21</v>
      </c>
      <c r="R180" s="22">
        <f>_xlfn.XLOOKUP(Tabla1[[#This Row],[Ean Normalizado]],tabla_consumos[EAN],tabla_consumos[UM])</f>
        <v>8400</v>
      </c>
      <c r="S180" s="22">
        <f>Tabla1[[#This Row],[StockDisp]]*Tabla1[[#This Row],[UM producto]]</f>
        <v>898800</v>
      </c>
    </row>
    <row r="181" spans="1:19" x14ac:dyDescent="0.35">
      <c r="A181" s="37">
        <v>6</v>
      </c>
      <c r="B181" s="37" t="s">
        <v>319</v>
      </c>
      <c r="C181" s="37" t="s">
        <v>311</v>
      </c>
      <c r="D181" s="37" t="s">
        <v>987</v>
      </c>
      <c r="E181" s="37" t="s">
        <v>988</v>
      </c>
      <c r="F181" s="37">
        <v>2007497</v>
      </c>
      <c r="G181" s="37" t="s">
        <v>989</v>
      </c>
      <c r="H181" s="37" t="s">
        <v>315</v>
      </c>
      <c r="I181" s="37">
        <v>485</v>
      </c>
      <c r="J181" s="37">
        <v>0</v>
      </c>
      <c r="K181" s="37">
        <v>0</v>
      </c>
      <c r="L181" s="37">
        <v>0</v>
      </c>
      <c r="M181" s="37">
        <v>435</v>
      </c>
      <c r="N181" s="37">
        <v>0</v>
      </c>
      <c r="O181" s="37">
        <v>50</v>
      </c>
      <c r="P181" s="22" t="str">
        <f>TRIM(Tabla1[[#This Row],[Articulo]])</f>
        <v>7790000000471</v>
      </c>
      <c r="Q181" s="22" t="e">
        <f>_xlfn.XLOOKUP(Tabla1[[#This Row],[Ean Normalizado]],tabla_consumos[EAN],tabla_consumos[Familia])</f>
        <v>#N/A</v>
      </c>
      <c r="R181" s="22" t="e">
        <f>_xlfn.XLOOKUP(Tabla1[[#This Row],[Ean Normalizado]],tabla_consumos[EAN],tabla_consumos[UM])</f>
        <v>#N/A</v>
      </c>
      <c r="S181" s="22" t="e">
        <f>Tabla1[[#This Row],[StockDisp]]*Tabla1[[#This Row],[UM producto]]</f>
        <v>#N/A</v>
      </c>
    </row>
    <row r="182" spans="1:19" x14ac:dyDescent="0.35">
      <c r="A182" s="37">
        <v>6</v>
      </c>
      <c r="B182" s="37" t="s">
        <v>319</v>
      </c>
      <c r="C182" s="37" t="s">
        <v>311</v>
      </c>
      <c r="D182" s="37"/>
      <c r="E182" s="37" t="s">
        <v>931</v>
      </c>
      <c r="F182" s="37"/>
      <c r="G182" s="37" t="s">
        <v>932</v>
      </c>
      <c r="H182" s="37" t="s">
        <v>315</v>
      </c>
      <c r="I182" s="37">
        <v>4</v>
      </c>
      <c r="J182" s="37">
        <v>0</v>
      </c>
      <c r="K182" s="37">
        <v>0</v>
      </c>
      <c r="L182" s="37">
        <v>0</v>
      </c>
      <c r="M182" s="37">
        <v>0</v>
      </c>
      <c r="N182" s="37">
        <v>0</v>
      </c>
      <c r="O182" s="37">
        <v>4</v>
      </c>
      <c r="P182" s="22" t="str">
        <f>TRIM(Tabla1[[#This Row],[Articulo]])</f>
        <v>7798332281473</v>
      </c>
      <c r="Q182" s="22" t="e">
        <f>_xlfn.XLOOKUP(Tabla1[[#This Row],[Ean Normalizado]],tabla_consumos[EAN],tabla_consumos[Familia])</f>
        <v>#N/A</v>
      </c>
      <c r="R182" s="22" t="e">
        <f>_xlfn.XLOOKUP(Tabla1[[#This Row],[Ean Normalizado]],tabla_consumos[EAN],tabla_consumos[UM])</f>
        <v>#N/A</v>
      </c>
      <c r="S182" s="22" t="e">
        <f>Tabla1[[#This Row],[StockDisp]]*Tabla1[[#This Row],[UM producto]]</f>
        <v>#N/A</v>
      </c>
    </row>
    <row r="183" spans="1:19" x14ac:dyDescent="0.35">
      <c r="A183" s="37">
        <v>6</v>
      </c>
      <c r="B183" s="37" t="s">
        <v>319</v>
      </c>
      <c r="C183" s="37" t="s">
        <v>311</v>
      </c>
      <c r="D183" s="37" t="s">
        <v>493</v>
      </c>
      <c r="E183" s="37" t="s">
        <v>990</v>
      </c>
      <c r="F183" s="37">
        <v>2007451</v>
      </c>
      <c r="G183" s="37" t="s">
        <v>991</v>
      </c>
      <c r="H183" s="37" t="s">
        <v>315</v>
      </c>
      <c r="I183" s="37">
        <v>0</v>
      </c>
      <c r="J183" s="37">
        <v>500</v>
      </c>
      <c r="K183" s="37">
        <v>500</v>
      </c>
      <c r="L183" s="37">
        <v>0</v>
      </c>
      <c r="M183" s="37">
        <v>0</v>
      </c>
      <c r="N183" s="37">
        <v>0</v>
      </c>
      <c r="O183" s="37">
        <v>0</v>
      </c>
      <c r="P183" s="22" t="str">
        <f>TRIM(Tabla1[[#This Row],[Articulo]])</f>
        <v>7796322010911</v>
      </c>
      <c r="Q183" s="22" t="e">
        <f>_xlfn.XLOOKUP(Tabla1[[#This Row],[Ean Normalizado]],tabla_consumos[EAN],tabla_consumos[Familia])</f>
        <v>#N/A</v>
      </c>
      <c r="R183" s="22" t="e">
        <f>_xlfn.XLOOKUP(Tabla1[[#This Row],[Ean Normalizado]],tabla_consumos[EAN],tabla_consumos[UM])</f>
        <v>#N/A</v>
      </c>
      <c r="S183" s="22" t="e">
        <f>Tabla1[[#This Row],[StockDisp]]*Tabla1[[#This Row],[UM producto]]</f>
        <v>#N/A</v>
      </c>
    </row>
    <row r="184" spans="1:19" x14ac:dyDescent="0.35">
      <c r="A184" s="37">
        <v>5</v>
      </c>
      <c r="B184" s="37" t="s">
        <v>310</v>
      </c>
      <c r="C184" s="37" t="s">
        <v>311</v>
      </c>
      <c r="D184" s="37"/>
      <c r="E184" s="37" t="s">
        <v>679</v>
      </c>
      <c r="F184" s="37">
        <v>4077428</v>
      </c>
      <c r="G184" s="37" t="s">
        <v>680</v>
      </c>
      <c r="H184" s="37" t="s">
        <v>315</v>
      </c>
      <c r="I184" s="37">
        <v>209</v>
      </c>
      <c r="J184" s="37">
        <v>0</v>
      </c>
      <c r="K184" s="37">
        <v>0</v>
      </c>
      <c r="L184" s="37">
        <v>0</v>
      </c>
      <c r="M184" s="37">
        <v>0</v>
      </c>
      <c r="N184" s="37">
        <v>0</v>
      </c>
      <c r="O184" s="37">
        <v>209</v>
      </c>
      <c r="P184" s="22" t="str">
        <f>TRIM(Tabla1[[#This Row],[Articulo]])</f>
        <v>7896004009186</v>
      </c>
      <c r="Q184" s="22" t="e">
        <f>_xlfn.XLOOKUP(Tabla1[[#This Row],[Ean Normalizado]],tabla_consumos[EAN],tabla_consumos[Familia])</f>
        <v>#N/A</v>
      </c>
      <c r="R184" s="22" t="e">
        <f>_xlfn.XLOOKUP(Tabla1[[#This Row],[Ean Normalizado]],tabla_consumos[EAN],tabla_consumos[UM])</f>
        <v>#N/A</v>
      </c>
      <c r="S184" s="22" t="e">
        <f>Tabla1[[#This Row],[StockDisp]]*Tabla1[[#This Row],[UM producto]]</f>
        <v>#N/A</v>
      </c>
    </row>
    <row r="185" spans="1:19" x14ac:dyDescent="0.35">
      <c r="A185" s="37">
        <v>1</v>
      </c>
      <c r="B185" s="37" t="s">
        <v>322</v>
      </c>
      <c r="C185" s="37" t="s">
        <v>311</v>
      </c>
      <c r="D185" s="37"/>
      <c r="E185" s="37" t="s">
        <v>933</v>
      </c>
      <c r="F185" s="37"/>
      <c r="G185" s="37" t="s">
        <v>934</v>
      </c>
      <c r="H185" s="37" t="s">
        <v>346</v>
      </c>
      <c r="I185" s="37">
        <v>0</v>
      </c>
      <c r="J185" s="37">
        <v>0</v>
      </c>
      <c r="K185" s="37">
        <v>0</v>
      </c>
      <c r="L185" s="37">
        <v>0</v>
      </c>
      <c r="M185" s="37">
        <v>-30</v>
      </c>
      <c r="N185" s="37">
        <v>0</v>
      </c>
      <c r="O185" s="37">
        <v>30</v>
      </c>
      <c r="P185" s="22" t="str">
        <f>TRIM(Tabla1[[#This Row],[Articulo]])</f>
        <v>7790000000643</v>
      </c>
      <c r="Q185" s="22" t="e">
        <f>_xlfn.XLOOKUP(Tabla1[[#This Row],[Ean Normalizado]],tabla_consumos[EAN],tabla_consumos[Familia])</f>
        <v>#N/A</v>
      </c>
      <c r="R185" s="22" t="e">
        <f>_xlfn.XLOOKUP(Tabla1[[#This Row],[Ean Normalizado]],tabla_consumos[EAN],tabla_consumos[UM])</f>
        <v>#N/A</v>
      </c>
      <c r="S185" s="22" t="e">
        <f>Tabla1[[#This Row],[StockDisp]]*Tabla1[[#This Row],[UM producto]]</f>
        <v>#N/A</v>
      </c>
    </row>
    <row r="186" spans="1:19" x14ac:dyDescent="0.35">
      <c r="A186" s="37">
        <v>6</v>
      </c>
      <c r="B186" s="37" t="s">
        <v>319</v>
      </c>
      <c r="C186" s="37" t="s">
        <v>311</v>
      </c>
      <c r="D186" s="37" t="s">
        <v>528</v>
      </c>
      <c r="E186" s="37" t="s">
        <v>992</v>
      </c>
      <c r="F186" s="37">
        <v>2007535</v>
      </c>
      <c r="G186" s="37" t="s">
        <v>993</v>
      </c>
      <c r="H186" s="37" t="s">
        <v>315</v>
      </c>
      <c r="I186" s="37">
        <v>37</v>
      </c>
      <c r="J186" s="37">
        <v>50</v>
      </c>
      <c r="K186" s="37">
        <v>50</v>
      </c>
      <c r="L186" s="37">
        <v>0</v>
      </c>
      <c r="M186" s="37">
        <v>0</v>
      </c>
      <c r="N186" s="37">
        <v>0</v>
      </c>
      <c r="O186" s="37">
        <v>37</v>
      </c>
      <c r="P186" s="22" t="str">
        <f>TRIM(Tabla1[[#This Row],[Articulo]])</f>
        <v>7790000000502</v>
      </c>
      <c r="Q186" s="22" t="e">
        <f>_xlfn.XLOOKUP(Tabla1[[#This Row],[Ean Normalizado]],tabla_consumos[EAN],tabla_consumos[Familia])</f>
        <v>#N/A</v>
      </c>
      <c r="R186" s="22" t="e">
        <f>_xlfn.XLOOKUP(Tabla1[[#This Row],[Ean Normalizado]],tabla_consumos[EAN],tabla_consumos[UM])</f>
        <v>#N/A</v>
      </c>
      <c r="S186" s="22" t="e">
        <f>Tabla1[[#This Row],[StockDisp]]*Tabla1[[#This Row],[UM producto]]</f>
        <v>#N/A</v>
      </c>
    </row>
    <row r="187" spans="1:19" x14ac:dyDescent="0.35">
      <c r="A187" s="37">
        <v>6</v>
      </c>
      <c r="B187" s="37" t="s">
        <v>319</v>
      </c>
      <c r="C187" s="37" t="s">
        <v>311</v>
      </c>
      <c r="D187" s="37" t="s">
        <v>609</v>
      </c>
      <c r="E187" s="37" t="s">
        <v>798</v>
      </c>
      <c r="F187" s="37">
        <v>2006332</v>
      </c>
      <c r="G187" s="37" t="s">
        <v>799</v>
      </c>
      <c r="H187" s="37" t="s">
        <v>315</v>
      </c>
      <c r="I187" s="37">
        <v>56</v>
      </c>
      <c r="J187" s="37">
        <v>0</v>
      </c>
      <c r="K187" s="37">
        <v>0</v>
      </c>
      <c r="L187" s="37">
        <v>0</v>
      </c>
      <c r="M187" s="37">
        <v>0</v>
      </c>
      <c r="N187" s="37">
        <v>0</v>
      </c>
      <c r="O187" s="37">
        <v>56</v>
      </c>
      <c r="P187" s="22" t="str">
        <f>TRIM(Tabla1[[#This Row],[Articulo]])</f>
        <v>7798057860861</v>
      </c>
      <c r="Q187" s="22" t="e">
        <f>_xlfn.XLOOKUP(Tabla1[[#This Row],[Ean Normalizado]],tabla_consumos[EAN],tabla_consumos[Familia])</f>
        <v>#N/A</v>
      </c>
      <c r="R187" s="22" t="e">
        <f>_xlfn.XLOOKUP(Tabla1[[#This Row],[Ean Normalizado]],tabla_consumos[EAN],tabla_consumos[UM])</f>
        <v>#N/A</v>
      </c>
      <c r="S187" s="22" t="e">
        <f>Tabla1[[#This Row],[StockDisp]]*Tabla1[[#This Row],[UM producto]]</f>
        <v>#N/A</v>
      </c>
    </row>
    <row r="188" spans="1:19" x14ac:dyDescent="0.35">
      <c r="A188" s="37">
        <v>6</v>
      </c>
      <c r="B188" s="37" t="s">
        <v>319</v>
      </c>
      <c r="C188" s="37" t="s">
        <v>311</v>
      </c>
      <c r="D188" s="37" t="s">
        <v>841</v>
      </c>
      <c r="E188" s="37" t="s">
        <v>842</v>
      </c>
      <c r="F188" s="37">
        <v>2007525</v>
      </c>
      <c r="G188" s="37" t="s">
        <v>843</v>
      </c>
      <c r="H188" s="37" t="s">
        <v>315</v>
      </c>
      <c r="I188" s="37">
        <v>24</v>
      </c>
      <c r="J188" s="37">
        <v>0</v>
      </c>
      <c r="K188" s="37">
        <v>0</v>
      </c>
      <c r="L188" s="37">
        <v>0</v>
      </c>
      <c r="M188" s="37">
        <v>0</v>
      </c>
      <c r="N188" s="37">
        <v>0</v>
      </c>
      <c r="O188" s="37">
        <v>24</v>
      </c>
      <c r="P188" s="22" t="str">
        <f>TRIM(Tabla1[[#This Row],[Articulo]])</f>
        <v>7898319325524</v>
      </c>
      <c r="Q188" s="22" t="e">
        <f>_xlfn.XLOOKUP(Tabla1[[#This Row],[Ean Normalizado]],tabla_consumos[EAN],tabla_consumos[Familia])</f>
        <v>#N/A</v>
      </c>
      <c r="R188" s="22" t="e">
        <f>_xlfn.XLOOKUP(Tabla1[[#This Row],[Ean Normalizado]],tabla_consumos[EAN],tabla_consumos[UM])</f>
        <v>#N/A</v>
      </c>
      <c r="S188" s="22" t="e">
        <f>Tabla1[[#This Row],[StockDisp]]*Tabla1[[#This Row],[UM producto]]</f>
        <v>#N/A</v>
      </c>
    </row>
    <row r="189" spans="1:19" x14ac:dyDescent="0.35">
      <c r="A189" s="37">
        <v>1</v>
      </c>
      <c r="B189" s="37" t="s">
        <v>322</v>
      </c>
      <c r="C189" s="37" t="s">
        <v>311</v>
      </c>
      <c r="D189" s="37" t="s">
        <v>477</v>
      </c>
      <c r="E189" s="37" t="s">
        <v>478</v>
      </c>
      <c r="F189" s="37">
        <v>4077144</v>
      </c>
      <c r="G189" s="37" t="s">
        <v>479</v>
      </c>
      <c r="H189" s="37" t="s">
        <v>315</v>
      </c>
      <c r="I189" s="37">
        <v>68</v>
      </c>
      <c r="J189" s="37">
        <v>0</v>
      </c>
      <c r="K189" s="37">
        <v>0</v>
      </c>
      <c r="L189" s="37">
        <v>0</v>
      </c>
      <c r="M189" s="37">
        <v>0</v>
      </c>
      <c r="N189" s="37">
        <v>0</v>
      </c>
      <c r="O189" s="37">
        <v>68</v>
      </c>
      <c r="P189" s="22" t="str">
        <f>TRIM(Tabla1[[#This Row],[Articulo]])</f>
        <v>17792180005950</v>
      </c>
      <c r="Q189" s="22" t="e">
        <f>_xlfn.XLOOKUP(Tabla1[[#This Row],[Ean Normalizado]],tabla_consumos[EAN],tabla_consumos[Familia])</f>
        <v>#N/A</v>
      </c>
      <c r="R189" s="22" t="e">
        <f>_xlfn.XLOOKUP(Tabla1[[#This Row],[Ean Normalizado]],tabla_consumos[EAN],tabla_consumos[UM])</f>
        <v>#N/A</v>
      </c>
      <c r="S189" s="22" t="e">
        <f>Tabla1[[#This Row],[StockDisp]]*Tabla1[[#This Row],[UM producto]]</f>
        <v>#N/A</v>
      </c>
    </row>
    <row r="190" spans="1:19" x14ac:dyDescent="0.35">
      <c r="A190" s="37">
        <v>5</v>
      </c>
      <c r="B190" s="37" t="s">
        <v>310</v>
      </c>
      <c r="C190" s="37" t="s">
        <v>311</v>
      </c>
      <c r="D190" s="37"/>
      <c r="E190" s="37" t="s">
        <v>834</v>
      </c>
      <c r="F190" s="37">
        <v>4003995</v>
      </c>
      <c r="G190" s="37" t="s">
        <v>835</v>
      </c>
      <c r="H190" s="37" t="s">
        <v>346</v>
      </c>
      <c r="I190" s="37">
        <v>162</v>
      </c>
      <c r="J190" s="37">
        <v>0</v>
      </c>
      <c r="K190" s="37">
        <v>0</v>
      </c>
      <c r="L190" s="37">
        <v>0</v>
      </c>
      <c r="M190" s="37">
        <v>40</v>
      </c>
      <c r="N190" s="37">
        <v>0</v>
      </c>
      <c r="O190" s="37">
        <v>122</v>
      </c>
      <c r="P190" s="22" t="str">
        <f>TRIM(Tabla1[[#This Row],[Articulo]])</f>
        <v>4003995</v>
      </c>
      <c r="Q190" s="22" t="e">
        <f>_xlfn.XLOOKUP(Tabla1[[#This Row],[Ean Normalizado]],tabla_consumos[EAN],tabla_consumos[Familia])</f>
        <v>#N/A</v>
      </c>
      <c r="R190" s="22" t="e">
        <f>_xlfn.XLOOKUP(Tabla1[[#This Row],[Ean Normalizado]],tabla_consumos[EAN],tabla_consumos[UM])</f>
        <v>#N/A</v>
      </c>
      <c r="S190" s="22" t="e">
        <f>Tabla1[[#This Row],[StockDisp]]*Tabla1[[#This Row],[UM producto]]</f>
        <v>#N/A</v>
      </c>
    </row>
    <row r="191" spans="1:19" x14ac:dyDescent="0.35">
      <c r="A191" s="37">
        <v>6</v>
      </c>
      <c r="B191" s="37" t="s">
        <v>319</v>
      </c>
      <c r="C191" s="37" t="s">
        <v>311</v>
      </c>
      <c r="D191" s="37" t="s">
        <v>836</v>
      </c>
      <c r="E191" s="37" t="s">
        <v>837</v>
      </c>
      <c r="F191" s="37">
        <v>2007521</v>
      </c>
      <c r="G191" s="37" t="s">
        <v>838</v>
      </c>
      <c r="H191" s="37" t="s">
        <v>315</v>
      </c>
      <c r="I191" s="37">
        <v>11</v>
      </c>
      <c r="J191" s="37">
        <v>0</v>
      </c>
      <c r="K191" s="37">
        <v>0</v>
      </c>
      <c r="L191" s="37">
        <v>0</v>
      </c>
      <c r="M191" s="37">
        <v>0</v>
      </c>
      <c r="N191" s="37">
        <v>0</v>
      </c>
      <c r="O191" s="37">
        <v>11</v>
      </c>
      <c r="P191" s="22" t="str">
        <f>TRIM(Tabla1[[#This Row],[Articulo]])</f>
        <v>7798188650034</v>
      </c>
      <c r="Q191" s="22" t="e">
        <f>_xlfn.XLOOKUP(Tabla1[[#This Row],[Ean Normalizado]],tabla_consumos[EAN],tabla_consumos[Familia])</f>
        <v>#N/A</v>
      </c>
      <c r="R191" s="22" t="e">
        <f>_xlfn.XLOOKUP(Tabla1[[#This Row],[Ean Normalizado]],tabla_consumos[EAN],tabla_consumos[UM])</f>
        <v>#N/A</v>
      </c>
      <c r="S191" s="22" t="e">
        <f>Tabla1[[#This Row],[StockDisp]]*Tabla1[[#This Row],[UM producto]]</f>
        <v>#N/A</v>
      </c>
    </row>
    <row r="192" spans="1:19" x14ac:dyDescent="0.35">
      <c r="A192" s="37">
        <v>1</v>
      </c>
      <c r="B192" s="37" t="s">
        <v>322</v>
      </c>
      <c r="C192" s="37" t="s">
        <v>311</v>
      </c>
      <c r="D192" s="37" t="s">
        <v>891</v>
      </c>
      <c r="E192" s="37" t="s">
        <v>892</v>
      </c>
      <c r="F192" s="37">
        <v>4076702</v>
      </c>
      <c r="G192" s="37" t="s">
        <v>893</v>
      </c>
      <c r="H192" s="37" t="s">
        <v>315</v>
      </c>
      <c r="I192" s="37">
        <v>60</v>
      </c>
      <c r="J192" s="37">
        <v>0</v>
      </c>
      <c r="K192" s="37">
        <v>0</v>
      </c>
      <c r="L192" s="37">
        <v>0</v>
      </c>
      <c r="M192" s="37">
        <v>0</v>
      </c>
      <c r="N192" s="37">
        <v>0</v>
      </c>
      <c r="O192" s="37">
        <v>60</v>
      </c>
      <c r="P192" s="22" t="str">
        <f>TRIM(Tabla1[[#This Row],[Articulo]])</f>
        <v>7792590005864</v>
      </c>
      <c r="Q192" s="22" t="e">
        <f>_xlfn.XLOOKUP(Tabla1[[#This Row],[Ean Normalizado]],tabla_consumos[EAN],tabla_consumos[Familia])</f>
        <v>#N/A</v>
      </c>
      <c r="R192" s="22" t="e">
        <f>_xlfn.XLOOKUP(Tabla1[[#This Row],[Ean Normalizado]],tabla_consumos[EAN],tabla_consumos[UM])</f>
        <v>#N/A</v>
      </c>
      <c r="S192" s="22" t="e">
        <f>Tabla1[[#This Row],[StockDisp]]*Tabla1[[#This Row],[UM producto]]</f>
        <v>#N/A</v>
      </c>
    </row>
    <row r="193" spans="1:19" x14ac:dyDescent="0.35">
      <c r="A193" s="37">
        <v>6</v>
      </c>
      <c r="B193" s="37" t="s">
        <v>319</v>
      </c>
      <c r="C193" s="37" t="s">
        <v>311</v>
      </c>
      <c r="D193" s="37"/>
      <c r="E193" s="37" t="s">
        <v>830</v>
      </c>
      <c r="F193" s="37">
        <v>2007127</v>
      </c>
      <c r="G193" s="37" t="s">
        <v>831</v>
      </c>
      <c r="H193" s="37" t="s">
        <v>315</v>
      </c>
      <c r="I193" s="37">
        <v>253</v>
      </c>
      <c r="J193" s="37">
        <v>0</v>
      </c>
      <c r="K193" s="37">
        <v>0</v>
      </c>
      <c r="L193" s="37">
        <v>0</v>
      </c>
      <c r="M193" s="37">
        <v>2</v>
      </c>
      <c r="N193" s="37">
        <v>0</v>
      </c>
      <c r="O193" s="37">
        <v>251</v>
      </c>
      <c r="P193" s="22" t="str">
        <f>TRIM(Tabla1[[#This Row],[Articulo]])</f>
        <v>7790000000225</v>
      </c>
      <c r="Q193" s="22" t="str">
        <f>_xlfn.XLOOKUP(Tabla1[[#This Row],[Ean Normalizado]],tabla_consumos[EAN],tabla_consumos[Familia])</f>
        <v>CUCHILLO</v>
      </c>
      <c r="R193" s="22">
        <f>_xlfn.XLOOKUP(Tabla1[[#This Row],[Ean Normalizado]],tabla_consumos[EAN],tabla_consumos[UM])</f>
        <v>1000</v>
      </c>
      <c r="S193" s="22">
        <f>Tabla1[[#This Row],[StockDisp]]*Tabla1[[#This Row],[UM producto]]</f>
        <v>251000</v>
      </c>
    </row>
    <row r="194" spans="1:19" x14ac:dyDescent="0.35">
      <c r="A194" s="37">
        <v>6</v>
      </c>
      <c r="B194" s="37" t="s">
        <v>319</v>
      </c>
      <c r="C194" s="37" t="s">
        <v>311</v>
      </c>
      <c r="D194" s="37"/>
      <c r="E194" s="37" t="s">
        <v>832</v>
      </c>
      <c r="F194" s="37">
        <v>2007151</v>
      </c>
      <c r="G194" s="37" t="s">
        <v>833</v>
      </c>
      <c r="H194" s="37" t="s">
        <v>315</v>
      </c>
      <c r="I194" s="37">
        <v>38</v>
      </c>
      <c r="J194" s="37">
        <v>0</v>
      </c>
      <c r="K194" s="37">
        <v>0</v>
      </c>
      <c r="L194" s="37">
        <v>0</v>
      </c>
      <c r="M194" s="37">
        <v>0</v>
      </c>
      <c r="N194" s="37">
        <v>0</v>
      </c>
      <c r="O194" s="37">
        <v>38</v>
      </c>
      <c r="P194" s="22" t="str">
        <f>TRIM(Tabla1[[#This Row],[Articulo]])</f>
        <v>9992018210896</v>
      </c>
      <c r="Q194" s="22" t="e">
        <f>_xlfn.XLOOKUP(Tabla1[[#This Row],[Ean Normalizado]],tabla_consumos[EAN],tabla_consumos[Familia])</f>
        <v>#N/A</v>
      </c>
      <c r="R194" s="22" t="e">
        <f>_xlfn.XLOOKUP(Tabla1[[#This Row],[Ean Normalizado]],tabla_consumos[EAN],tabla_consumos[UM])</f>
        <v>#N/A</v>
      </c>
      <c r="S194" s="22" t="e">
        <f>Tabla1[[#This Row],[StockDisp]]*Tabla1[[#This Row],[UM producto]]</f>
        <v>#N/A</v>
      </c>
    </row>
    <row r="195" spans="1:19" x14ac:dyDescent="0.35">
      <c r="A195" s="37">
        <v>6</v>
      </c>
      <c r="B195" s="37" t="s">
        <v>319</v>
      </c>
      <c r="C195" s="37" t="s">
        <v>311</v>
      </c>
      <c r="D195" s="37" t="s">
        <v>72</v>
      </c>
      <c r="E195" s="37" t="s">
        <v>939</v>
      </c>
      <c r="F195" s="37">
        <v>2011503</v>
      </c>
      <c r="G195" s="37" t="s">
        <v>221</v>
      </c>
      <c r="H195" s="37" t="s">
        <v>315</v>
      </c>
      <c r="I195" s="37">
        <v>321</v>
      </c>
      <c r="J195" s="37">
        <v>0</v>
      </c>
      <c r="K195" s="37">
        <v>0</v>
      </c>
      <c r="L195" s="37">
        <v>0</v>
      </c>
      <c r="M195" s="37">
        <v>0</v>
      </c>
      <c r="N195" s="37">
        <v>0</v>
      </c>
      <c r="O195" s="37">
        <v>321</v>
      </c>
      <c r="P195" s="22" t="str">
        <f>TRIM(Tabla1[[#This Row],[Articulo]])</f>
        <v>7798011210060</v>
      </c>
      <c r="Q195" s="22" t="str">
        <f>_xlfn.XLOOKUP(Tabla1[[#This Row],[Ean Normalizado]],tabla_consumos[EAN],tabla_consumos[Familia])</f>
        <v>TAPA 103</v>
      </c>
      <c r="R195" s="22">
        <f>_xlfn.XLOOKUP(Tabla1[[#This Row],[Ean Normalizado]],tabla_consumos[EAN],tabla_consumos[UM])</f>
        <v>50</v>
      </c>
      <c r="S195" s="22">
        <f>Tabla1[[#This Row],[StockDisp]]*Tabla1[[#This Row],[UM producto]]</f>
        <v>16050</v>
      </c>
    </row>
    <row r="196" spans="1:19" x14ac:dyDescent="0.35">
      <c r="A196" s="37">
        <v>6</v>
      </c>
      <c r="B196" s="37" t="s">
        <v>319</v>
      </c>
      <c r="C196" s="37" t="s">
        <v>311</v>
      </c>
      <c r="D196" s="37"/>
      <c r="E196" s="37" t="s">
        <v>430</v>
      </c>
      <c r="F196" s="37">
        <v>2007502</v>
      </c>
      <c r="G196" s="37" t="s">
        <v>431</v>
      </c>
      <c r="H196" s="37" t="s">
        <v>315</v>
      </c>
      <c r="I196" s="37">
        <v>14</v>
      </c>
      <c r="J196" s="37">
        <v>0</v>
      </c>
      <c r="K196" s="37">
        <v>0</v>
      </c>
      <c r="L196" s="37">
        <v>0</v>
      </c>
      <c r="M196" s="37">
        <v>0</v>
      </c>
      <c r="N196" s="37">
        <v>0</v>
      </c>
      <c r="O196" s="37">
        <v>14</v>
      </c>
      <c r="P196" s="22" t="str">
        <f>TRIM(Tabla1[[#This Row],[Articulo]])</f>
        <v>7790000000476</v>
      </c>
      <c r="Q196" s="22" t="e">
        <f>_xlfn.XLOOKUP(Tabla1[[#This Row],[Ean Normalizado]],tabla_consumos[EAN],tabla_consumos[Familia])</f>
        <v>#N/A</v>
      </c>
      <c r="R196" s="22" t="e">
        <f>_xlfn.XLOOKUP(Tabla1[[#This Row],[Ean Normalizado]],tabla_consumos[EAN],tabla_consumos[UM])</f>
        <v>#N/A</v>
      </c>
      <c r="S196" s="22" t="e">
        <f>Tabla1[[#This Row],[StockDisp]]*Tabla1[[#This Row],[UM producto]]</f>
        <v>#N/A</v>
      </c>
    </row>
    <row r="197" spans="1:19" x14ac:dyDescent="0.35">
      <c r="A197" s="37">
        <v>5</v>
      </c>
      <c r="B197" s="37" t="s">
        <v>310</v>
      </c>
      <c r="C197" s="37" t="s">
        <v>311</v>
      </c>
      <c r="D197" s="37"/>
      <c r="E197" s="37" t="s">
        <v>622</v>
      </c>
      <c r="F197" s="37">
        <v>4001218</v>
      </c>
      <c r="G197" s="37" t="s">
        <v>623</v>
      </c>
      <c r="H197" s="37" t="s">
        <v>346</v>
      </c>
      <c r="I197" s="37">
        <v>261.55</v>
      </c>
      <c r="J197" s="37">
        <v>0</v>
      </c>
      <c r="K197" s="37">
        <v>0</v>
      </c>
      <c r="L197" s="37">
        <v>16</v>
      </c>
      <c r="M197" s="37">
        <v>187.5</v>
      </c>
      <c r="N197" s="37">
        <v>0</v>
      </c>
      <c r="O197" s="37">
        <v>58.05</v>
      </c>
      <c r="P197" s="22" t="str">
        <f>TRIM(Tabla1[[#This Row],[Articulo]])</f>
        <v>4001218</v>
      </c>
      <c r="Q197" s="22" t="e">
        <f>_xlfn.XLOOKUP(Tabla1[[#This Row],[Ean Normalizado]],tabla_consumos[EAN],tabla_consumos[Familia])</f>
        <v>#N/A</v>
      </c>
      <c r="R197" s="22" t="e">
        <f>_xlfn.XLOOKUP(Tabla1[[#This Row],[Ean Normalizado]],tabla_consumos[EAN],tabla_consumos[UM])</f>
        <v>#N/A</v>
      </c>
      <c r="S197" s="22" t="e">
        <f>Tabla1[[#This Row],[StockDisp]]*Tabla1[[#This Row],[UM producto]]</f>
        <v>#N/A</v>
      </c>
    </row>
    <row r="198" spans="1:19" x14ac:dyDescent="0.35">
      <c r="A198" s="37">
        <v>6</v>
      </c>
      <c r="B198" s="37" t="s">
        <v>319</v>
      </c>
      <c r="C198" s="37" t="s">
        <v>311</v>
      </c>
      <c r="D198" s="37" t="s">
        <v>386</v>
      </c>
      <c r="E198" s="37" t="s">
        <v>852</v>
      </c>
      <c r="F198" s="37">
        <v>2007543</v>
      </c>
      <c r="G198" s="37" t="s">
        <v>853</v>
      </c>
      <c r="H198" s="37" t="s">
        <v>315</v>
      </c>
      <c r="I198" s="37">
        <v>21</v>
      </c>
      <c r="J198" s="37">
        <v>0</v>
      </c>
      <c r="K198" s="37">
        <v>0</v>
      </c>
      <c r="L198" s="37">
        <v>0</v>
      </c>
      <c r="M198" s="37">
        <v>0</v>
      </c>
      <c r="N198" s="37">
        <v>0</v>
      </c>
      <c r="O198" s="37">
        <v>21</v>
      </c>
      <c r="P198" s="22" t="str">
        <f>TRIM(Tabla1[[#This Row],[Articulo]])</f>
        <v>7790000000510</v>
      </c>
      <c r="Q198" s="22" t="e">
        <f>_xlfn.XLOOKUP(Tabla1[[#This Row],[Ean Normalizado]],tabla_consumos[EAN],tabla_consumos[Familia])</f>
        <v>#N/A</v>
      </c>
      <c r="R198" s="22" t="e">
        <f>_xlfn.XLOOKUP(Tabla1[[#This Row],[Ean Normalizado]],tabla_consumos[EAN],tabla_consumos[UM])</f>
        <v>#N/A</v>
      </c>
      <c r="S198" s="22" t="e">
        <f>Tabla1[[#This Row],[StockDisp]]*Tabla1[[#This Row],[UM producto]]</f>
        <v>#N/A</v>
      </c>
    </row>
    <row r="199" spans="1:19" x14ac:dyDescent="0.35">
      <c r="A199" s="37">
        <v>6</v>
      </c>
      <c r="B199" s="37" t="s">
        <v>319</v>
      </c>
      <c r="C199" s="37" t="s">
        <v>311</v>
      </c>
      <c r="D199" s="37"/>
      <c r="E199" s="37" t="s">
        <v>994</v>
      </c>
      <c r="F199" s="37">
        <v>2003821</v>
      </c>
      <c r="G199" s="37" t="s">
        <v>995</v>
      </c>
      <c r="H199" s="37" t="s">
        <v>315</v>
      </c>
      <c r="I199" s="37">
        <v>0</v>
      </c>
      <c r="J199" s="37">
        <v>15</v>
      </c>
      <c r="K199" s="37">
        <v>15</v>
      </c>
      <c r="L199" s="37">
        <v>0</v>
      </c>
      <c r="M199" s="37">
        <v>0</v>
      </c>
      <c r="N199" s="37">
        <v>0</v>
      </c>
      <c r="O199" s="37">
        <v>0</v>
      </c>
      <c r="P199" s="22" t="str">
        <f>TRIM(Tabla1[[#This Row],[Articulo]])</f>
        <v>7790000000574</v>
      </c>
      <c r="Q199" s="22" t="e">
        <f>_xlfn.XLOOKUP(Tabla1[[#This Row],[Ean Normalizado]],tabla_consumos[EAN],tabla_consumos[Familia])</f>
        <v>#N/A</v>
      </c>
      <c r="R199" s="22" t="e">
        <f>_xlfn.XLOOKUP(Tabla1[[#This Row],[Ean Normalizado]],tabla_consumos[EAN],tabla_consumos[UM])</f>
        <v>#N/A</v>
      </c>
      <c r="S199" s="22" t="e">
        <f>Tabla1[[#This Row],[StockDisp]]*Tabla1[[#This Row],[UM producto]]</f>
        <v>#N/A</v>
      </c>
    </row>
    <row r="200" spans="1:19" x14ac:dyDescent="0.35">
      <c r="A200" s="37">
        <v>6</v>
      </c>
      <c r="B200" s="37" t="s">
        <v>319</v>
      </c>
      <c r="C200" s="37" t="s">
        <v>311</v>
      </c>
      <c r="D200" s="37" t="s">
        <v>624</v>
      </c>
      <c r="E200" s="37" t="s">
        <v>625</v>
      </c>
      <c r="F200" s="37">
        <v>2016615</v>
      </c>
      <c r="G200" s="37" t="s">
        <v>626</v>
      </c>
      <c r="H200" s="37" t="s">
        <v>508</v>
      </c>
      <c r="I200" s="37">
        <v>684</v>
      </c>
      <c r="J200" s="37">
        <v>0</v>
      </c>
      <c r="K200" s="37">
        <v>0</v>
      </c>
      <c r="L200" s="37">
        <v>0</v>
      </c>
      <c r="M200" s="37">
        <v>20</v>
      </c>
      <c r="N200" s="37">
        <v>0</v>
      </c>
      <c r="O200" s="37">
        <v>664</v>
      </c>
      <c r="P200" s="22" t="str">
        <f>TRIM(Tabla1[[#This Row],[Articulo]])</f>
        <v>7798349550012</v>
      </c>
      <c r="Q200" s="22" t="e">
        <f>_xlfn.XLOOKUP(Tabla1[[#This Row],[Ean Normalizado]],tabla_consumos[EAN],tabla_consumos[Familia])</f>
        <v>#N/A</v>
      </c>
      <c r="R200" s="22" t="e">
        <f>_xlfn.XLOOKUP(Tabla1[[#This Row],[Ean Normalizado]],tabla_consumos[EAN],tabla_consumos[UM])</f>
        <v>#N/A</v>
      </c>
      <c r="S200" s="22" t="e">
        <f>Tabla1[[#This Row],[StockDisp]]*Tabla1[[#This Row],[UM producto]]</f>
        <v>#N/A</v>
      </c>
    </row>
    <row r="201" spans="1:19" x14ac:dyDescent="0.35">
      <c r="A201" s="37">
        <v>6</v>
      </c>
      <c r="B201" s="37" t="s">
        <v>319</v>
      </c>
      <c r="C201" s="37" t="s">
        <v>311</v>
      </c>
      <c r="D201" s="37" t="s">
        <v>522</v>
      </c>
      <c r="E201" s="37" t="s">
        <v>523</v>
      </c>
      <c r="F201" s="37">
        <v>2016743</v>
      </c>
      <c r="G201" s="37" t="s">
        <v>287</v>
      </c>
      <c r="H201" s="37" t="s">
        <v>315</v>
      </c>
      <c r="I201" s="37">
        <v>159</v>
      </c>
      <c r="J201" s="37">
        <v>0</v>
      </c>
      <c r="K201" s="37">
        <v>0</v>
      </c>
      <c r="L201" s="37">
        <v>0</v>
      </c>
      <c r="M201" s="37">
        <v>10</v>
      </c>
      <c r="N201" s="37">
        <v>0</v>
      </c>
      <c r="O201" s="37">
        <v>149</v>
      </c>
      <c r="P201" s="22" t="str">
        <f>TRIM(Tabla1[[#This Row],[Articulo]])</f>
        <v>0754697508508</v>
      </c>
      <c r="Q201" s="22" t="str">
        <f>_xlfn.XLOOKUP(Tabla1[[#This Row],[Ean Normalizado]],tabla_consumos[EAN],tabla_consumos[Familia])</f>
        <v>GUANTE PROPILENO</v>
      </c>
      <c r="R201" s="22">
        <f>_xlfn.XLOOKUP(Tabla1[[#This Row],[Ean Normalizado]],tabla_consumos[EAN],tabla_consumos[UM])</f>
        <v>100</v>
      </c>
      <c r="S201" s="22">
        <f>Tabla1[[#This Row],[StockDisp]]*Tabla1[[#This Row],[UM producto]]</f>
        <v>14900</v>
      </c>
    </row>
    <row r="202" spans="1:19" x14ac:dyDescent="0.35">
      <c r="A202" s="37">
        <v>5</v>
      </c>
      <c r="B202" s="37" t="s">
        <v>310</v>
      </c>
      <c r="C202" s="37" t="s">
        <v>311</v>
      </c>
      <c r="D202" s="37"/>
      <c r="E202" s="37" t="s">
        <v>524</v>
      </c>
      <c r="F202" s="37">
        <v>4001157</v>
      </c>
      <c r="G202" s="37" t="s">
        <v>525</v>
      </c>
      <c r="H202" s="37" t="s">
        <v>346</v>
      </c>
      <c r="I202" s="37">
        <v>96.5</v>
      </c>
      <c r="J202" s="37">
        <v>0</v>
      </c>
      <c r="K202" s="37">
        <v>0</v>
      </c>
      <c r="L202" s="37">
        <v>4</v>
      </c>
      <c r="M202" s="37">
        <v>58</v>
      </c>
      <c r="N202" s="37">
        <v>0</v>
      </c>
      <c r="O202" s="37">
        <v>34.5</v>
      </c>
      <c r="P202" s="22" t="str">
        <f>TRIM(Tabla1[[#This Row],[Articulo]])</f>
        <v>4001157</v>
      </c>
      <c r="Q202" s="22" t="e">
        <f>_xlfn.XLOOKUP(Tabla1[[#This Row],[Ean Normalizado]],tabla_consumos[EAN],tabla_consumos[Familia])</f>
        <v>#N/A</v>
      </c>
      <c r="R202" s="22" t="e">
        <f>_xlfn.XLOOKUP(Tabla1[[#This Row],[Ean Normalizado]],tabla_consumos[EAN],tabla_consumos[UM])</f>
        <v>#N/A</v>
      </c>
      <c r="S202" s="22" t="e">
        <f>Tabla1[[#This Row],[StockDisp]]*Tabla1[[#This Row],[UM producto]]</f>
        <v>#N/A</v>
      </c>
    </row>
    <row r="203" spans="1:19" x14ac:dyDescent="0.35">
      <c r="A203" s="37">
        <v>5</v>
      </c>
      <c r="B203" s="37" t="s">
        <v>310</v>
      </c>
      <c r="C203" s="37" t="s">
        <v>311</v>
      </c>
      <c r="D203" s="37" t="s">
        <v>350</v>
      </c>
      <c r="E203" s="37" t="s">
        <v>351</v>
      </c>
      <c r="F203" s="37">
        <v>4023362</v>
      </c>
      <c r="G203" s="37" t="s">
        <v>352</v>
      </c>
      <c r="H203" s="37" t="s">
        <v>315</v>
      </c>
      <c r="I203" s="37">
        <v>122</v>
      </c>
      <c r="J203" s="37">
        <v>0</v>
      </c>
      <c r="K203" s="37">
        <v>0</v>
      </c>
      <c r="L203" s="37">
        <v>0</v>
      </c>
      <c r="M203" s="37">
        <v>0</v>
      </c>
      <c r="N203" s="37">
        <v>0</v>
      </c>
      <c r="O203" s="37">
        <v>122</v>
      </c>
      <c r="P203" s="22" t="str">
        <f>TRIM(Tabla1[[#This Row],[Articulo]])</f>
        <v>7790387001419</v>
      </c>
      <c r="Q203" s="22" t="e">
        <f>_xlfn.XLOOKUP(Tabla1[[#This Row],[Ean Normalizado]],tabla_consumos[EAN],tabla_consumos[Familia])</f>
        <v>#N/A</v>
      </c>
      <c r="R203" s="22" t="e">
        <f>_xlfn.XLOOKUP(Tabla1[[#This Row],[Ean Normalizado]],tabla_consumos[EAN],tabla_consumos[UM])</f>
        <v>#N/A</v>
      </c>
      <c r="S203" s="22" t="e">
        <f>Tabla1[[#This Row],[StockDisp]]*Tabla1[[#This Row],[UM producto]]</f>
        <v>#N/A</v>
      </c>
    </row>
    <row r="204" spans="1:19" x14ac:dyDescent="0.35">
      <c r="A204" s="37">
        <v>6</v>
      </c>
      <c r="B204" s="37" t="s">
        <v>319</v>
      </c>
      <c r="C204" s="37" t="s">
        <v>311</v>
      </c>
      <c r="D204" s="37" t="s">
        <v>624</v>
      </c>
      <c r="E204" s="37" t="s">
        <v>903</v>
      </c>
      <c r="F204" s="37">
        <v>2006625</v>
      </c>
      <c r="G204" s="37" t="s">
        <v>904</v>
      </c>
      <c r="H204" s="37" t="s">
        <v>315</v>
      </c>
      <c r="I204" s="37">
        <v>1834</v>
      </c>
      <c r="J204" s="37">
        <v>0</v>
      </c>
      <c r="K204" s="37">
        <v>0</v>
      </c>
      <c r="L204" s="37">
        <v>0</v>
      </c>
      <c r="M204" s="37">
        <v>0</v>
      </c>
      <c r="N204" s="37">
        <v>0</v>
      </c>
      <c r="O204" s="37">
        <v>1834</v>
      </c>
      <c r="P204" s="22" t="str">
        <f>TRIM(Tabla1[[#This Row],[Articulo]])</f>
        <v>LIM000249</v>
      </c>
      <c r="Q204" s="22" t="e">
        <f>_xlfn.XLOOKUP(Tabla1[[#This Row],[Ean Normalizado]],tabla_consumos[EAN],tabla_consumos[Familia])</f>
        <v>#N/A</v>
      </c>
      <c r="R204" s="22" t="e">
        <f>_xlfn.XLOOKUP(Tabla1[[#This Row],[Ean Normalizado]],tabla_consumos[EAN],tabla_consumos[UM])</f>
        <v>#N/A</v>
      </c>
      <c r="S204" s="22" t="e">
        <f>Tabla1[[#This Row],[StockDisp]]*Tabla1[[#This Row],[UM producto]]</f>
        <v>#N/A</v>
      </c>
    </row>
    <row r="205" spans="1:19" x14ac:dyDescent="0.35">
      <c r="A205" s="37">
        <v>5</v>
      </c>
      <c r="B205" s="37" t="s">
        <v>310</v>
      </c>
      <c r="C205" s="37" t="s">
        <v>311</v>
      </c>
      <c r="D205" s="37"/>
      <c r="E205" s="37" t="s">
        <v>940</v>
      </c>
      <c r="F205" s="37">
        <v>4002244</v>
      </c>
      <c r="G205" s="37" t="s">
        <v>941</v>
      </c>
      <c r="H205" s="37" t="s">
        <v>346</v>
      </c>
      <c r="I205" s="37">
        <v>124</v>
      </c>
      <c r="J205" s="37">
        <v>0</v>
      </c>
      <c r="K205" s="37">
        <v>0</v>
      </c>
      <c r="L205" s="37">
        <v>4</v>
      </c>
      <c r="M205" s="37">
        <v>75</v>
      </c>
      <c r="N205" s="37">
        <v>0</v>
      </c>
      <c r="O205" s="37">
        <v>45</v>
      </c>
      <c r="P205" s="22" t="str">
        <f>TRIM(Tabla1[[#This Row],[Articulo]])</f>
        <v>4002244</v>
      </c>
      <c r="Q205" s="22" t="e">
        <f>_xlfn.XLOOKUP(Tabla1[[#This Row],[Ean Normalizado]],tabla_consumos[EAN],tabla_consumos[Familia])</f>
        <v>#N/A</v>
      </c>
      <c r="R205" s="22" t="e">
        <f>_xlfn.XLOOKUP(Tabla1[[#This Row],[Ean Normalizado]],tabla_consumos[EAN],tabla_consumos[UM])</f>
        <v>#N/A</v>
      </c>
      <c r="S205" s="22" t="e">
        <f>Tabla1[[#This Row],[StockDisp]]*Tabla1[[#This Row],[UM producto]]</f>
        <v>#N/A</v>
      </c>
    </row>
    <row r="206" spans="1:19" x14ac:dyDescent="0.35">
      <c r="A206" s="37">
        <v>6</v>
      </c>
      <c r="B206" s="37" t="s">
        <v>319</v>
      </c>
      <c r="C206" s="37" t="s">
        <v>311</v>
      </c>
      <c r="D206" s="37"/>
      <c r="E206" s="37" t="s">
        <v>942</v>
      </c>
      <c r="F206" s="37">
        <v>2007218</v>
      </c>
      <c r="G206" s="37" t="s">
        <v>943</v>
      </c>
      <c r="H206" s="37" t="s">
        <v>508</v>
      </c>
      <c r="I206" s="37">
        <v>35</v>
      </c>
      <c r="J206" s="37">
        <v>0</v>
      </c>
      <c r="K206" s="37">
        <v>0</v>
      </c>
      <c r="L206" s="37">
        <v>0</v>
      </c>
      <c r="M206" s="37">
        <v>6</v>
      </c>
      <c r="N206" s="37">
        <v>0</v>
      </c>
      <c r="O206" s="37">
        <v>29</v>
      </c>
      <c r="P206" s="22" t="str">
        <f>TRIM(Tabla1[[#This Row],[Articulo]])</f>
        <v>7798090050236</v>
      </c>
      <c r="Q206" s="22" t="e">
        <f>_xlfn.XLOOKUP(Tabla1[[#This Row],[Ean Normalizado]],tabla_consumos[EAN],tabla_consumos[Familia])</f>
        <v>#N/A</v>
      </c>
      <c r="R206" s="22" t="e">
        <f>_xlfn.XLOOKUP(Tabla1[[#This Row],[Ean Normalizado]],tabla_consumos[EAN],tabla_consumos[UM])</f>
        <v>#N/A</v>
      </c>
      <c r="S206" s="22" t="e">
        <f>Tabla1[[#This Row],[StockDisp]]*Tabla1[[#This Row],[UM producto]]</f>
        <v>#N/A</v>
      </c>
    </row>
    <row r="207" spans="1:19" x14ac:dyDescent="0.35">
      <c r="A207" s="37">
        <v>5</v>
      </c>
      <c r="B207" s="37" t="s">
        <v>310</v>
      </c>
      <c r="C207" s="37" t="s">
        <v>311</v>
      </c>
      <c r="D207" s="37"/>
      <c r="E207" s="37" t="s">
        <v>944</v>
      </c>
      <c r="F207" s="37">
        <v>4001220</v>
      </c>
      <c r="G207" s="37" t="s">
        <v>945</v>
      </c>
      <c r="H207" s="37" t="s">
        <v>346</v>
      </c>
      <c r="I207" s="37">
        <v>0.5</v>
      </c>
      <c r="J207" s="37">
        <v>0</v>
      </c>
      <c r="K207" s="37">
        <v>0.5</v>
      </c>
      <c r="L207" s="37">
        <v>0</v>
      </c>
      <c r="M207" s="37">
        <v>0</v>
      </c>
      <c r="N207" s="37">
        <v>0</v>
      </c>
      <c r="O207" s="37">
        <v>0</v>
      </c>
      <c r="P207" s="22" t="str">
        <f>TRIM(Tabla1[[#This Row],[Articulo]])</f>
        <v>4001220</v>
      </c>
      <c r="Q207" s="22" t="e">
        <f>_xlfn.XLOOKUP(Tabla1[[#This Row],[Ean Normalizado]],tabla_consumos[EAN],tabla_consumos[Familia])</f>
        <v>#N/A</v>
      </c>
      <c r="R207" s="22" t="e">
        <f>_xlfn.XLOOKUP(Tabla1[[#This Row],[Ean Normalizado]],tabla_consumos[EAN],tabla_consumos[UM])</f>
        <v>#N/A</v>
      </c>
      <c r="S207" s="22" t="e">
        <f>Tabla1[[#This Row],[StockDisp]]*Tabla1[[#This Row],[UM producto]]</f>
        <v>#N/A</v>
      </c>
    </row>
    <row r="208" spans="1:19" x14ac:dyDescent="0.35">
      <c r="A208" s="37">
        <v>5</v>
      </c>
      <c r="B208" s="37" t="s">
        <v>310</v>
      </c>
      <c r="C208" s="37" t="s">
        <v>311</v>
      </c>
      <c r="D208" s="37" t="s">
        <v>946</v>
      </c>
      <c r="E208" s="37" t="s">
        <v>947</v>
      </c>
      <c r="F208" s="37">
        <v>4020710</v>
      </c>
      <c r="G208" s="37" t="s">
        <v>948</v>
      </c>
      <c r="H208" s="37" t="s">
        <v>315</v>
      </c>
      <c r="I208" s="37">
        <v>65</v>
      </c>
      <c r="J208" s="37">
        <v>0</v>
      </c>
      <c r="K208" s="37">
        <v>0</v>
      </c>
      <c r="L208" s="37">
        <v>0</v>
      </c>
      <c r="M208" s="37">
        <v>0</v>
      </c>
      <c r="N208" s="37">
        <v>0</v>
      </c>
      <c r="O208" s="37">
        <v>65</v>
      </c>
      <c r="P208" s="22" t="str">
        <f>TRIM(Tabla1[[#This Row],[Articulo]])</f>
        <v>7798011976485</v>
      </c>
      <c r="Q208" s="22" t="e">
        <f>_xlfn.XLOOKUP(Tabla1[[#This Row],[Ean Normalizado]],tabla_consumos[EAN],tabla_consumos[Familia])</f>
        <v>#N/A</v>
      </c>
      <c r="R208" s="22" t="e">
        <f>_xlfn.XLOOKUP(Tabla1[[#This Row],[Ean Normalizado]],tabla_consumos[EAN],tabla_consumos[UM])</f>
        <v>#N/A</v>
      </c>
      <c r="S208" s="22" t="e">
        <f>Tabla1[[#This Row],[StockDisp]]*Tabla1[[#This Row],[UM producto]]</f>
        <v>#N/A</v>
      </c>
    </row>
    <row r="209" spans="1:19" x14ac:dyDescent="0.35">
      <c r="A209" s="37">
        <v>5</v>
      </c>
      <c r="B209" s="37" t="s">
        <v>310</v>
      </c>
      <c r="C209" s="37" t="s">
        <v>311</v>
      </c>
      <c r="D209" s="37" t="s">
        <v>316</v>
      </c>
      <c r="E209" s="37" t="s">
        <v>317</v>
      </c>
      <c r="F209" s="37">
        <v>4077160</v>
      </c>
      <c r="G209" s="37" t="s">
        <v>318</v>
      </c>
      <c r="H209" s="37" t="s">
        <v>315</v>
      </c>
      <c r="I209" s="37">
        <v>200</v>
      </c>
      <c r="J209" s="37">
        <v>0</v>
      </c>
      <c r="K209" s="37">
        <v>0</v>
      </c>
      <c r="L209" s="37">
        <v>0</v>
      </c>
      <c r="M209" s="37">
        <v>0</v>
      </c>
      <c r="N209" s="37">
        <v>0</v>
      </c>
      <c r="O209" s="37">
        <v>200</v>
      </c>
      <c r="P209" s="22" t="str">
        <f>TRIM(Tabla1[[#This Row],[Articulo]])</f>
        <v>7790387014617</v>
      </c>
      <c r="Q209" s="22" t="e">
        <f>_xlfn.XLOOKUP(Tabla1[[#This Row],[Ean Normalizado]],tabla_consumos[EAN],tabla_consumos[Familia])</f>
        <v>#N/A</v>
      </c>
      <c r="R209" s="22" t="e">
        <f>_xlfn.XLOOKUP(Tabla1[[#This Row],[Ean Normalizado]],tabla_consumos[EAN],tabla_consumos[UM])</f>
        <v>#N/A</v>
      </c>
      <c r="S209" s="22" t="e">
        <f>Tabla1[[#This Row],[StockDisp]]*Tabla1[[#This Row],[UM producto]]</f>
        <v>#N/A</v>
      </c>
    </row>
    <row r="210" spans="1:19" x14ac:dyDescent="0.35">
      <c r="A210" s="37">
        <v>6</v>
      </c>
      <c r="B210" s="37" t="s">
        <v>319</v>
      </c>
      <c r="C210" s="37" t="s">
        <v>311</v>
      </c>
      <c r="D210" s="37" t="s">
        <v>320</v>
      </c>
      <c r="E210" s="37" t="s">
        <v>321</v>
      </c>
      <c r="F210" s="37">
        <v>2007128</v>
      </c>
      <c r="G210" s="37" t="s">
        <v>156</v>
      </c>
      <c r="H210" s="37" t="s">
        <v>315</v>
      </c>
      <c r="I210" s="37">
        <v>388</v>
      </c>
      <c r="J210" s="37">
        <v>0</v>
      </c>
      <c r="K210" s="37">
        <v>0</v>
      </c>
      <c r="L210" s="37">
        <v>0</v>
      </c>
      <c r="M210" s="37">
        <v>2</v>
      </c>
      <c r="N210" s="37">
        <v>0</v>
      </c>
      <c r="O210" s="37">
        <v>386</v>
      </c>
      <c r="P210" s="22" t="str">
        <f>TRIM(Tabla1[[#This Row],[Articulo]])</f>
        <v>7790000000251</v>
      </c>
      <c r="Q210" s="22" t="str">
        <f>_xlfn.XLOOKUP(Tabla1[[#This Row],[Ean Normalizado]],tabla_consumos[EAN],tabla_consumos[Familia])</f>
        <v>TENEDOR</v>
      </c>
      <c r="R210" s="22">
        <f>_xlfn.XLOOKUP(Tabla1[[#This Row],[Ean Normalizado]],tabla_consumos[EAN],tabla_consumos[UM])</f>
        <v>1000</v>
      </c>
      <c r="S210" s="22">
        <f>Tabla1[[#This Row],[StockDisp]]*Tabla1[[#This Row],[UM producto]]</f>
        <v>386000</v>
      </c>
    </row>
    <row r="211" spans="1:19" x14ac:dyDescent="0.35">
      <c r="A211" s="37">
        <v>1</v>
      </c>
      <c r="B211" s="37" t="s">
        <v>322</v>
      </c>
      <c r="C211" s="37" t="s">
        <v>311</v>
      </c>
      <c r="D211" s="37" t="s">
        <v>949</v>
      </c>
      <c r="E211" s="37" t="s">
        <v>950</v>
      </c>
      <c r="F211" s="37">
        <v>4023846</v>
      </c>
      <c r="G211" s="37" t="s">
        <v>951</v>
      </c>
      <c r="H211" s="37" t="s">
        <v>346</v>
      </c>
      <c r="I211" s="37">
        <v>5</v>
      </c>
      <c r="J211" s="37">
        <v>0</v>
      </c>
      <c r="K211" s="37">
        <v>0</v>
      </c>
      <c r="L211" s="37">
        <v>0</v>
      </c>
      <c r="M211" s="37">
        <v>0</v>
      </c>
      <c r="N211" s="37">
        <v>0</v>
      </c>
      <c r="O211" s="37">
        <v>5</v>
      </c>
      <c r="P211" s="22" t="str">
        <f>TRIM(Tabla1[[#This Row],[Articulo]])</f>
        <v>7790000000415</v>
      </c>
      <c r="Q211" s="22" t="e">
        <f>_xlfn.XLOOKUP(Tabla1[[#This Row],[Ean Normalizado]],tabla_consumos[EAN],tabla_consumos[Familia])</f>
        <v>#N/A</v>
      </c>
      <c r="R211" s="22" t="e">
        <f>_xlfn.XLOOKUP(Tabla1[[#This Row],[Ean Normalizado]],tabla_consumos[EAN],tabla_consumos[UM])</f>
        <v>#N/A</v>
      </c>
      <c r="S211" s="22" t="e">
        <f>Tabla1[[#This Row],[StockDisp]]*Tabla1[[#This Row],[UM producto]]</f>
        <v>#N/A</v>
      </c>
    </row>
    <row r="212" spans="1:19" x14ac:dyDescent="0.35">
      <c r="A212" s="37">
        <v>5</v>
      </c>
      <c r="B212" s="37" t="s">
        <v>310</v>
      </c>
      <c r="C212" s="37" t="s">
        <v>311</v>
      </c>
      <c r="D212" s="37" t="s">
        <v>894</v>
      </c>
      <c r="E212" s="37" t="s">
        <v>895</v>
      </c>
      <c r="F212" s="37">
        <v>4049099</v>
      </c>
      <c r="G212" s="37" t="s">
        <v>896</v>
      </c>
      <c r="H212" s="37" t="s">
        <v>315</v>
      </c>
      <c r="I212" s="37">
        <v>728</v>
      </c>
      <c r="J212" s="37">
        <v>0</v>
      </c>
      <c r="K212" s="37">
        <v>0</v>
      </c>
      <c r="L212" s="37">
        <v>0</v>
      </c>
      <c r="M212" s="37">
        <v>0</v>
      </c>
      <c r="N212" s="37">
        <v>0</v>
      </c>
      <c r="O212" s="37">
        <v>728</v>
      </c>
      <c r="P212" s="22" t="str">
        <f>TRIM(Tabla1[[#This Row],[Articulo]])</f>
        <v>7790040139176</v>
      </c>
      <c r="Q212" s="22" t="e">
        <f>_xlfn.XLOOKUP(Tabla1[[#This Row],[Ean Normalizado]],tabla_consumos[EAN],tabla_consumos[Familia])</f>
        <v>#N/A</v>
      </c>
      <c r="R212" s="22" t="e">
        <f>_xlfn.XLOOKUP(Tabla1[[#This Row],[Ean Normalizado]],tabla_consumos[EAN],tabla_consumos[UM])</f>
        <v>#N/A</v>
      </c>
      <c r="S212" s="22" t="e">
        <f>Tabla1[[#This Row],[StockDisp]]*Tabla1[[#This Row],[UM producto]]</f>
        <v>#N/A</v>
      </c>
    </row>
    <row r="213" spans="1:19" x14ac:dyDescent="0.35">
      <c r="A213" s="37">
        <v>6</v>
      </c>
      <c r="B213" s="37" t="s">
        <v>319</v>
      </c>
      <c r="C213" s="37" t="s">
        <v>311</v>
      </c>
      <c r="D213" s="37" t="s">
        <v>756</v>
      </c>
      <c r="E213" s="37" t="s">
        <v>897</v>
      </c>
      <c r="F213" s="37">
        <v>2007325</v>
      </c>
      <c r="G213" s="37" t="s">
        <v>898</v>
      </c>
      <c r="H213" s="37" t="s">
        <v>315</v>
      </c>
      <c r="I213" s="37">
        <v>269</v>
      </c>
      <c r="J213" s="37">
        <v>0</v>
      </c>
      <c r="K213" s="37">
        <v>0</v>
      </c>
      <c r="L213" s="37">
        <v>0</v>
      </c>
      <c r="M213" s="37">
        <v>0</v>
      </c>
      <c r="N213" s="37">
        <v>0</v>
      </c>
      <c r="O213" s="37">
        <v>269</v>
      </c>
      <c r="P213" s="22" t="str">
        <f>TRIM(Tabla1[[#This Row],[Articulo]])</f>
        <v>7794782000374</v>
      </c>
      <c r="Q213" s="22" t="e">
        <f>_xlfn.XLOOKUP(Tabla1[[#This Row],[Ean Normalizado]],tabla_consumos[EAN],tabla_consumos[Familia])</f>
        <v>#N/A</v>
      </c>
      <c r="R213" s="22" t="e">
        <f>_xlfn.XLOOKUP(Tabla1[[#This Row],[Ean Normalizado]],tabla_consumos[EAN],tabla_consumos[UM])</f>
        <v>#N/A</v>
      </c>
      <c r="S213" s="22" t="e">
        <f>Tabla1[[#This Row],[StockDisp]]*Tabla1[[#This Row],[UM producto]]</f>
        <v>#N/A</v>
      </c>
    </row>
    <row r="214" spans="1:19" x14ac:dyDescent="0.35">
      <c r="A214" s="37">
        <v>5</v>
      </c>
      <c r="B214" s="37" t="s">
        <v>310</v>
      </c>
      <c r="C214" s="37" t="s">
        <v>311</v>
      </c>
      <c r="D214" s="37"/>
      <c r="E214" s="37" t="s">
        <v>899</v>
      </c>
      <c r="F214" s="37">
        <v>4001184</v>
      </c>
      <c r="G214" s="37" t="s">
        <v>900</v>
      </c>
      <c r="H214" s="37" t="s">
        <v>346</v>
      </c>
      <c r="I214" s="37">
        <v>2606.1999999999998</v>
      </c>
      <c r="J214" s="37">
        <v>0</v>
      </c>
      <c r="K214" s="37">
        <v>0</v>
      </c>
      <c r="L214" s="37">
        <v>190</v>
      </c>
      <c r="M214" s="37">
        <v>666</v>
      </c>
      <c r="N214" s="37">
        <v>0</v>
      </c>
      <c r="O214" s="37">
        <v>1750.2</v>
      </c>
      <c r="P214" s="22" t="str">
        <f>TRIM(Tabla1[[#This Row],[Articulo]])</f>
        <v>4001184</v>
      </c>
      <c r="Q214" s="22" t="e">
        <f>_xlfn.XLOOKUP(Tabla1[[#This Row],[Ean Normalizado]],tabla_consumos[EAN],tabla_consumos[Familia])</f>
        <v>#N/A</v>
      </c>
      <c r="R214" s="22" t="e">
        <f>_xlfn.XLOOKUP(Tabla1[[#This Row],[Ean Normalizado]],tabla_consumos[EAN],tabla_consumos[UM])</f>
        <v>#N/A</v>
      </c>
      <c r="S214" s="22" t="e">
        <f>Tabla1[[#This Row],[StockDisp]]*Tabla1[[#This Row],[UM producto]]</f>
        <v>#N/A</v>
      </c>
    </row>
    <row r="215" spans="1:19" x14ac:dyDescent="0.35">
      <c r="A215" s="37">
        <v>5</v>
      </c>
      <c r="B215" s="37" t="s">
        <v>310</v>
      </c>
      <c r="C215" s="37" t="s">
        <v>311</v>
      </c>
      <c r="D215" s="37"/>
      <c r="E215" s="37" t="s">
        <v>901</v>
      </c>
      <c r="F215" s="37">
        <v>4077158</v>
      </c>
      <c r="G215" s="37" t="s">
        <v>902</v>
      </c>
      <c r="H215" s="37" t="s">
        <v>315</v>
      </c>
      <c r="I215" s="37">
        <v>200</v>
      </c>
      <c r="J215" s="37">
        <v>0</v>
      </c>
      <c r="K215" s="37">
        <v>0</v>
      </c>
      <c r="L215" s="37">
        <v>0</v>
      </c>
      <c r="M215" s="37">
        <v>0</v>
      </c>
      <c r="N215" s="37">
        <v>0</v>
      </c>
      <c r="O215" s="37">
        <v>200</v>
      </c>
      <c r="P215" s="22" t="str">
        <f>TRIM(Tabla1[[#This Row],[Articulo]])</f>
        <v>7790387013610</v>
      </c>
      <c r="Q215" s="22" t="e">
        <f>_xlfn.XLOOKUP(Tabla1[[#This Row],[Ean Normalizado]],tabla_consumos[EAN],tabla_consumos[Familia])</f>
        <v>#N/A</v>
      </c>
      <c r="R215" s="22" t="e">
        <f>_xlfn.XLOOKUP(Tabla1[[#This Row],[Ean Normalizado]],tabla_consumos[EAN],tabla_consumos[UM])</f>
        <v>#N/A</v>
      </c>
      <c r="S215" s="22" t="e">
        <f>Tabla1[[#This Row],[StockDisp]]*Tabla1[[#This Row],[UM producto]]</f>
        <v>#N/A</v>
      </c>
    </row>
    <row r="216" spans="1:19" x14ac:dyDescent="0.35">
      <c r="A216" s="37">
        <v>6</v>
      </c>
      <c r="B216" s="37" t="s">
        <v>319</v>
      </c>
      <c r="C216" s="37" t="s">
        <v>311</v>
      </c>
      <c r="D216" s="37" t="s">
        <v>649</v>
      </c>
      <c r="E216" s="37" t="s">
        <v>650</v>
      </c>
      <c r="F216" s="37">
        <v>2007541</v>
      </c>
      <c r="G216" s="37" t="s">
        <v>651</v>
      </c>
      <c r="H216" s="37" t="s">
        <v>315</v>
      </c>
      <c r="I216" s="37">
        <v>56</v>
      </c>
      <c r="J216" s="37">
        <v>30</v>
      </c>
      <c r="K216" s="37">
        <v>30</v>
      </c>
      <c r="L216" s="37">
        <v>0</v>
      </c>
      <c r="M216" s="37">
        <v>0</v>
      </c>
      <c r="N216" s="37">
        <v>0</v>
      </c>
      <c r="O216" s="37">
        <v>56</v>
      </c>
      <c r="P216" s="22" t="str">
        <f>TRIM(Tabla1[[#This Row],[Articulo]])</f>
        <v>7790000000507</v>
      </c>
      <c r="Q216" s="22" t="e">
        <f>_xlfn.XLOOKUP(Tabla1[[#This Row],[Ean Normalizado]],tabla_consumos[EAN],tabla_consumos[Familia])</f>
        <v>#N/A</v>
      </c>
      <c r="R216" s="22" t="e">
        <f>_xlfn.XLOOKUP(Tabla1[[#This Row],[Ean Normalizado]],tabla_consumos[EAN],tabla_consumos[UM])</f>
        <v>#N/A</v>
      </c>
      <c r="S216" s="22" t="e">
        <f>Tabla1[[#This Row],[StockDisp]]*Tabla1[[#This Row],[UM producto]]</f>
        <v>#N/A</v>
      </c>
    </row>
    <row r="217" spans="1:19" x14ac:dyDescent="0.35">
      <c r="A217" s="37">
        <v>6</v>
      </c>
      <c r="B217" s="37" t="s">
        <v>319</v>
      </c>
      <c r="C217" s="37" t="s">
        <v>311</v>
      </c>
      <c r="D217" s="37"/>
      <c r="E217" s="37" t="s">
        <v>652</v>
      </c>
      <c r="F217" s="37">
        <v>2007153</v>
      </c>
      <c r="G217" s="37" t="s">
        <v>246</v>
      </c>
      <c r="H217" s="37" t="s">
        <v>315</v>
      </c>
      <c r="I217" s="37">
        <v>28</v>
      </c>
      <c r="J217" s="37">
        <v>90</v>
      </c>
      <c r="K217" s="37">
        <v>0</v>
      </c>
      <c r="L217" s="37">
        <v>0</v>
      </c>
      <c r="M217" s="37">
        <v>11</v>
      </c>
      <c r="N217" s="37">
        <v>0</v>
      </c>
      <c r="O217" s="37">
        <v>107</v>
      </c>
      <c r="P217" s="22" t="str">
        <f>TRIM(Tabla1[[#This Row],[Articulo]])</f>
        <v>77896061975324</v>
      </c>
      <c r="Q217" s="22" t="str">
        <f>_xlfn.XLOOKUP(Tabla1[[#This Row],[Ean Normalizado]],tabla_consumos[EAN],tabla_consumos[Familia])</f>
        <v>SERVILLETAS ELITE 21x11</v>
      </c>
      <c r="R217" s="22">
        <f>_xlfn.XLOOKUP(Tabla1[[#This Row],[Ean Normalizado]],tabla_consumos[EAN],tabla_consumos[UM])</f>
        <v>18000</v>
      </c>
      <c r="S217" s="22">
        <f>Tabla1[[#This Row],[StockDisp]]*Tabla1[[#This Row],[UM producto]]</f>
        <v>1926000</v>
      </c>
    </row>
    <row r="218" spans="1:19" x14ac:dyDescent="0.35">
      <c r="A218" s="37">
        <v>6</v>
      </c>
      <c r="B218" s="37" t="s">
        <v>319</v>
      </c>
      <c r="C218" s="37" t="s">
        <v>311</v>
      </c>
      <c r="D218" s="37" t="s">
        <v>629</v>
      </c>
      <c r="E218" s="37" t="s">
        <v>653</v>
      </c>
      <c r="F218" s="37">
        <v>2007486</v>
      </c>
      <c r="G218" s="37" t="s">
        <v>654</v>
      </c>
      <c r="H218" s="37" t="s">
        <v>315</v>
      </c>
      <c r="I218" s="37">
        <v>10</v>
      </c>
      <c r="J218" s="37">
        <v>0</v>
      </c>
      <c r="K218" s="37">
        <v>0</v>
      </c>
      <c r="L218" s="37">
        <v>0</v>
      </c>
      <c r="M218" s="37">
        <v>0</v>
      </c>
      <c r="N218" s="37">
        <v>0</v>
      </c>
      <c r="O218" s="37">
        <v>10</v>
      </c>
      <c r="P218" s="22" t="str">
        <f>TRIM(Tabla1[[#This Row],[Articulo]])</f>
        <v>77922052059330</v>
      </c>
      <c r="Q218" s="22" t="e">
        <f>_xlfn.XLOOKUP(Tabla1[[#This Row],[Ean Normalizado]],tabla_consumos[EAN],tabla_consumos[Familia])</f>
        <v>#N/A</v>
      </c>
      <c r="R218" s="22" t="e">
        <f>_xlfn.XLOOKUP(Tabla1[[#This Row],[Ean Normalizado]],tabla_consumos[EAN],tabla_consumos[UM])</f>
        <v>#N/A</v>
      </c>
      <c r="S218" s="22" t="e">
        <f>Tabla1[[#This Row],[StockDisp]]*Tabla1[[#This Row],[UM producto]]</f>
        <v>#N/A</v>
      </c>
    </row>
    <row r="219" spans="1:19" x14ac:dyDescent="0.35">
      <c r="A219" s="37">
        <v>6</v>
      </c>
      <c r="B219" s="37" t="s">
        <v>319</v>
      </c>
      <c r="C219" s="37" t="s">
        <v>311</v>
      </c>
      <c r="D219" s="37"/>
      <c r="E219" s="37" t="s">
        <v>681</v>
      </c>
      <c r="F219" s="37">
        <v>2007120</v>
      </c>
      <c r="G219" s="37" t="s">
        <v>682</v>
      </c>
      <c r="H219" s="37" t="s">
        <v>315</v>
      </c>
      <c r="I219" s="37">
        <v>117</v>
      </c>
      <c r="J219" s="37">
        <v>0</v>
      </c>
      <c r="K219" s="37">
        <v>0</v>
      </c>
      <c r="L219" s="37">
        <v>0</v>
      </c>
      <c r="M219" s="37">
        <v>0</v>
      </c>
      <c r="N219" s="37">
        <v>0</v>
      </c>
      <c r="O219" s="37">
        <v>117</v>
      </c>
      <c r="P219" s="22" t="str">
        <f>TRIM(Tabla1[[#This Row],[Articulo]])</f>
        <v>7790000000249</v>
      </c>
      <c r="Q219" s="22" t="str">
        <f>_xlfn.XLOOKUP(Tabla1[[#This Row],[Ean Normalizado]],tabla_consumos[EAN],tabla_consumos[Familia])</f>
        <v>TAPA 101</v>
      </c>
      <c r="R219" s="22">
        <f>_xlfn.XLOOKUP(Tabla1[[#This Row],[Ean Normalizado]],tabla_consumos[EAN],tabla_consumos[UM])</f>
        <v>100</v>
      </c>
      <c r="S219" s="22">
        <f>Tabla1[[#This Row],[StockDisp]]*Tabla1[[#This Row],[UM producto]]</f>
        <v>11700</v>
      </c>
    </row>
    <row r="220" spans="1:19" x14ac:dyDescent="0.35">
      <c r="A220" s="37">
        <v>5</v>
      </c>
      <c r="B220" s="37" t="s">
        <v>310</v>
      </c>
      <c r="C220" s="37" t="s">
        <v>311</v>
      </c>
      <c r="D220" s="37"/>
      <c r="E220" s="37" t="s">
        <v>996</v>
      </c>
      <c r="F220" s="37">
        <v>4001153</v>
      </c>
      <c r="G220" s="37" t="s">
        <v>997</v>
      </c>
      <c r="H220" s="37" t="s">
        <v>346</v>
      </c>
      <c r="I220" s="37">
        <v>350</v>
      </c>
      <c r="J220" s="37">
        <v>0</v>
      </c>
      <c r="K220" s="37">
        <v>0</v>
      </c>
      <c r="L220" s="37">
        <v>40</v>
      </c>
      <c r="M220" s="37">
        <v>287</v>
      </c>
      <c r="N220" s="37">
        <v>0</v>
      </c>
      <c r="O220" s="37">
        <v>23</v>
      </c>
      <c r="P220" s="22" t="str">
        <f>TRIM(Tabla1[[#This Row],[Articulo]])</f>
        <v>4001153</v>
      </c>
      <c r="Q220" s="22" t="e">
        <f>_xlfn.XLOOKUP(Tabla1[[#This Row],[Ean Normalizado]],tabla_consumos[EAN],tabla_consumos[Familia])</f>
        <v>#N/A</v>
      </c>
      <c r="R220" s="22" t="e">
        <f>_xlfn.XLOOKUP(Tabla1[[#This Row],[Ean Normalizado]],tabla_consumos[EAN],tabla_consumos[UM])</f>
        <v>#N/A</v>
      </c>
      <c r="S220" s="22" t="e">
        <f>Tabla1[[#This Row],[StockDisp]]*Tabla1[[#This Row],[UM producto]]</f>
        <v>#N/A</v>
      </c>
    </row>
    <row r="221" spans="1:19" x14ac:dyDescent="0.35">
      <c r="A221" s="37">
        <v>6</v>
      </c>
      <c r="B221" s="37" t="s">
        <v>319</v>
      </c>
      <c r="C221" s="37" t="s">
        <v>311</v>
      </c>
      <c r="D221" s="37" t="s">
        <v>646</v>
      </c>
      <c r="E221" s="37" t="s">
        <v>647</v>
      </c>
      <c r="F221" s="37">
        <v>2007431</v>
      </c>
      <c r="G221" s="37" t="s">
        <v>648</v>
      </c>
      <c r="H221" s="37" t="s">
        <v>315</v>
      </c>
      <c r="I221" s="37">
        <v>1484</v>
      </c>
      <c r="J221" s="37">
        <v>0</v>
      </c>
      <c r="K221" s="37">
        <v>0</v>
      </c>
      <c r="L221" s="37">
        <v>0</v>
      </c>
      <c r="M221" s="37">
        <v>0</v>
      </c>
      <c r="N221" s="37">
        <v>0</v>
      </c>
      <c r="O221" s="37">
        <v>1484</v>
      </c>
      <c r="P221" s="22" t="str">
        <f>TRIM(Tabla1[[#This Row],[Articulo]])</f>
        <v>7796322010270</v>
      </c>
      <c r="Q221" s="22" t="e">
        <f>_xlfn.XLOOKUP(Tabla1[[#This Row],[Ean Normalizado]],tabla_consumos[EAN],tabla_consumos[Familia])</f>
        <v>#N/A</v>
      </c>
      <c r="R221" s="22" t="e">
        <f>_xlfn.XLOOKUP(Tabla1[[#This Row],[Ean Normalizado]],tabla_consumos[EAN],tabla_consumos[UM])</f>
        <v>#N/A</v>
      </c>
      <c r="S221" s="22" t="e">
        <f>Tabla1[[#This Row],[StockDisp]]*Tabla1[[#This Row],[UM producto]]</f>
        <v>#N/A</v>
      </c>
    </row>
    <row r="222" spans="1:19" x14ac:dyDescent="0.35">
      <c r="A222" s="37">
        <v>6</v>
      </c>
      <c r="B222" s="37" t="s">
        <v>319</v>
      </c>
      <c r="C222" s="37" t="s">
        <v>311</v>
      </c>
      <c r="D222" s="37"/>
      <c r="E222" s="37" t="s">
        <v>958</v>
      </c>
      <c r="F222" s="37"/>
      <c r="G222" s="37" t="s">
        <v>189</v>
      </c>
      <c r="H222" s="37" t="s">
        <v>315</v>
      </c>
      <c r="I222" s="37">
        <v>1805</v>
      </c>
      <c r="J222" s="37">
        <v>0</v>
      </c>
      <c r="K222" s="37">
        <v>0</v>
      </c>
      <c r="L222" s="37">
        <v>0</v>
      </c>
      <c r="M222" s="37">
        <v>0</v>
      </c>
      <c r="N222" s="37">
        <v>0</v>
      </c>
      <c r="O222" s="37">
        <v>1805</v>
      </c>
      <c r="P222" s="22" t="str">
        <f>TRIM(Tabla1[[#This Row],[Articulo]])</f>
        <v>7790000000343</v>
      </c>
      <c r="Q222" s="22" t="str">
        <f>_xlfn.XLOOKUP(Tabla1[[#This Row],[Ean Normalizado]],tabla_consumos[EAN],tabla_consumos[Familia])</f>
        <v>TAPA 103</v>
      </c>
      <c r="R222" s="22">
        <f>_xlfn.XLOOKUP(Tabla1[[#This Row],[Ean Normalizado]],tabla_consumos[EAN],tabla_consumos[UM])</f>
        <v>50</v>
      </c>
      <c r="S222" s="22">
        <f>Tabla1[[#This Row],[StockDisp]]*Tabla1[[#This Row],[UM producto]]</f>
        <v>90250</v>
      </c>
    </row>
    <row r="223" spans="1:19" x14ac:dyDescent="0.35">
      <c r="A223" s="37">
        <v>1</v>
      </c>
      <c r="B223" s="37" t="s">
        <v>322</v>
      </c>
      <c r="C223" s="37" t="s">
        <v>311</v>
      </c>
      <c r="D223" s="37"/>
      <c r="E223" s="37" t="s">
        <v>959</v>
      </c>
      <c r="F223" s="37"/>
      <c r="G223" s="37" t="s">
        <v>960</v>
      </c>
      <c r="H223" s="37" t="s">
        <v>315</v>
      </c>
      <c r="I223" s="37">
        <v>68</v>
      </c>
      <c r="J223" s="37">
        <v>0</v>
      </c>
      <c r="K223" s="37">
        <v>0</v>
      </c>
      <c r="L223" s="37">
        <v>0</v>
      </c>
      <c r="M223" s="37">
        <v>2</v>
      </c>
      <c r="N223" s="37">
        <v>0</v>
      </c>
      <c r="O223" s="37">
        <v>66</v>
      </c>
      <c r="P223" s="22" t="str">
        <f>TRIM(Tabla1[[#This Row],[Articulo]])</f>
        <v>7790000000428</v>
      </c>
      <c r="Q223" s="22" t="e">
        <f>_xlfn.XLOOKUP(Tabla1[[#This Row],[Ean Normalizado]],tabla_consumos[EAN],tabla_consumos[Familia])</f>
        <v>#N/A</v>
      </c>
      <c r="R223" s="22" t="e">
        <f>_xlfn.XLOOKUP(Tabla1[[#This Row],[Ean Normalizado]],tabla_consumos[EAN],tabla_consumos[UM])</f>
        <v>#N/A</v>
      </c>
      <c r="S223" s="22" t="e">
        <f>Tabla1[[#This Row],[StockDisp]]*Tabla1[[#This Row],[UM producto]]</f>
        <v>#N/A</v>
      </c>
    </row>
    <row r="224" spans="1:19" x14ac:dyDescent="0.35">
      <c r="A224" s="37">
        <v>5</v>
      </c>
      <c r="B224" s="37" t="s">
        <v>310</v>
      </c>
      <c r="C224" s="37" t="s">
        <v>311</v>
      </c>
      <c r="D224" s="37"/>
      <c r="E224" s="37" t="s">
        <v>447</v>
      </c>
      <c r="F224" s="37">
        <v>4001193</v>
      </c>
      <c r="G224" s="37" t="s">
        <v>448</v>
      </c>
      <c r="H224" s="37" t="s">
        <v>346</v>
      </c>
      <c r="I224" s="37">
        <v>0.6</v>
      </c>
      <c r="J224" s="37">
        <v>0</v>
      </c>
      <c r="K224" s="37">
        <v>0</v>
      </c>
      <c r="L224" s="37">
        <v>0</v>
      </c>
      <c r="M224" s="37">
        <v>0.2</v>
      </c>
      <c r="N224" s="37">
        <v>0</v>
      </c>
      <c r="O224" s="37">
        <v>0.4</v>
      </c>
      <c r="P224" s="22" t="str">
        <f>TRIM(Tabla1[[#This Row],[Articulo]])</f>
        <v>4001193</v>
      </c>
      <c r="Q224" s="22" t="e">
        <f>_xlfn.XLOOKUP(Tabla1[[#This Row],[Ean Normalizado]],tabla_consumos[EAN],tabla_consumos[Familia])</f>
        <v>#N/A</v>
      </c>
      <c r="R224" s="22" t="e">
        <f>_xlfn.XLOOKUP(Tabla1[[#This Row],[Ean Normalizado]],tabla_consumos[EAN],tabla_consumos[UM])</f>
        <v>#N/A</v>
      </c>
      <c r="S224" s="22" t="e">
        <f>Tabla1[[#This Row],[StockDisp]]*Tabla1[[#This Row],[UM producto]]</f>
        <v>#N/A</v>
      </c>
    </row>
    <row r="225" spans="1:19" x14ac:dyDescent="0.35">
      <c r="A225" s="37">
        <v>6</v>
      </c>
      <c r="B225" s="37" t="s">
        <v>319</v>
      </c>
      <c r="C225" s="37" t="s">
        <v>311</v>
      </c>
      <c r="D225" s="37" t="s">
        <v>394</v>
      </c>
      <c r="E225" s="37" t="s">
        <v>961</v>
      </c>
      <c r="F225" s="37"/>
      <c r="G225" s="37" t="s">
        <v>962</v>
      </c>
      <c r="H225" s="37" t="s">
        <v>315</v>
      </c>
      <c r="I225" s="37">
        <v>389</v>
      </c>
      <c r="J225" s="37">
        <v>0</v>
      </c>
      <c r="K225" s="37">
        <v>0</v>
      </c>
      <c r="L225" s="37">
        <v>0</v>
      </c>
      <c r="M225" s="37">
        <v>0</v>
      </c>
      <c r="N225" s="37">
        <v>0</v>
      </c>
      <c r="O225" s="37">
        <v>389</v>
      </c>
      <c r="P225" s="22" t="str">
        <f>TRIM(Tabla1[[#This Row],[Articulo]])</f>
        <v>7791000000217</v>
      </c>
      <c r="Q225" s="22" t="e">
        <f>_xlfn.XLOOKUP(Tabla1[[#This Row],[Ean Normalizado]],tabla_consumos[EAN],tabla_consumos[Familia])</f>
        <v>#N/A</v>
      </c>
      <c r="R225" s="22" t="e">
        <f>_xlfn.XLOOKUP(Tabla1[[#This Row],[Ean Normalizado]],tabla_consumos[EAN],tabla_consumos[UM])</f>
        <v>#N/A</v>
      </c>
      <c r="S225" s="22" t="e">
        <f>Tabla1[[#This Row],[StockDisp]]*Tabla1[[#This Row],[UM producto]]</f>
        <v>#N/A</v>
      </c>
    </row>
    <row r="226" spans="1:19" x14ac:dyDescent="0.35">
      <c r="A226" s="37">
        <v>5</v>
      </c>
      <c r="B226" s="37" t="s">
        <v>310</v>
      </c>
      <c r="C226" s="37" t="s">
        <v>311</v>
      </c>
      <c r="D226" s="37"/>
      <c r="E226" s="37" t="s">
        <v>963</v>
      </c>
      <c r="F226" s="37"/>
      <c r="G226" s="37" t="s">
        <v>964</v>
      </c>
      <c r="H226" s="37" t="s">
        <v>315</v>
      </c>
      <c r="I226" s="37">
        <v>93</v>
      </c>
      <c r="J226" s="37">
        <v>0</v>
      </c>
      <c r="K226" s="37">
        <v>0</v>
      </c>
      <c r="L226" s="37">
        <v>0</v>
      </c>
      <c r="M226" s="37">
        <v>0</v>
      </c>
      <c r="N226" s="37">
        <v>0</v>
      </c>
      <c r="O226" s="37">
        <v>93</v>
      </c>
      <c r="P226" s="22" t="str">
        <f>TRIM(Tabla1[[#This Row],[Articulo]])</f>
        <v>7798334500275</v>
      </c>
      <c r="Q226" s="22" t="e">
        <f>_xlfn.XLOOKUP(Tabla1[[#This Row],[Ean Normalizado]],tabla_consumos[EAN],tabla_consumos[Familia])</f>
        <v>#N/A</v>
      </c>
      <c r="R226" s="22" t="e">
        <f>_xlfn.XLOOKUP(Tabla1[[#This Row],[Ean Normalizado]],tabla_consumos[EAN],tabla_consumos[UM])</f>
        <v>#N/A</v>
      </c>
      <c r="S226" s="22" t="e">
        <f>Tabla1[[#This Row],[StockDisp]]*Tabla1[[#This Row],[UM producto]]</f>
        <v>#N/A</v>
      </c>
    </row>
    <row r="227" spans="1:19" x14ac:dyDescent="0.35">
      <c r="A227" s="37">
        <v>6</v>
      </c>
      <c r="B227" s="37" t="s">
        <v>319</v>
      </c>
      <c r="C227" s="37" t="s">
        <v>311</v>
      </c>
      <c r="D227" s="37"/>
      <c r="E227" s="37" t="s">
        <v>513</v>
      </c>
      <c r="F227" s="37">
        <v>2007630</v>
      </c>
      <c r="G227" s="37" t="s">
        <v>514</v>
      </c>
      <c r="H227" s="37" t="s">
        <v>315</v>
      </c>
      <c r="I227" s="37">
        <v>40000</v>
      </c>
      <c r="J227" s="37">
        <v>0</v>
      </c>
      <c r="K227" s="37">
        <v>0</v>
      </c>
      <c r="L227" s="37">
        <v>0</v>
      </c>
      <c r="M227" s="37">
        <v>0</v>
      </c>
      <c r="N227" s="37">
        <v>0</v>
      </c>
      <c r="O227" s="37">
        <v>40000</v>
      </c>
      <c r="P227" s="22" t="str">
        <f>TRIM(Tabla1[[#This Row],[Articulo]])</f>
        <v>7790000000651</v>
      </c>
      <c r="Q227" s="22" t="e">
        <f>_xlfn.XLOOKUP(Tabla1[[#This Row],[Ean Normalizado]],tabla_consumos[EAN],tabla_consumos[Familia])</f>
        <v>#N/A</v>
      </c>
      <c r="R227" s="22" t="e">
        <f>_xlfn.XLOOKUP(Tabla1[[#This Row],[Ean Normalizado]],tabla_consumos[EAN],tabla_consumos[UM])</f>
        <v>#N/A</v>
      </c>
      <c r="S227" s="22" t="e">
        <f>Tabla1[[#This Row],[StockDisp]]*Tabla1[[#This Row],[UM producto]]</f>
        <v>#N/A</v>
      </c>
    </row>
    <row r="228" spans="1:19" x14ac:dyDescent="0.35">
      <c r="A228" s="37">
        <v>5</v>
      </c>
      <c r="B228" s="37" t="s">
        <v>310</v>
      </c>
      <c r="C228" s="37" t="s">
        <v>311</v>
      </c>
      <c r="D228" s="37" t="s">
        <v>515</v>
      </c>
      <c r="E228" s="37" t="s">
        <v>516</v>
      </c>
      <c r="F228" s="37">
        <v>4019465</v>
      </c>
      <c r="G228" s="37" t="s">
        <v>517</v>
      </c>
      <c r="H228" s="37" t="s">
        <v>315</v>
      </c>
      <c r="I228" s="37">
        <v>103</v>
      </c>
      <c r="J228" s="37">
        <v>0</v>
      </c>
      <c r="K228" s="37">
        <v>0</v>
      </c>
      <c r="L228" s="37">
        <v>0</v>
      </c>
      <c r="M228" s="37">
        <v>0</v>
      </c>
      <c r="N228" s="37">
        <v>0</v>
      </c>
      <c r="O228" s="37">
        <v>103</v>
      </c>
      <c r="P228" s="22" t="str">
        <f>TRIM(Tabla1[[#This Row],[Articulo]])</f>
        <v>7790070318374</v>
      </c>
      <c r="Q228" s="22" t="e">
        <f>_xlfn.XLOOKUP(Tabla1[[#This Row],[Ean Normalizado]],tabla_consumos[EAN],tabla_consumos[Familia])</f>
        <v>#N/A</v>
      </c>
      <c r="R228" s="22" t="e">
        <f>_xlfn.XLOOKUP(Tabla1[[#This Row],[Ean Normalizado]],tabla_consumos[EAN],tabla_consumos[UM])</f>
        <v>#N/A</v>
      </c>
      <c r="S228" s="22" t="e">
        <f>Tabla1[[#This Row],[StockDisp]]*Tabla1[[#This Row],[UM producto]]</f>
        <v>#N/A</v>
      </c>
    </row>
    <row r="229" spans="1:19" x14ac:dyDescent="0.35">
      <c r="A229" s="37">
        <v>6</v>
      </c>
      <c r="B229" s="37" t="s">
        <v>319</v>
      </c>
      <c r="C229" s="37" t="s">
        <v>311</v>
      </c>
      <c r="D229" s="37" t="s">
        <v>501</v>
      </c>
      <c r="E229" s="37" t="s">
        <v>518</v>
      </c>
      <c r="F229" s="37">
        <v>2011504</v>
      </c>
      <c r="G229" s="37" t="s">
        <v>519</v>
      </c>
      <c r="H229" s="37" t="s">
        <v>315</v>
      </c>
      <c r="I229" s="37">
        <v>358</v>
      </c>
      <c r="J229" s="37">
        <v>0</v>
      </c>
      <c r="K229" s="37">
        <v>0</v>
      </c>
      <c r="L229" s="37">
        <v>0</v>
      </c>
      <c r="M229" s="37">
        <v>0</v>
      </c>
      <c r="N229" s="37">
        <v>0</v>
      </c>
      <c r="O229" s="37">
        <v>358</v>
      </c>
      <c r="P229" s="22" t="str">
        <f>TRIM(Tabla1[[#This Row],[Articulo]])</f>
        <v>7798011210039</v>
      </c>
      <c r="Q229" s="22" t="str">
        <f>_xlfn.XLOOKUP(Tabla1[[#This Row],[Ean Normalizado]],tabla_consumos[EAN],tabla_consumos[Familia])</f>
        <v>BANDEJA 102</v>
      </c>
      <c r="R229" s="22">
        <f>_xlfn.XLOOKUP(Tabla1[[#This Row],[Ean Normalizado]],tabla_consumos[EAN],tabla_consumos[UM])</f>
        <v>100</v>
      </c>
      <c r="S229" s="22">
        <f>Tabla1[[#This Row],[StockDisp]]*Tabla1[[#This Row],[UM producto]]</f>
        <v>35800</v>
      </c>
    </row>
    <row r="230" spans="1:19" x14ac:dyDescent="0.35">
      <c r="A230" s="37">
        <v>6</v>
      </c>
      <c r="B230" s="37" t="s">
        <v>319</v>
      </c>
      <c r="C230" s="37" t="s">
        <v>311</v>
      </c>
      <c r="D230" s="37" t="s">
        <v>685</v>
      </c>
      <c r="E230" s="37" t="s">
        <v>686</v>
      </c>
      <c r="F230" s="37">
        <v>2007456</v>
      </c>
      <c r="G230" s="37" t="s">
        <v>687</v>
      </c>
      <c r="H230" s="37" t="s">
        <v>315</v>
      </c>
      <c r="I230" s="37">
        <v>5</v>
      </c>
      <c r="J230" s="37">
        <v>0</v>
      </c>
      <c r="K230" s="37">
        <v>0</v>
      </c>
      <c r="L230" s="37">
        <v>0</v>
      </c>
      <c r="M230" s="37">
        <v>0</v>
      </c>
      <c r="N230" s="37">
        <v>0</v>
      </c>
      <c r="O230" s="37">
        <v>5</v>
      </c>
      <c r="P230" s="22" t="str">
        <f>TRIM(Tabla1[[#This Row],[Articulo]])</f>
        <v>7798332280117</v>
      </c>
      <c r="Q230" s="22" t="e">
        <f>_xlfn.XLOOKUP(Tabla1[[#This Row],[Ean Normalizado]],tabla_consumos[EAN],tabla_consumos[Familia])</f>
        <v>#N/A</v>
      </c>
      <c r="R230" s="22" t="e">
        <f>_xlfn.XLOOKUP(Tabla1[[#This Row],[Ean Normalizado]],tabla_consumos[EAN],tabla_consumos[UM])</f>
        <v>#N/A</v>
      </c>
      <c r="S230" s="22" t="e">
        <f>Tabla1[[#This Row],[StockDisp]]*Tabla1[[#This Row],[UM producto]]</f>
        <v>#N/A</v>
      </c>
    </row>
    <row r="231" spans="1:19" x14ac:dyDescent="0.35">
      <c r="A231" s="37">
        <v>5</v>
      </c>
      <c r="B231" s="37" t="s">
        <v>310</v>
      </c>
      <c r="C231" s="37" t="s">
        <v>311</v>
      </c>
      <c r="D231" s="37" t="s">
        <v>312</v>
      </c>
      <c r="E231" s="37" t="s">
        <v>725</v>
      </c>
      <c r="F231" s="37">
        <v>4077165</v>
      </c>
      <c r="G231" s="37" t="s">
        <v>726</v>
      </c>
      <c r="H231" s="37" t="s">
        <v>315</v>
      </c>
      <c r="I231" s="37">
        <v>400</v>
      </c>
      <c r="J231" s="37">
        <v>0</v>
      </c>
      <c r="K231" s="37">
        <v>0</v>
      </c>
      <c r="L231" s="37">
        <v>0</v>
      </c>
      <c r="M231" s="37">
        <v>0</v>
      </c>
      <c r="N231" s="37">
        <v>0</v>
      </c>
      <c r="O231" s="37">
        <v>400</v>
      </c>
      <c r="P231" s="22" t="str">
        <f>TRIM(Tabla1[[#This Row],[Articulo]])</f>
        <v>7790387800081</v>
      </c>
      <c r="Q231" s="22" t="e">
        <f>_xlfn.XLOOKUP(Tabla1[[#This Row],[Ean Normalizado]],tabla_consumos[EAN],tabla_consumos[Familia])</f>
        <v>#N/A</v>
      </c>
      <c r="R231" s="22" t="e">
        <f>_xlfn.XLOOKUP(Tabla1[[#This Row],[Ean Normalizado]],tabla_consumos[EAN],tabla_consumos[UM])</f>
        <v>#N/A</v>
      </c>
      <c r="S231" s="22" t="e">
        <f>Tabla1[[#This Row],[StockDisp]]*Tabla1[[#This Row],[UM producto]]</f>
        <v>#N/A</v>
      </c>
    </row>
    <row r="232" spans="1:19" x14ac:dyDescent="0.35">
      <c r="A232" s="37">
        <v>6</v>
      </c>
      <c r="B232" s="37" t="s">
        <v>319</v>
      </c>
      <c r="C232" s="37" t="s">
        <v>311</v>
      </c>
      <c r="D232" s="37" t="s">
        <v>493</v>
      </c>
      <c r="E232" s="37" t="s">
        <v>727</v>
      </c>
      <c r="F232" s="37">
        <v>2007481</v>
      </c>
      <c r="G232" s="37" t="s">
        <v>728</v>
      </c>
      <c r="H232" s="37" t="s">
        <v>315</v>
      </c>
      <c r="I232" s="37">
        <v>544</v>
      </c>
      <c r="J232" s="37">
        <v>0</v>
      </c>
      <c r="K232" s="37">
        <v>0</v>
      </c>
      <c r="L232" s="37">
        <v>0</v>
      </c>
      <c r="M232" s="37">
        <v>0</v>
      </c>
      <c r="N232" s="37">
        <v>0</v>
      </c>
      <c r="O232" s="37">
        <v>544</v>
      </c>
      <c r="P232" s="22" t="str">
        <f>TRIM(Tabla1[[#This Row],[Articulo]])</f>
        <v>7790000000458</v>
      </c>
      <c r="Q232" s="22" t="e">
        <f>_xlfn.XLOOKUP(Tabla1[[#This Row],[Ean Normalizado]],tabla_consumos[EAN],tabla_consumos[Familia])</f>
        <v>#N/A</v>
      </c>
      <c r="R232" s="22" t="e">
        <f>_xlfn.XLOOKUP(Tabla1[[#This Row],[Ean Normalizado]],tabla_consumos[EAN],tabla_consumos[UM])</f>
        <v>#N/A</v>
      </c>
      <c r="S232" s="22" t="e">
        <f>Tabla1[[#This Row],[StockDisp]]*Tabla1[[#This Row],[UM producto]]</f>
        <v>#N/A</v>
      </c>
    </row>
    <row r="233" spans="1:19" x14ac:dyDescent="0.35">
      <c r="A233" s="37">
        <v>1</v>
      </c>
      <c r="B233" s="37" t="s">
        <v>322</v>
      </c>
      <c r="C233" s="37" t="s">
        <v>311</v>
      </c>
      <c r="D233" s="37" t="s">
        <v>729</v>
      </c>
      <c r="E233" s="37" t="s">
        <v>730</v>
      </c>
      <c r="F233" s="37">
        <v>4021599</v>
      </c>
      <c r="G233" s="37" t="s">
        <v>731</v>
      </c>
      <c r="H233" s="37" t="s">
        <v>346</v>
      </c>
      <c r="I233" s="37">
        <v>381</v>
      </c>
      <c r="J233" s="37">
        <v>0</v>
      </c>
      <c r="K233" s="37">
        <v>0</v>
      </c>
      <c r="L233" s="37">
        <v>0</v>
      </c>
      <c r="M233" s="37">
        <v>0</v>
      </c>
      <c r="N233" s="37">
        <v>0</v>
      </c>
      <c r="O233" s="37">
        <v>381</v>
      </c>
      <c r="P233" s="22" t="str">
        <f>TRIM(Tabla1[[#This Row],[Articulo]])</f>
        <v>7798302800079</v>
      </c>
      <c r="Q233" s="22" t="e">
        <f>_xlfn.XLOOKUP(Tabla1[[#This Row],[Ean Normalizado]],tabla_consumos[EAN],tabla_consumos[Familia])</f>
        <v>#N/A</v>
      </c>
      <c r="R233" s="22" t="e">
        <f>_xlfn.XLOOKUP(Tabla1[[#This Row],[Ean Normalizado]],tabla_consumos[EAN],tabla_consumos[UM])</f>
        <v>#N/A</v>
      </c>
      <c r="S233" s="22" t="e">
        <f>Tabla1[[#This Row],[StockDisp]]*Tabla1[[#This Row],[UM producto]]</f>
        <v>#N/A</v>
      </c>
    </row>
    <row r="234" spans="1:19" x14ac:dyDescent="0.35">
      <c r="A234" s="37">
        <v>5</v>
      </c>
      <c r="B234" s="37" t="s">
        <v>310</v>
      </c>
      <c r="C234" s="37" t="s">
        <v>311</v>
      </c>
      <c r="D234" s="37" t="s">
        <v>362</v>
      </c>
      <c r="E234" s="37" t="s">
        <v>363</v>
      </c>
      <c r="F234" s="37">
        <v>4022177</v>
      </c>
      <c r="G234" s="37" t="s">
        <v>364</v>
      </c>
      <c r="H234" s="37" t="s">
        <v>315</v>
      </c>
      <c r="I234" s="37">
        <v>291</v>
      </c>
      <c r="J234" s="37">
        <v>0</v>
      </c>
      <c r="K234" s="37">
        <v>0</v>
      </c>
      <c r="L234" s="37">
        <v>0</v>
      </c>
      <c r="M234" s="37">
        <v>0</v>
      </c>
      <c r="N234" s="37">
        <v>0</v>
      </c>
      <c r="O234" s="37">
        <v>291</v>
      </c>
      <c r="P234" s="22" t="str">
        <f>TRIM(Tabla1[[#This Row],[Articulo]])</f>
        <v>7798011977390</v>
      </c>
      <c r="Q234" s="22" t="e">
        <f>_xlfn.XLOOKUP(Tabla1[[#This Row],[Ean Normalizado]],tabla_consumos[EAN],tabla_consumos[Familia])</f>
        <v>#N/A</v>
      </c>
      <c r="R234" s="22" t="e">
        <f>_xlfn.XLOOKUP(Tabla1[[#This Row],[Ean Normalizado]],tabla_consumos[EAN],tabla_consumos[UM])</f>
        <v>#N/A</v>
      </c>
      <c r="S234" s="22" t="e">
        <f>Tabla1[[#This Row],[StockDisp]]*Tabla1[[#This Row],[UM producto]]</f>
        <v>#N/A</v>
      </c>
    </row>
    <row r="235" spans="1:19" x14ac:dyDescent="0.35">
      <c r="A235" s="37">
        <v>6</v>
      </c>
      <c r="B235" s="37" t="s">
        <v>319</v>
      </c>
      <c r="C235" s="37" t="s">
        <v>311</v>
      </c>
      <c r="D235" s="37" t="s">
        <v>987</v>
      </c>
      <c r="E235" s="37" t="s">
        <v>998</v>
      </c>
      <c r="F235" s="37">
        <v>2006602</v>
      </c>
      <c r="G235" s="37" t="s">
        <v>999</v>
      </c>
      <c r="H235" s="37" t="s">
        <v>315</v>
      </c>
      <c r="I235" s="37">
        <v>0</v>
      </c>
      <c r="J235" s="37">
        <v>200</v>
      </c>
      <c r="K235" s="37">
        <v>200</v>
      </c>
      <c r="L235" s="37">
        <v>0</v>
      </c>
      <c r="M235" s="37">
        <v>0</v>
      </c>
      <c r="N235" s="37">
        <v>0</v>
      </c>
      <c r="O235" s="37">
        <v>0</v>
      </c>
      <c r="P235" s="22" t="str">
        <f>TRIM(Tabla1[[#This Row],[Articulo]])</f>
        <v>LIM000052</v>
      </c>
      <c r="Q235" s="22" t="e">
        <f>_xlfn.XLOOKUP(Tabla1[[#This Row],[Ean Normalizado]],tabla_consumos[EAN],tabla_consumos[Familia])</f>
        <v>#N/A</v>
      </c>
      <c r="R235" s="22" t="e">
        <f>_xlfn.XLOOKUP(Tabla1[[#This Row],[Ean Normalizado]],tabla_consumos[EAN],tabla_consumos[UM])</f>
        <v>#N/A</v>
      </c>
      <c r="S235" s="22" t="e">
        <f>Tabla1[[#This Row],[StockDisp]]*Tabla1[[#This Row],[UM producto]]</f>
        <v>#N/A</v>
      </c>
    </row>
    <row r="236" spans="1:19" x14ac:dyDescent="0.35">
      <c r="A236" s="37">
        <v>6</v>
      </c>
      <c r="B236" s="37" t="s">
        <v>319</v>
      </c>
      <c r="C236" s="37" t="s">
        <v>311</v>
      </c>
      <c r="D236" s="37" t="s">
        <v>732</v>
      </c>
      <c r="E236" s="37" t="s">
        <v>733</v>
      </c>
      <c r="F236" s="37">
        <v>2016596</v>
      </c>
      <c r="G236" s="37" t="s">
        <v>734</v>
      </c>
      <c r="H236" s="37" t="s">
        <v>315</v>
      </c>
      <c r="I236" s="37">
        <v>80</v>
      </c>
      <c r="J236" s="37">
        <v>0</v>
      </c>
      <c r="K236" s="37">
        <v>0</v>
      </c>
      <c r="L236" s="37">
        <v>0</v>
      </c>
      <c r="M236" s="37">
        <v>0</v>
      </c>
      <c r="N236" s="37">
        <v>0</v>
      </c>
      <c r="O236" s="37">
        <v>80</v>
      </c>
      <c r="P236" s="22" t="str">
        <f>TRIM(Tabla1[[#This Row],[Articulo]])</f>
        <v>714604111788</v>
      </c>
      <c r="Q236" s="22" t="e">
        <f>_xlfn.XLOOKUP(Tabla1[[#This Row],[Ean Normalizado]],tabla_consumos[EAN],tabla_consumos[Familia])</f>
        <v>#N/A</v>
      </c>
      <c r="R236" s="22" t="e">
        <f>_xlfn.XLOOKUP(Tabla1[[#This Row],[Ean Normalizado]],tabla_consumos[EAN],tabla_consumos[UM])</f>
        <v>#N/A</v>
      </c>
      <c r="S236" s="22" t="e">
        <f>Tabla1[[#This Row],[StockDisp]]*Tabla1[[#This Row],[UM producto]]</f>
        <v>#N/A</v>
      </c>
    </row>
    <row r="237" spans="1:19" x14ac:dyDescent="0.35">
      <c r="A237" s="37">
        <v>6</v>
      </c>
      <c r="B237" s="37" t="s">
        <v>319</v>
      </c>
      <c r="C237" s="37" t="s">
        <v>311</v>
      </c>
      <c r="D237" s="37"/>
      <c r="E237" s="37" t="s">
        <v>817</v>
      </c>
      <c r="F237" s="37">
        <v>2007140</v>
      </c>
      <c r="G237" s="37" t="s">
        <v>818</v>
      </c>
      <c r="H237" s="37" t="s">
        <v>315</v>
      </c>
      <c r="I237" s="37">
        <v>400</v>
      </c>
      <c r="J237" s="37">
        <v>0</v>
      </c>
      <c r="K237" s="37">
        <v>0</v>
      </c>
      <c r="L237" s="37">
        <v>0</v>
      </c>
      <c r="M237" s="37">
        <v>0</v>
      </c>
      <c r="N237" s="37">
        <v>0</v>
      </c>
      <c r="O237" s="37">
        <v>400</v>
      </c>
      <c r="P237" s="22" t="str">
        <f>TRIM(Tabla1[[#This Row],[Articulo]])</f>
        <v>7790000000253</v>
      </c>
      <c r="Q237" s="22" t="str">
        <f>_xlfn.XLOOKUP(Tabla1[[#This Row],[Ean Normalizado]],tabla_consumos[EAN],tabla_consumos[Familia])</f>
        <v>VASO PLASTICO 300CC</v>
      </c>
      <c r="R237" s="22">
        <f>_xlfn.XLOOKUP(Tabla1[[#This Row],[Ean Normalizado]],tabla_consumos[EAN],tabla_consumos[UM])</f>
        <v>100</v>
      </c>
      <c r="S237" s="22">
        <f>Tabla1[[#This Row],[StockDisp]]*Tabla1[[#This Row],[UM producto]]</f>
        <v>40000</v>
      </c>
    </row>
    <row r="238" spans="1:19" x14ac:dyDescent="0.35">
      <c r="A238" s="37">
        <v>6</v>
      </c>
      <c r="B238" s="37" t="s">
        <v>319</v>
      </c>
      <c r="C238" s="37" t="s">
        <v>311</v>
      </c>
      <c r="D238" s="37" t="s">
        <v>463</v>
      </c>
      <c r="E238" s="37" t="s">
        <v>683</v>
      </c>
      <c r="F238" s="37">
        <v>2011391</v>
      </c>
      <c r="G238" s="37" t="s">
        <v>684</v>
      </c>
      <c r="H238" s="37" t="s">
        <v>315</v>
      </c>
      <c r="I238" s="37">
        <v>177</v>
      </c>
      <c r="J238" s="37">
        <v>100</v>
      </c>
      <c r="K238" s="37">
        <v>100</v>
      </c>
      <c r="L238" s="37">
        <v>0</v>
      </c>
      <c r="M238" s="37">
        <v>0</v>
      </c>
      <c r="N238" s="37">
        <v>0</v>
      </c>
      <c r="O238" s="37">
        <v>177</v>
      </c>
      <c r="P238" s="22" t="str">
        <f>TRIM(Tabla1[[#This Row],[Articulo]])</f>
        <v>7798188650423</v>
      </c>
      <c r="Q238" s="22" t="e">
        <f>_xlfn.XLOOKUP(Tabla1[[#This Row],[Ean Normalizado]],tabla_consumos[EAN],tabla_consumos[Familia])</f>
        <v>#N/A</v>
      </c>
      <c r="R238" s="22" t="e">
        <f>_xlfn.XLOOKUP(Tabla1[[#This Row],[Ean Normalizado]],tabla_consumos[EAN],tabla_consumos[UM])</f>
        <v>#N/A</v>
      </c>
      <c r="S238" s="22" t="e">
        <f>Tabla1[[#This Row],[StockDisp]]*Tabla1[[#This Row],[UM producto]]</f>
        <v>#N/A</v>
      </c>
    </row>
    <row r="239" spans="1:19" x14ac:dyDescent="0.35">
      <c r="A239" s="37">
        <v>6</v>
      </c>
      <c r="B239" s="37" t="s">
        <v>319</v>
      </c>
      <c r="C239" s="37" t="s">
        <v>311</v>
      </c>
      <c r="D239" s="37"/>
      <c r="E239" s="37" t="s">
        <v>583</v>
      </c>
      <c r="F239" s="37">
        <v>2007152</v>
      </c>
      <c r="G239" s="37" t="s">
        <v>584</v>
      </c>
      <c r="H239" s="37" t="s">
        <v>315</v>
      </c>
      <c r="I239" s="37">
        <v>253</v>
      </c>
      <c r="J239" s="37">
        <v>0</v>
      </c>
      <c r="K239" s="37">
        <v>0</v>
      </c>
      <c r="L239" s="37">
        <v>0</v>
      </c>
      <c r="M239" s="37">
        <v>0</v>
      </c>
      <c r="N239" s="37">
        <v>0</v>
      </c>
      <c r="O239" s="37">
        <v>253</v>
      </c>
      <c r="P239" s="22" t="str">
        <f>TRIM(Tabla1[[#This Row],[Articulo]])</f>
        <v>992014500205</v>
      </c>
      <c r="Q239" s="22" t="e">
        <f>_xlfn.XLOOKUP(Tabla1[[#This Row],[Ean Normalizado]],tabla_consumos[EAN],tabla_consumos[Familia])</f>
        <v>#N/A</v>
      </c>
      <c r="R239" s="22" t="e">
        <f>_xlfn.XLOOKUP(Tabla1[[#This Row],[Ean Normalizado]],tabla_consumos[EAN],tabla_consumos[UM])</f>
        <v>#N/A</v>
      </c>
      <c r="S239" s="22" t="e">
        <f>Tabla1[[#This Row],[StockDisp]]*Tabla1[[#This Row],[UM producto]]</f>
        <v>#N/A</v>
      </c>
    </row>
    <row r="240" spans="1:19" x14ac:dyDescent="0.35">
      <c r="A240" s="37">
        <v>5</v>
      </c>
      <c r="B240" s="37" t="s">
        <v>310</v>
      </c>
      <c r="C240" s="37" t="s">
        <v>311</v>
      </c>
      <c r="D240" s="37" t="s">
        <v>316</v>
      </c>
      <c r="E240" s="37" t="s">
        <v>585</v>
      </c>
      <c r="F240" s="37">
        <v>4022799</v>
      </c>
      <c r="G240" s="37" t="s">
        <v>586</v>
      </c>
      <c r="H240" s="37" t="s">
        <v>315</v>
      </c>
      <c r="I240" s="37">
        <v>100</v>
      </c>
      <c r="J240" s="37">
        <v>0</v>
      </c>
      <c r="K240" s="37">
        <v>0</v>
      </c>
      <c r="L240" s="37">
        <v>0</v>
      </c>
      <c r="M240" s="37">
        <v>0</v>
      </c>
      <c r="N240" s="37">
        <v>0</v>
      </c>
      <c r="O240" s="37">
        <v>100</v>
      </c>
      <c r="P240" s="22" t="str">
        <f>TRIM(Tabla1[[#This Row],[Articulo]])</f>
        <v>7790387014624</v>
      </c>
      <c r="Q240" s="22" t="e">
        <f>_xlfn.XLOOKUP(Tabla1[[#This Row],[Ean Normalizado]],tabla_consumos[EAN],tabla_consumos[Familia])</f>
        <v>#N/A</v>
      </c>
      <c r="R240" s="22" t="e">
        <f>_xlfn.XLOOKUP(Tabla1[[#This Row],[Ean Normalizado]],tabla_consumos[EAN],tabla_consumos[UM])</f>
        <v>#N/A</v>
      </c>
      <c r="S240" s="22" t="e">
        <f>Tabla1[[#This Row],[StockDisp]]*Tabla1[[#This Row],[UM producto]]</f>
        <v>#N/A</v>
      </c>
    </row>
    <row r="241" spans="1:19" x14ac:dyDescent="0.35">
      <c r="A241" s="37">
        <v>5</v>
      </c>
      <c r="B241" s="37" t="s">
        <v>310</v>
      </c>
      <c r="C241" s="37" t="s">
        <v>311</v>
      </c>
      <c r="D241" s="37" t="s">
        <v>316</v>
      </c>
      <c r="E241" s="37" t="s">
        <v>445</v>
      </c>
      <c r="F241" s="37">
        <v>4077162</v>
      </c>
      <c r="G241" s="37" t="s">
        <v>446</v>
      </c>
      <c r="H241" s="37" t="s">
        <v>315</v>
      </c>
      <c r="I241" s="37">
        <v>197</v>
      </c>
      <c r="J241" s="37">
        <v>0</v>
      </c>
      <c r="K241" s="37">
        <v>0</v>
      </c>
      <c r="L241" s="37">
        <v>0</v>
      </c>
      <c r="M241" s="37">
        <v>0</v>
      </c>
      <c r="N241" s="37">
        <v>0</v>
      </c>
      <c r="O241" s="37">
        <v>197</v>
      </c>
      <c r="P241" s="22" t="str">
        <f>TRIM(Tabla1[[#This Row],[Articulo]])</f>
        <v>7790387015324</v>
      </c>
      <c r="Q241" s="22" t="e">
        <f>_xlfn.XLOOKUP(Tabla1[[#This Row],[Ean Normalizado]],tabla_consumos[EAN],tabla_consumos[Familia])</f>
        <v>#N/A</v>
      </c>
      <c r="R241" s="22" t="e">
        <f>_xlfn.XLOOKUP(Tabla1[[#This Row],[Ean Normalizado]],tabla_consumos[EAN],tabla_consumos[UM])</f>
        <v>#N/A</v>
      </c>
      <c r="S241" s="22" t="e">
        <f>Tabla1[[#This Row],[StockDisp]]*Tabla1[[#This Row],[UM producto]]</f>
        <v>#N/A</v>
      </c>
    </row>
    <row r="242" spans="1:19" x14ac:dyDescent="0.35">
      <c r="A242" s="37">
        <v>1</v>
      </c>
      <c r="B242" s="37" t="s">
        <v>322</v>
      </c>
      <c r="C242" s="37" t="s">
        <v>311</v>
      </c>
      <c r="D242" s="37"/>
      <c r="E242" s="37" t="s">
        <v>819</v>
      </c>
      <c r="F242" s="37"/>
      <c r="G242" s="37" t="s">
        <v>820</v>
      </c>
      <c r="H242" s="37" t="s">
        <v>346</v>
      </c>
      <c r="I242" s="37">
        <v>22.6</v>
      </c>
      <c r="J242" s="37">
        <v>0</v>
      </c>
      <c r="K242" s="37">
        <v>0</v>
      </c>
      <c r="L242" s="37">
        <v>0</v>
      </c>
      <c r="M242" s="37">
        <v>0</v>
      </c>
      <c r="N242" s="37">
        <v>0</v>
      </c>
      <c r="O242" s="37">
        <v>22.6</v>
      </c>
      <c r="P242" s="22" t="str">
        <f>TRIM(Tabla1[[#This Row],[Articulo]])</f>
        <v>7790000000599</v>
      </c>
      <c r="Q242" s="22" t="e">
        <f>_xlfn.XLOOKUP(Tabla1[[#This Row],[Ean Normalizado]],tabla_consumos[EAN],tabla_consumos[Familia])</f>
        <v>#N/A</v>
      </c>
      <c r="R242" s="22" t="e">
        <f>_xlfn.XLOOKUP(Tabla1[[#This Row],[Ean Normalizado]],tabla_consumos[EAN],tabla_consumos[UM])</f>
        <v>#N/A</v>
      </c>
      <c r="S242" s="22" t="e">
        <f>Tabla1[[#This Row],[StockDisp]]*Tabla1[[#This Row],[UM producto]]</f>
        <v>#N/A</v>
      </c>
    </row>
    <row r="243" spans="1:19" x14ac:dyDescent="0.35">
      <c r="A243" s="37">
        <v>5</v>
      </c>
      <c r="B243" s="37" t="s">
        <v>310</v>
      </c>
      <c r="C243" s="37" t="s">
        <v>311</v>
      </c>
      <c r="D243" s="37"/>
      <c r="E243" s="37" t="s">
        <v>691</v>
      </c>
      <c r="F243" s="37">
        <v>4001181</v>
      </c>
      <c r="G243" s="37" t="s">
        <v>692</v>
      </c>
      <c r="H243" s="37" t="s">
        <v>346</v>
      </c>
      <c r="I243" s="37">
        <v>2789.35</v>
      </c>
      <c r="J243" s="37">
        <v>0</v>
      </c>
      <c r="K243" s="37">
        <v>0</v>
      </c>
      <c r="L243" s="37">
        <v>168</v>
      </c>
      <c r="M243" s="37">
        <v>948</v>
      </c>
      <c r="N243" s="37">
        <v>0</v>
      </c>
      <c r="O243" s="37">
        <v>1673.35</v>
      </c>
      <c r="P243" s="22" t="str">
        <f>TRIM(Tabla1[[#This Row],[Articulo]])</f>
        <v>4001181</v>
      </c>
      <c r="Q243" s="22" t="e">
        <f>_xlfn.XLOOKUP(Tabla1[[#This Row],[Ean Normalizado]],tabla_consumos[EAN],tabla_consumos[Familia])</f>
        <v>#N/A</v>
      </c>
      <c r="R243" s="22" t="e">
        <f>_xlfn.XLOOKUP(Tabla1[[#This Row],[Ean Normalizado]],tabla_consumos[EAN],tabla_consumos[UM])</f>
        <v>#N/A</v>
      </c>
      <c r="S243" s="22" t="e">
        <f>Tabla1[[#This Row],[StockDisp]]*Tabla1[[#This Row],[UM producto]]</f>
        <v>#N/A</v>
      </c>
    </row>
    <row r="244" spans="1:19" x14ac:dyDescent="0.35">
      <c r="A244" s="37">
        <v>6</v>
      </c>
      <c r="B244" s="37" t="s">
        <v>319</v>
      </c>
      <c r="C244" s="37" t="s">
        <v>311</v>
      </c>
      <c r="D244" s="37" t="s">
        <v>463</v>
      </c>
      <c r="E244" s="37" t="s">
        <v>506</v>
      </c>
      <c r="F244" s="37">
        <v>2011430</v>
      </c>
      <c r="G244" s="37" t="s">
        <v>507</v>
      </c>
      <c r="H244" s="37" t="s">
        <v>508</v>
      </c>
      <c r="I244" s="37">
        <v>0</v>
      </c>
      <c r="J244" s="37">
        <v>13</v>
      </c>
      <c r="K244" s="37">
        <v>0</v>
      </c>
      <c r="L244" s="37">
        <v>0</v>
      </c>
      <c r="M244" s="37">
        <v>0</v>
      </c>
      <c r="N244" s="37">
        <v>0</v>
      </c>
      <c r="O244" s="37">
        <v>13</v>
      </c>
      <c r="P244" s="22" t="str">
        <f>TRIM(Tabla1[[#This Row],[Articulo]])</f>
        <v>7798090052551</v>
      </c>
      <c r="Q244" s="22" t="e">
        <f>_xlfn.XLOOKUP(Tabla1[[#This Row],[Ean Normalizado]],tabla_consumos[EAN],tabla_consumos[Familia])</f>
        <v>#N/A</v>
      </c>
      <c r="R244" s="22" t="e">
        <f>_xlfn.XLOOKUP(Tabla1[[#This Row],[Ean Normalizado]],tabla_consumos[EAN],tabla_consumos[UM])</f>
        <v>#N/A</v>
      </c>
      <c r="S244" s="22" t="e">
        <f>Tabla1[[#This Row],[StockDisp]]*Tabla1[[#This Row],[UM producto]]</f>
        <v>#N/A</v>
      </c>
    </row>
    <row r="245" spans="1:19" x14ac:dyDescent="0.35">
      <c r="A245" s="37">
        <v>5</v>
      </c>
      <c r="B245" s="37" t="s">
        <v>310</v>
      </c>
      <c r="C245" s="37" t="s">
        <v>311</v>
      </c>
      <c r="D245" s="37" t="s">
        <v>688</v>
      </c>
      <c r="E245" s="37" t="s">
        <v>689</v>
      </c>
      <c r="F245" s="37">
        <v>4020279</v>
      </c>
      <c r="G245" s="37" t="s">
        <v>690</v>
      </c>
      <c r="H245" s="37" t="s">
        <v>315</v>
      </c>
      <c r="I245" s="37">
        <v>95</v>
      </c>
      <c r="J245" s="37">
        <v>0</v>
      </c>
      <c r="K245" s="37">
        <v>0</v>
      </c>
      <c r="L245" s="37">
        <v>0</v>
      </c>
      <c r="M245" s="37">
        <v>0</v>
      </c>
      <c r="N245" s="37">
        <v>0</v>
      </c>
      <c r="O245" s="37">
        <v>95</v>
      </c>
      <c r="P245" s="22" t="str">
        <f>TRIM(Tabla1[[#This Row],[Articulo]])</f>
        <v>7798011976614</v>
      </c>
      <c r="Q245" s="22" t="e">
        <f>_xlfn.XLOOKUP(Tabla1[[#This Row],[Ean Normalizado]],tabla_consumos[EAN],tabla_consumos[Familia])</f>
        <v>#N/A</v>
      </c>
      <c r="R245" s="22" t="e">
        <f>_xlfn.XLOOKUP(Tabla1[[#This Row],[Ean Normalizado]],tabla_consumos[EAN],tabla_consumos[UM])</f>
        <v>#N/A</v>
      </c>
      <c r="S245" s="22" t="e">
        <f>Tabla1[[#This Row],[StockDisp]]*Tabla1[[#This Row],[UM producto]]</f>
        <v>#N/A</v>
      </c>
    </row>
    <row r="246" spans="1:19" x14ac:dyDescent="0.35">
      <c r="A246" s="37">
        <v>6</v>
      </c>
      <c r="B246" s="37" t="s">
        <v>319</v>
      </c>
      <c r="C246" s="37" t="s">
        <v>311</v>
      </c>
      <c r="D246" s="37"/>
      <c r="E246" s="37" t="s">
        <v>414</v>
      </c>
      <c r="F246" s="37">
        <v>2007115</v>
      </c>
      <c r="G246" s="37" t="s">
        <v>415</v>
      </c>
      <c r="H246" s="37" t="s">
        <v>315</v>
      </c>
      <c r="I246" s="37">
        <v>1487</v>
      </c>
      <c r="J246" s="37">
        <v>0</v>
      </c>
      <c r="K246" s="37">
        <v>0</v>
      </c>
      <c r="L246" s="37">
        <v>0</v>
      </c>
      <c r="M246" s="37">
        <v>0</v>
      </c>
      <c r="N246" s="37">
        <v>0</v>
      </c>
      <c r="O246" s="37">
        <v>1487</v>
      </c>
      <c r="P246" s="22" t="str">
        <f>TRIM(Tabla1[[#This Row],[Articulo]])</f>
        <v>7790000000192</v>
      </c>
      <c r="Q246" s="22" t="str">
        <f>_xlfn.XLOOKUP(Tabla1[[#This Row],[Ean Normalizado]],tabla_consumos[EAN],tabla_consumos[Familia])</f>
        <v>BANDEJA 102 NEGRA</v>
      </c>
      <c r="R246" s="22">
        <f>_xlfn.XLOOKUP(Tabla1[[#This Row],[Ean Normalizado]],tabla_consumos[EAN],tabla_consumos[UM])</f>
        <v>100</v>
      </c>
      <c r="S246" s="22">
        <f>Tabla1[[#This Row],[StockDisp]]*Tabla1[[#This Row],[UM producto]]</f>
        <v>148700</v>
      </c>
    </row>
    <row r="247" spans="1:19" x14ac:dyDescent="0.35">
      <c r="A247" s="37">
        <v>6</v>
      </c>
      <c r="B247" s="37" t="s">
        <v>319</v>
      </c>
      <c r="C247" s="37" t="s">
        <v>311</v>
      </c>
      <c r="D247" s="37"/>
      <c r="E247" s="37" t="s">
        <v>416</v>
      </c>
      <c r="F247" s="37">
        <v>2007170</v>
      </c>
      <c r="G247" s="37" t="s">
        <v>417</v>
      </c>
      <c r="H247" s="37" t="s">
        <v>315</v>
      </c>
      <c r="I247" s="37">
        <v>81</v>
      </c>
      <c r="J247" s="37">
        <v>100</v>
      </c>
      <c r="K247" s="37">
        <v>0</v>
      </c>
      <c r="L247" s="37">
        <v>0</v>
      </c>
      <c r="M247" s="37">
        <v>0</v>
      </c>
      <c r="N247" s="37">
        <v>0</v>
      </c>
      <c r="O247" s="37">
        <v>181</v>
      </c>
      <c r="P247" s="22" t="str">
        <f>TRIM(Tabla1[[#This Row],[Articulo]])</f>
        <v>7790000000210</v>
      </c>
      <c r="Q247" s="22" t="e">
        <f>_xlfn.XLOOKUP(Tabla1[[#This Row],[Ean Normalizado]],tabla_consumos[EAN],tabla_consumos[Familia])</f>
        <v>#N/A</v>
      </c>
      <c r="R247" s="22" t="e">
        <f>_xlfn.XLOOKUP(Tabla1[[#This Row],[Ean Normalizado]],tabla_consumos[EAN],tabla_consumos[UM])</f>
        <v>#N/A</v>
      </c>
      <c r="S247" s="22" t="e">
        <f>Tabla1[[#This Row],[StockDisp]]*Tabla1[[#This Row],[UM producto]]</f>
        <v>#N/A</v>
      </c>
    </row>
    <row r="248" spans="1:19" x14ac:dyDescent="0.35">
      <c r="A248" s="37">
        <v>6</v>
      </c>
      <c r="B248" s="37" t="s">
        <v>319</v>
      </c>
      <c r="C248" s="37" t="s">
        <v>311</v>
      </c>
      <c r="D248" s="37" t="s">
        <v>418</v>
      </c>
      <c r="E248" s="37" t="s">
        <v>419</v>
      </c>
      <c r="F248" s="37">
        <v>2016700</v>
      </c>
      <c r="G248" s="37" t="s">
        <v>420</v>
      </c>
      <c r="H248" s="37" t="s">
        <v>315</v>
      </c>
      <c r="I248" s="37">
        <v>2</v>
      </c>
      <c r="J248" s="37">
        <v>0</v>
      </c>
      <c r="K248" s="37">
        <v>0</v>
      </c>
      <c r="L248" s="37">
        <v>0</v>
      </c>
      <c r="M248" s="37">
        <v>0</v>
      </c>
      <c r="N248" s="37">
        <v>0</v>
      </c>
      <c r="O248" s="37">
        <v>2</v>
      </c>
      <c r="P248" s="22" t="str">
        <f>TRIM(Tabla1[[#This Row],[Articulo]])</f>
        <v>7790000000835</v>
      </c>
      <c r="Q248" s="22" t="e">
        <f>_xlfn.XLOOKUP(Tabla1[[#This Row],[Ean Normalizado]],tabla_consumos[EAN],tabla_consumos[Familia])</f>
        <v>#N/A</v>
      </c>
      <c r="R248" s="22" t="e">
        <f>_xlfn.XLOOKUP(Tabla1[[#This Row],[Ean Normalizado]],tabla_consumos[EAN],tabla_consumos[UM])</f>
        <v>#N/A</v>
      </c>
      <c r="S248" s="22" t="e">
        <f>Tabla1[[#This Row],[StockDisp]]*Tabla1[[#This Row],[UM producto]]</f>
        <v>#N/A</v>
      </c>
    </row>
    <row r="249" spans="1:19" x14ac:dyDescent="0.35">
      <c r="A249" s="37">
        <v>6</v>
      </c>
      <c r="B249" s="37" t="s">
        <v>319</v>
      </c>
      <c r="C249" s="37" t="s">
        <v>311</v>
      </c>
      <c r="D249" s="37" t="s">
        <v>421</v>
      </c>
      <c r="E249" s="37" t="s">
        <v>422</v>
      </c>
      <c r="F249" s="37">
        <v>2016620</v>
      </c>
      <c r="G249" s="37" t="s">
        <v>423</v>
      </c>
      <c r="H249" s="37" t="s">
        <v>315</v>
      </c>
      <c r="I249" s="37">
        <v>93</v>
      </c>
      <c r="J249" s="37">
        <v>495</v>
      </c>
      <c r="K249" s="37">
        <v>0</v>
      </c>
      <c r="L249" s="37">
        <v>0</v>
      </c>
      <c r="M249" s="37">
        <v>6</v>
      </c>
      <c r="N249" s="37">
        <v>0</v>
      </c>
      <c r="O249" s="37">
        <v>582</v>
      </c>
      <c r="P249" s="22" t="str">
        <f>TRIM(Tabla1[[#This Row],[Articulo]])</f>
        <v>7790000000758</v>
      </c>
      <c r="Q249" s="22" t="e">
        <f>_xlfn.XLOOKUP(Tabla1[[#This Row],[Ean Normalizado]],tabla_consumos[EAN],tabla_consumos[Familia])</f>
        <v>#N/A</v>
      </c>
      <c r="R249" s="22" t="e">
        <f>_xlfn.XLOOKUP(Tabla1[[#This Row],[Ean Normalizado]],tabla_consumos[EAN],tabla_consumos[UM])</f>
        <v>#N/A</v>
      </c>
      <c r="S249" s="22" t="e">
        <f>Tabla1[[#This Row],[StockDisp]]*Tabla1[[#This Row],[UM producto]]</f>
        <v>#N/A</v>
      </c>
    </row>
    <row r="250" spans="1:19" x14ac:dyDescent="0.35">
      <c r="A250" s="37">
        <v>6</v>
      </c>
      <c r="B250" s="37" t="s">
        <v>319</v>
      </c>
      <c r="C250" s="37" t="s">
        <v>311</v>
      </c>
      <c r="D250" s="37" t="s">
        <v>528</v>
      </c>
      <c r="E250" s="37" t="s">
        <v>529</v>
      </c>
      <c r="F250" s="37">
        <v>2007546</v>
      </c>
      <c r="G250" s="37" t="s">
        <v>530</v>
      </c>
      <c r="H250" s="37" t="s">
        <v>315</v>
      </c>
      <c r="I250" s="37">
        <v>19</v>
      </c>
      <c r="J250" s="37">
        <v>0</v>
      </c>
      <c r="K250" s="37">
        <v>0</v>
      </c>
      <c r="L250" s="37">
        <v>0</v>
      </c>
      <c r="M250" s="37">
        <v>0</v>
      </c>
      <c r="N250" s="37">
        <v>0</v>
      </c>
      <c r="O250" s="37">
        <v>19</v>
      </c>
      <c r="P250" s="22" t="str">
        <f>TRIM(Tabla1[[#This Row],[Articulo]])</f>
        <v>7790000000513</v>
      </c>
      <c r="Q250" s="22" t="e">
        <f>_xlfn.XLOOKUP(Tabla1[[#This Row],[Ean Normalizado]],tabla_consumos[EAN],tabla_consumos[Familia])</f>
        <v>#N/A</v>
      </c>
      <c r="R250" s="22" t="e">
        <f>_xlfn.XLOOKUP(Tabla1[[#This Row],[Ean Normalizado]],tabla_consumos[EAN],tabla_consumos[UM])</f>
        <v>#N/A</v>
      </c>
      <c r="S250" s="22" t="e">
        <f>Tabla1[[#This Row],[StockDisp]]*Tabla1[[#This Row],[UM producto]]</f>
        <v>#N/A</v>
      </c>
    </row>
    <row r="251" spans="1:19" x14ac:dyDescent="0.35">
      <c r="A251" s="37">
        <v>6</v>
      </c>
      <c r="B251" s="37" t="s">
        <v>319</v>
      </c>
      <c r="C251" s="37" t="s">
        <v>311</v>
      </c>
      <c r="D251" s="37"/>
      <c r="E251" s="37" t="s">
        <v>783</v>
      </c>
      <c r="F251" s="37">
        <v>2007163</v>
      </c>
      <c r="G251" s="37" t="s">
        <v>784</v>
      </c>
      <c r="H251" s="37" t="s">
        <v>315</v>
      </c>
      <c r="I251" s="37">
        <v>288</v>
      </c>
      <c r="J251" s="37">
        <v>0</v>
      </c>
      <c r="K251" s="37">
        <v>0</v>
      </c>
      <c r="L251" s="37">
        <v>0</v>
      </c>
      <c r="M251" s="37">
        <v>0</v>
      </c>
      <c r="N251" s="37">
        <v>0</v>
      </c>
      <c r="O251" s="37">
        <v>288</v>
      </c>
      <c r="P251" s="22" t="str">
        <f>TRIM(Tabla1[[#This Row],[Articulo]])</f>
        <v>7790000000203</v>
      </c>
      <c r="Q251" s="22" t="e">
        <f>_xlfn.XLOOKUP(Tabla1[[#This Row],[Ean Normalizado]],tabla_consumos[EAN],tabla_consumos[Familia])</f>
        <v>#N/A</v>
      </c>
      <c r="R251" s="22" t="e">
        <f>_xlfn.XLOOKUP(Tabla1[[#This Row],[Ean Normalizado]],tabla_consumos[EAN],tabla_consumos[UM])</f>
        <v>#N/A</v>
      </c>
      <c r="S251" s="22" t="e">
        <f>Tabla1[[#This Row],[StockDisp]]*Tabla1[[#This Row],[UM producto]]</f>
        <v>#N/A</v>
      </c>
    </row>
    <row r="252" spans="1:19" x14ac:dyDescent="0.35">
      <c r="A252" s="37">
        <v>6</v>
      </c>
      <c r="B252" s="37" t="s">
        <v>319</v>
      </c>
      <c r="C252" s="37" t="s">
        <v>311</v>
      </c>
      <c r="D252" s="37" t="s">
        <v>750</v>
      </c>
      <c r="E252" s="37" t="s">
        <v>785</v>
      </c>
      <c r="F252" s="37">
        <v>2007148</v>
      </c>
      <c r="G252" s="37" t="s">
        <v>786</v>
      </c>
      <c r="H252" s="37" t="s">
        <v>315</v>
      </c>
      <c r="I252" s="37">
        <v>1169</v>
      </c>
      <c r="J252" s="37">
        <v>0</v>
      </c>
      <c r="K252" s="37">
        <v>0</v>
      </c>
      <c r="L252" s="37">
        <v>0</v>
      </c>
      <c r="M252" s="37">
        <v>5</v>
      </c>
      <c r="N252" s="37">
        <v>0</v>
      </c>
      <c r="O252" s="37">
        <v>1164</v>
      </c>
      <c r="P252" s="22" t="str">
        <f>TRIM(Tabla1[[#This Row],[Articulo]])</f>
        <v>7798209711881</v>
      </c>
      <c r="Q252" s="22" t="str">
        <f>_xlfn.XLOOKUP(Tabla1[[#This Row],[Ean Normalizado]],tabla_consumos[EAN],tabla_consumos[Familia])</f>
        <v>GUANTE NITRILO M</v>
      </c>
      <c r="R252" s="22">
        <f>_xlfn.XLOOKUP(Tabla1[[#This Row],[Ean Normalizado]],tabla_consumos[EAN],tabla_consumos[UM])</f>
        <v>100</v>
      </c>
      <c r="S252" s="22">
        <f>Tabla1[[#This Row],[StockDisp]]*Tabla1[[#This Row],[UM producto]]</f>
        <v>116400</v>
      </c>
    </row>
    <row r="253" spans="1:19" x14ac:dyDescent="0.35">
      <c r="A253" s="37">
        <v>1</v>
      </c>
      <c r="B253" s="37" t="s">
        <v>322</v>
      </c>
      <c r="C253" s="37" t="s">
        <v>311</v>
      </c>
      <c r="D253" s="37" t="s">
        <v>787</v>
      </c>
      <c r="E253" s="37" t="s">
        <v>788</v>
      </c>
      <c r="F253" s="37">
        <v>4018765</v>
      </c>
      <c r="G253" s="37" t="s">
        <v>789</v>
      </c>
      <c r="H253" s="37" t="s">
        <v>315</v>
      </c>
      <c r="I253" s="37">
        <v>0</v>
      </c>
      <c r="J253" s="37">
        <v>216</v>
      </c>
      <c r="K253" s="37">
        <v>0</v>
      </c>
      <c r="L253" s="37">
        <v>0</v>
      </c>
      <c r="M253" s="37">
        <v>0</v>
      </c>
      <c r="N253" s="37">
        <v>0</v>
      </c>
      <c r="O253" s="37">
        <v>216</v>
      </c>
      <c r="P253" s="22" t="str">
        <f>TRIM(Tabla1[[#This Row],[Articulo]])</f>
        <v>7790040139657</v>
      </c>
      <c r="Q253" s="22" t="e">
        <f>_xlfn.XLOOKUP(Tabla1[[#This Row],[Ean Normalizado]],tabla_consumos[EAN],tabla_consumos[Familia])</f>
        <v>#N/A</v>
      </c>
      <c r="R253" s="22" t="e">
        <f>_xlfn.XLOOKUP(Tabla1[[#This Row],[Ean Normalizado]],tabla_consumos[EAN],tabla_consumos[UM])</f>
        <v>#N/A</v>
      </c>
      <c r="S253" s="22" t="e">
        <f>Tabla1[[#This Row],[StockDisp]]*Tabla1[[#This Row],[UM producto]]</f>
        <v>#N/A</v>
      </c>
    </row>
    <row r="254" spans="1:19" x14ac:dyDescent="0.35">
      <c r="A254" s="37">
        <v>6</v>
      </c>
      <c r="B254" s="37" t="s">
        <v>319</v>
      </c>
      <c r="C254" s="37" t="s">
        <v>311</v>
      </c>
      <c r="D254" s="37" t="s">
        <v>58</v>
      </c>
      <c r="E254" s="37" t="s">
        <v>790</v>
      </c>
      <c r="F254" s="37">
        <v>2011501</v>
      </c>
      <c r="G254" s="37" t="s">
        <v>682</v>
      </c>
      <c r="H254" s="37" t="s">
        <v>315</v>
      </c>
      <c r="I254" s="37">
        <v>326</v>
      </c>
      <c r="J254" s="37">
        <v>0</v>
      </c>
      <c r="K254" s="37">
        <v>0</v>
      </c>
      <c r="L254" s="37">
        <v>0</v>
      </c>
      <c r="M254" s="37">
        <v>0</v>
      </c>
      <c r="N254" s="37">
        <v>0</v>
      </c>
      <c r="O254" s="37">
        <v>326</v>
      </c>
      <c r="P254" s="22" t="str">
        <f>TRIM(Tabla1[[#This Row],[Articulo]])</f>
        <v>7798011210022</v>
      </c>
      <c r="Q254" s="22" t="e">
        <f>_xlfn.XLOOKUP(Tabla1[[#This Row],[Ean Normalizado]],tabla_consumos[EAN],tabla_consumos[Familia])</f>
        <v>#N/A</v>
      </c>
      <c r="R254" s="22" t="e">
        <f>_xlfn.XLOOKUP(Tabla1[[#This Row],[Ean Normalizado]],tabla_consumos[EAN],tabla_consumos[UM])</f>
        <v>#N/A</v>
      </c>
      <c r="S254" s="22" t="e">
        <f>Tabla1[[#This Row],[StockDisp]]*Tabla1[[#This Row],[UM producto]]</f>
        <v>#N/A</v>
      </c>
    </row>
    <row r="255" spans="1:19" x14ac:dyDescent="0.35">
      <c r="A255" s="37">
        <v>6</v>
      </c>
      <c r="B255" s="37" t="s">
        <v>319</v>
      </c>
      <c r="C255" s="37" t="s">
        <v>311</v>
      </c>
      <c r="D255" s="37" t="s">
        <v>424</v>
      </c>
      <c r="E255" s="37" t="s">
        <v>425</v>
      </c>
      <c r="F255" s="37">
        <v>2007494</v>
      </c>
      <c r="G255" s="37" t="s">
        <v>426</v>
      </c>
      <c r="H255" s="37" t="s">
        <v>315</v>
      </c>
      <c r="I255" s="37">
        <v>361</v>
      </c>
      <c r="J255" s="37">
        <v>0</v>
      </c>
      <c r="K255" s="37">
        <v>0</v>
      </c>
      <c r="L255" s="37">
        <v>0</v>
      </c>
      <c r="M255" s="37">
        <v>0</v>
      </c>
      <c r="N255" s="37">
        <v>0</v>
      </c>
      <c r="O255" s="37">
        <v>361</v>
      </c>
      <c r="P255" s="22" t="str">
        <f>TRIM(Tabla1[[#This Row],[Articulo]])</f>
        <v>7790000000468</v>
      </c>
      <c r="Q255" s="22" t="e">
        <f>_xlfn.XLOOKUP(Tabla1[[#This Row],[Ean Normalizado]],tabla_consumos[EAN],tabla_consumos[Familia])</f>
        <v>#N/A</v>
      </c>
      <c r="R255" s="22" t="e">
        <f>_xlfn.XLOOKUP(Tabla1[[#This Row],[Ean Normalizado]],tabla_consumos[EAN],tabla_consumos[UM])</f>
        <v>#N/A</v>
      </c>
      <c r="S255" s="22" t="e">
        <f>Tabla1[[#This Row],[StockDisp]]*Tabla1[[#This Row],[UM producto]]</f>
        <v>#N/A</v>
      </c>
    </row>
    <row r="256" spans="1:19" x14ac:dyDescent="0.35">
      <c r="A256" s="37">
        <v>6</v>
      </c>
      <c r="B256" s="37" t="s">
        <v>319</v>
      </c>
      <c r="C256" s="37" t="s">
        <v>311</v>
      </c>
      <c r="D256" s="37" t="s">
        <v>427</v>
      </c>
      <c r="E256" s="37" t="s">
        <v>428</v>
      </c>
      <c r="F256" s="37">
        <v>2007173</v>
      </c>
      <c r="G256" s="37" t="s">
        <v>429</v>
      </c>
      <c r="H256" s="37" t="s">
        <v>315</v>
      </c>
      <c r="I256" s="37">
        <v>93</v>
      </c>
      <c r="J256" s="37">
        <v>280</v>
      </c>
      <c r="K256" s="37">
        <v>0</v>
      </c>
      <c r="L256" s="37">
        <v>0</v>
      </c>
      <c r="M256" s="37">
        <v>0</v>
      </c>
      <c r="N256" s="37">
        <v>0</v>
      </c>
      <c r="O256" s="37">
        <v>373</v>
      </c>
      <c r="P256" s="22" t="str">
        <f>TRIM(Tabla1[[#This Row],[Articulo]])</f>
        <v>7790000000213</v>
      </c>
      <c r="Q256" s="22" t="e">
        <f>_xlfn.XLOOKUP(Tabla1[[#This Row],[Ean Normalizado]],tabla_consumos[EAN],tabla_consumos[Familia])</f>
        <v>#N/A</v>
      </c>
      <c r="R256" s="22" t="e">
        <f>_xlfn.XLOOKUP(Tabla1[[#This Row],[Ean Normalizado]],tabla_consumos[EAN],tabla_consumos[UM])</f>
        <v>#N/A</v>
      </c>
      <c r="S256" s="22" t="e">
        <f>Tabla1[[#This Row],[StockDisp]]*Tabla1[[#This Row],[UM producto]]</f>
        <v>#N/A</v>
      </c>
    </row>
    <row r="257" spans="1:19" x14ac:dyDescent="0.35">
      <c r="A257" s="37">
        <v>6</v>
      </c>
      <c r="B257" s="37" t="s">
        <v>319</v>
      </c>
      <c r="C257" s="37" t="s">
        <v>311</v>
      </c>
      <c r="D257" s="37" t="s">
        <v>616</v>
      </c>
      <c r="E257" s="37" t="s">
        <v>617</v>
      </c>
      <c r="F257" s="37">
        <v>2007187</v>
      </c>
      <c r="G257" s="37" t="s">
        <v>618</v>
      </c>
      <c r="H257" s="37" t="s">
        <v>315</v>
      </c>
      <c r="I257" s="37">
        <v>262</v>
      </c>
      <c r="J257" s="37">
        <v>0</v>
      </c>
      <c r="K257" s="37">
        <v>0</v>
      </c>
      <c r="L257" s="37">
        <v>0</v>
      </c>
      <c r="M257" s="37">
        <v>0</v>
      </c>
      <c r="N257" s="37">
        <v>0</v>
      </c>
      <c r="O257" s="37">
        <v>262</v>
      </c>
      <c r="P257" s="22" t="str">
        <f>TRIM(Tabla1[[#This Row],[Articulo]])</f>
        <v>7790000000231</v>
      </c>
      <c r="Q257" s="22" t="str">
        <f>_xlfn.XLOOKUP(Tabla1[[#This Row],[Ean Normalizado]],tabla_consumos[EAN],tabla_consumos[Familia])</f>
        <v>INDIVIDUAL GL SUPPORT</v>
      </c>
      <c r="R257" s="22">
        <f>_xlfn.XLOOKUP(Tabla1[[#This Row],[Ean Normalizado]],tabla_consumos[EAN],tabla_consumos[UM])</f>
        <v>1000</v>
      </c>
      <c r="S257" s="22">
        <f>Tabla1[[#This Row],[StockDisp]]*Tabla1[[#This Row],[UM producto]]</f>
        <v>262000</v>
      </c>
    </row>
    <row r="258" spans="1:19" x14ac:dyDescent="0.35">
      <c r="A258" s="37">
        <v>5</v>
      </c>
      <c r="B258" s="37" t="s">
        <v>310</v>
      </c>
      <c r="C258" s="37" t="s">
        <v>311</v>
      </c>
      <c r="D258" s="37" t="s">
        <v>619</v>
      </c>
      <c r="E258" s="37" t="s">
        <v>620</v>
      </c>
      <c r="F258" s="37">
        <v>4019348</v>
      </c>
      <c r="G258" s="37" t="s">
        <v>621</v>
      </c>
      <c r="H258" s="37" t="s">
        <v>315</v>
      </c>
      <c r="I258" s="37">
        <v>38</v>
      </c>
      <c r="J258" s="37">
        <v>0</v>
      </c>
      <c r="K258" s="37">
        <v>0</v>
      </c>
      <c r="L258" s="37">
        <v>0</v>
      </c>
      <c r="M258" s="37">
        <v>0</v>
      </c>
      <c r="N258" s="37">
        <v>0</v>
      </c>
      <c r="O258" s="37">
        <v>38</v>
      </c>
      <c r="P258" s="22" t="str">
        <f>TRIM(Tabla1[[#This Row],[Articulo]])</f>
        <v>7790387010046</v>
      </c>
      <c r="Q258" s="22" t="e">
        <f>_xlfn.XLOOKUP(Tabla1[[#This Row],[Ean Normalizado]],tabla_consumos[EAN],tabla_consumos[Familia])</f>
        <v>#N/A</v>
      </c>
      <c r="R258" s="22" t="e">
        <f>_xlfn.XLOOKUP(Tabla1[[#This Row],[Ean Normalizado]],tabla_consumos[EAN],tabla_consumos[UM])</f>
        <v>#N/A</v>
      </c>
      <c r="S258" s="22" t="e">
        <f>Tabla1[[#This Row],[StockDisp]]*Tabla1[[#This Row],[UM producto]]</f>
        <v>#N/A</v>
      </c>
    </row>
    <row r="259" spans="1:19" x14ac:dyDescent="0.35">
      <c r="A259" s="37">
        <v>6</v>
      </c>
      <c r="B259" s="37" t="s">
        <v>319</v>
      </c>
      <c r="C259" s="37" t="s">
        <v>311</v>
      </c>
      <c r="D259" s="37" t="s">
        <v>791</v>
      </c>
      <c r="E259" s="37" t="s">
        <v>792</v>
      </c>
      <c r="F259" s="37">
        <v>2007133</v>
      </c>
      <c r="G259" s="37" t="s">
        <v>793</v>
      </c>
      <c r="H259" s="37" t="s">
        <v>315</v>
      </c>
      <c r="I259" s="37">
        <v>29</v>
      </c>
      <c r="J259" s="37">
        <v>0</v>
      </c>
      <c r="K259" s="37">
        <v>0</v>
      </c>
      <c r="L259" s="37">
        <v>0</v>
      </c>
      <c r="M259" s="37">
        <v>2</v>
      </c>
      <c r="N259" s="37">
        <v>0</v>
      </c>
      <c r="O259" s="37">
        <v>27</v>
      </c>
      <c r="P259" s="22" t="str">
        <f>TRIM(Tabla1[[#This Row],[Articulo]])</f>
        <v>7790000000250</v>
      </c>
      <c r="Q259" s="22" t="str">
        <f>_xlfn.XLOOKUP(Tabla1[[#This Row],[Ean Normalizado]],tabla_consumos[EAN],tabla_consumos[Familia])</f>
        <v>TAPA BOWL COMPOSTABLE 960CC</v>
      </c>
      <c r="R259" s="22">
        <f>_xlfn.XLOOKUP(Tabla1[[#This Row],[Ean Normalizado]],tabla_consumos[EAN],tabla_consumos[UM])</f>
        <v>600</v>
      </c>
      <c r="S259" s="22">
        <f>Tabla1[[#This Row],[StockDisp]]*Tabla1[[#This Row],[UM producto]]</f>
        <v>16200</v>
      </c>
    </row>
    <row r="260" spans="1:19" x14ac:dyDescent="0.35">
      <c r="A260" s="37">
        <v>5</v>
      </c>
      <c r="B260" s="37" t="s">
        <v>310</v>
      </c>
      <c r="C260" s="37" t="s">
        <v>311</v>
      </c>
      <c r="D260" s="37" t="s">
        <v>480</v>
      </c>
      <c r="E260" s="37" t="s">
        <v>481</v>
      </c>
      <c r="F260" s="37">
        <v>4018767</v>
      </c>
      <c r="G260" s="37" t="s">
        <v>482</v>
      </c>
      <c r="H260" s="37" t="s">
        <v>315</v>
      </c>
      <c r="I260" s="37">
        <v>25</v>
      </c>
      <c r="J260" s="37">
        <v>0</v>
      </c>
      <c r="K260" s="37">
        <v>0</v>
      </c>
      <c r="L260" s="37">
        <v>0</v>
      </c>
      <c r="M260" s="37">
        <v>0</v>
      </c>
      <c r="N260" s="37">
        <v>0</v>
      </c>
      <c r="O260" s="37">
        <v>25</v>
      </c>
      <c r="P260" s="22" t="str">
        <f>TRIM(Tabla1[[#This Row],[Articulo]])</f>
        <v>7790380037705</v>
      </c>
      <c r="Q260" s="22" t="e">
        <f>_xlfn.XLOOKUP(Tabla1[[#This Row],[Ean Normalizado]],tabla_consumos[EAN],tabla_consumos[Familia])</f>
        <v>#N/A</v>
      </c>
      <c r="R260" s="22" t="e">
        <f>_xlfn.XLOOKUP(Tabla1[[#This Row],[Ean Normalizado]],tabla_consumos[EAN],tabla_consumos[UM])</f>
        <v>#N/A</v>
      </c>
      <c r="S260" s="22" t="e">
        <f>Tabla1[[#This Row],[StockDisp]]*Tabla1[[#This Row],[UM producto]]</f>
        <v>#N/A</v>
      </c>
    </row>
    <row r="261" spans="1:19" x14ac:dyDescent="0.35">
      <c r="A261" s="37">
        <v>6</v>
      </c>
      <c r="B261" s="37" t="s">
        <v>319</v>
      </c>
      <c r="C261" s="37" t="s">
        <v>311</v>
      </c>
      <c r="D261" s="37"/>
      <c r="E261" s="37" t="s">
        <v>483</v>
      </c>
      <c r="F261" s="37">
        <v>2007162</v>
      </c>
      <c r="G261" s="37" t="s">
        <v>484</v>
      </c>
      <c r="H261" s="37" t="s">
        <v>315</v>
      </c>
      <c r="I261" s="37">
        <v>210</v>
      </c>
      <c r="J261" s="37">
        <v>600</v>
      </c>
      <c r="K261" s="37">
        <v>0</v>
      </c>
      <c r="L261" s="37">
        <v>1</v>
      </c>
      <c r="M261" s="37">
        <v>1</v>
      </c>
      <c r="N261" s="37">
        <v>0</v>
      </c>
      <c r="O261" s="37">
        <v>808</v>
      </c>
      <c r="P261" s="22" t="str">
        <f>TRIM(Tabla1[[#This Row],[Articulo]])</f>
        <v>7790000000202</v>
      </c>
      <c r="Q261" s="22" t="e">
        <f>_xlfn.XLOOKUP(Tabla1[[#This Row],[Ean Normalizado]],tabla_consumos[EAN],tabla_consumos[Familia])</f>
        <v>#N/A</v>
      </c>
      <c r="R261" s="22" t="e">
        <f>_xlfn.XLOOKUP(Tabla1[[#This Row],[Ean Normalizado]],tabla_consumos[EAN],tabla_consumos[UM])</f>
        <v>#N/A</v>
      </c>
      <c r="S261" s="22" t="e">
        <f>Tabla1[[#This Row],[StockDisp]]*Tabla1[[#This Row],[UM producto]]</f>
        <v>#N/A</v>
      </c>
    </row>
    <row r="262" spans="1:19" x14ac:dyDescent="0.35">
      <c r="A262" s="37">
        <v>1</v>
      </c>
      <c r="B262" s="37" t="s">
        <v>322</v>
      </c>
      <c r="C262" s="37" t="s">
        <v>311</v>
      </c>
      <c r="D262" s="37" t="s">
        <v>779</v>
      </c>
      <c r="E262" s="37" t="s">
        <v>780</v>
      </c>
      <c r="F262" s="37">
        <v>4077141</v>
      </c>
      <c r="G262" s="37" t="s">
        <v>781</v>
      </c>
      <c r="H262" s="37" t="s">
        <v>315</v>
      </c>
      <c r="I262" s="37">
        <v>80</v>
      </c>
      <c r="J262" s="37">
        <v>0</v>
      </c>
      <c r="K262" s="37">
        <v>0</v>
      </c>
      <c r="L262" s="37">
        <v>0</v>
      </c>
      <c r="M262" s="37">
        <v>0</v>
      </c>
      <c r="N262" s="37">
        <v>0</v>
      </c>
      <c r="O262" s="37">
        <v>80</v>
      </c>
      <c r="P262" s="22" t="str">
        <f>TRIM(Tabla1[[#This Row],[Articulo]])</f>
        <v>17792180009422</v>
      </c>
      <c r="Q262" s="22" t="e">
        <f>_xlfn.XLOOKUP(Tabla1[[#This Row],[Ean Normalizado]],tabla_consumos[EAN],tabla_consumos[Familia])</f>
        <v>#N/A</v>
      </c>
      <c r="R262" s="22" t="e">
        <f>_xlfn.XLOOKUP(Tabla1[[#This Row],[Ean Normalizado]],tabla_consumos[EAN],tabla_consumos[UM])</f>
        <v>#N/A</v>
      </c>
      <c r="S262" s="22" t="e">
        <f>Tabla1[[#This Row],[StockDisp]]*Tabla1[[#This Row],[UM producto]]</f>
        <v>#N/A</v>
      </c>
    </row>
    <row r="263" spans="1:19" x14ac:dyDescent="0.35">
      <c r="A263" s="37">
        <v>6</v>
      </c>
      <c r="B263" s="37" t="s">
        <v>319</v>
      </c>
      <c r="C263" s="37" t="s">
        <v>311</v>
      </c>
      <c r="D263" s="37"/>
      <c r="E263" s="37" t="s">
        <v>782</v>
      </c>
      <c r="F263" s="37">
        <v>2007142</v>
      </c>
      <c r="G263" s="37" t="s">
        <v>207</v>
      </c>
      <c r="H263" s="37" t="s">
        <v>315</v>
      </c>
      <c r="I263" s="37">
        <v>12</v>
      </c>
      <c r="J263" s="37">
        <v>0</v>
      </c>
      <c r="K263" s="37">
        <v>0</v>
      </c>
      <c r="L263" s="37">
        <v>0</v>
      </c>
      <c r="M263" s="37">
        <v>0</v>
      </c>
      <c r="N263" s="37">
        <v>0</v>
      </c>
      <c r="O263" s="37">
        <v>12</v>
      </c>
      <c r="P263" s="22" t="str">
        <f>TRIM(Tabla1[[#This Row],[Articulo]])</f>
        <v>7790000000198</v>
      </c>
      <c r="Q263" s="22" t="str">
        <f>_xlfn.XLOOKUP(Tabla1[[#This Row],[Ean Normalizado]],tabla_consumos[EAN],tabla_consumos[Familia])</f>
        <v>BOLSA CAMISETA 40X50</v>
      </c>
      <c r="R263" s="22">
        <f>_xlfn.XLOOKUP(Tabla1[[#This Row],[Ean Normalizado]],tabla_consumos[EAN],tabla_consumos[UM])</f>
        <v>9000</v>
      </c>
      <c r="S263" s="22">
        <f>Tabla1[[#This Row],[StockDisp]]*Tabla1[[#This Row],[UM producto]]</f>
        <v>108000</v>
      </c>
    </row>
    <row r="264" spans="1:19" x14ac:dyDescent="0.35">
      <c r="A264" s="37">
        <v>6</v>
      </c>
      <c r="B264" s="37" t="s">
        <v>319</v>
      </c>
      <c r="C264" s="37" t="s">
        <v>311</v>
      </c>
      <c r="D264" s="37" t="s">
        <v>474</v>
      </c>
      <c r="E264" s="37" t="s">
        <v>796</v>
      </c>
      <c r="F264" s="37">
        <v>2007185</v>
      </c>
      <c r="G264" s="37" t="s">
        <v>797</v>
      </c>
      <c r="H264" s="37" t="s">
        <v>315</v>
      </c>
      <c r="I264" s="37">
        <v>1729</v>
      </c>
      <c r="J264" s="37">
        <v>0</v>
      </c>
      <c r="K264" s="37">
        <v>0</v>
      </c>
      <c r="L264" s="37">
        <v>0</v>
      </c>
      <c r="M264" s="37">
        <v>30</v>
      </c>
      <c r="N264" s="37">
        <v>0</v>
      </c>
      <c r="O264" s="37">
        <v>1699</v>
      </c>
      <c r="P264" s="22" t="str">
        <f>TRIM(Tabla1[[#This Row],[Articulo]])</f>
        <v>7790000000229</v>
      </c>
      <c r="Q264" s="22" t="str">
        <f>_xlfn.XLOOKUP(Tabla1[[#This Row],[Ean Normalizado]],tabla_consumos[EAN],tabla_consumos[Familia])</f>
        <v>FILM PVC 45</v>
      </c>
      <c r="R264" s="22">
        <f>_xlfn.XLOOKUP(Tabla1[[#This Row],[Ean Normalizado]],tabla_consumos[EAN],tabla_consumos[UM])</f>
        <v>1</v>
      </c>
      <c r="S264" s="22">
        <f>Tabla1[[#This Row],[StockDisp]]*Tabla1[[#This Row],[UM producto]]</f>
        <v>1699</v>
      </c>
    </row>
    <row r="265" spans="1:19" x14ac:dyDescent="0.35">
      <c r="A265" s="37">
        <v>6</v>
      </c>
      <c r="B265" s="37" t="s">
        <v>319</v>
      </c>
      <c r="C265" s="37" t="s">
        <v>311</v>
      </c>
      <c r="D265" s="37" t="s">
        <v>347</v>
      </c>
      <c r="E265" s="37" t="s">
        <v>348</v>
      </c>
      <c r="F265" s="37">
        <v>2006824</v>
      </c>
      <c r="G265" s="37" t="s">
        <v>349</v>
      </c>
      <c r="H265" s="37" t="s">
        <v>315</v>
      </c>
      <c r="I265" s="37">
        <v>66</v>
      </c>
      <c r="J265" s="37">
        <v>0</v>
      </c>
      <c r="K265" s="37">
        <v>0</v>
      </c>
      <c r="L265" s="37">
        <v>0</v>
      </c>
      <c r="M265" s="37">
        <v>0</v>
      </c>
      <c r="N265" s="37">
        <v>0</v>
      </c>
      <c r="O265" s="37">
        <v>66</v>
      </c>
      <c r="P265" s="22" t="str">
        <f>TRIM(Tabla1[[#This Row],[Articulo]])</f>
        <v>REG000007</v>
      </c>
      <c r="Q265" s="22" t="e">
        <f>_xlfn.XLOOKUP(Tabla1[[#This Row],[Ean Normalizado]],tabla_consumos[EAN],tabla_consumos[Familia])</f>
        <v>#N/A</v>
      </c>
      <c r="R265" s="22" t="e">
        <f>_xlfn.XLOOKUP(Tabla1[[#This Row],[Ean Normalizado]],tabla_consumos[EAN],tabla_consumos[UM])</f>
        <v>#N/A</v>
      </c>
      <c r="S265" s="22" t="e">
        <f>Tabla1[[#This Row],[StockDisp]]*Tabla1[[#This Row],[UM producto]]</f>
        <v>#N/A</v>
      </c>
    </row>
    <row r="266" spans="1:19" x14ac:dyDescent="0.35">
      <c r="A266" s="37">
        <v>5</v>
      </c>
      <c r="B266" s="37" t="s">
        <v>310</v>
      </c>
      <c r="C266" s="37" t="s">
        <v>311</v>
      </c>
      <c r="D266" s="37" t="s">
        <v>578</v>
      </c>
      <c r="E266" s="37" t="s">
        <v>579</v>
      </c>
      <c r="F266" s="37">
        <v>4021204</v>
      </c>
      <c r="G266" s="37" t="s">
        <v>580</v>
      </c>
      <c r="H266" s="37" t="s">
        <v>315</v>
      </c>
      <c r="I266" s="37">
        <v>20</v>
      </c>
      <c r="J266" s="37">
        <v>0</v>
      </c>
      <c r="K266" s="37">
        <v>0</v>
      </c>
      <c r="L266" s="37">
        <v>0</v>
      </c>
      <c r="M266" s="37">
        <v>0</v>
      </c>
      <c r="N266" s="37">
        <v>0</v>
      </c>
      <c r="O266" s="37">
        <v>20</v>
      </c>
      <c r="P266" s="22" t="str">
        <f>TRIM(Tabla1[[#This Row],[Articulo]])</f>
        <v>7792360097112</v>
      </c>
      <c r="Q266" s="22" t="e">
        <f>_xlfn.XLOOKUP(Tabla1[[#This Row],[Ean Normalizado]],tabla_consumos[EAN],tabla_consumos[Familia])</f>
        <v>#N/A</v>
      </c>
      <c r="R266" s="22" t="e">
        <f>_xlfn.XLOOKUP(Tabla1[[#This Row],[Ean Normalizado]],tabla_consumos[EAN],tabla_consumos[UM])</f>
        <v>#N/A</v>
      </c>
      <c r="S266" s="22" t="e">
        <f>Tabla1[[#This Row],[StockDisp]]*Tabla1[[#This Row],[UM producto]]</f>
        <v>#N/A</v>
      </c>
    </row>
    <row r="267" spans="1:19" x14ac:dyDescent="0.35">
      <c r="A267" s="37">
        <v>5</v>
      </c>
      <c r="B267" s="37" t="s">
        <v>310</v>
      </c>
      <c r="C267" s="37" t="s">
        <v>311</v>
      </c>
      <c r="D267" s="37" t="s">
        <v>487</v>
      </c>
      <c r="E267" s="37" t="s">
        <v>488</v>
      </c>
      <c r="F267" s="37">
        <v>4023667</v>
      </c>
      <c r="G267" s="37" t="s">
        <v>489</v>
      </c>
      <c r="H267" s="37" t="s">
        <v>315</v>
      </c>
      <c r="I267" s="37">
        <v>277</v>
      </c>
      <c r="J267" s="37">
        <v>0</v>
      </c>
      <c r="K267" s="37">
        <v>0</v>
      </c>
      <c r="L267" s="37">
        <v>0</v>
      </c>
      <c r="M267" s="37">
        <v>0</v>
      </c>
      <c r="N267" s="37">
        <v>0</v>
      </c>
      <c r="O267" s="37">
        <v>277</v>
      </c>
      <c r="P267" s="22" t="str">
        <f>TRIM(Tabla1[[#This Row],[Articulo]])</f>
        <v>7792360094968</v>
      </c>
      <c r="Q267" s="22" t="e">
        <f>_xlfn.XLOOKUP(Tabla1[[#This Row],[Ean Normalizado]],tabla_consumos[EAN],tabla_consumos[Familia])</f>
        <v>#N/A</v>
      </c>
      <c r="R267" s="22" t="e">
        <f>_xlfn.XLOOKUP(Tabla1[[#This Row],[Ean Normalizado]],tabla_consumos[EAN],tabla_consumos[UM])</f>
        <v>#N/A</v>
      </c>
      <c r="S267" s="22" t="e">
        <f>Tabla1[[#This Row],[StockDisp]]*Tabla1[[#This Row],[UM producto]]</f>
        <v>#N/A</v>
      </c>
    </row>
    <row r="268" spans="1:19" x14ac:dyDescent="0.35">
      <c r="A268" s="37">
        <v>6</v>
      </c>
      <c r="B268" s="37" t="s">
        <v>319</v>
      </c>
      <c r="C268" s="37" t="s">
        <v>311</v>
      </c>
      <c r="D268" s="37"/>
      <c r="E268" s="37" t="s">
        <v>735</v>
      </c>
      <c r="F268" s="37">
        <v>2007199</v>
      </c>
      <c r="G268" s="37" t="s">
        <v>736</v>
      </c>
      <c r="H268" s="37" t="s">
        <v>315</v>
      </c>
      <c r="I268" s="37">
        <v>20</v>
      </c>
      <c r="J268" s="37">
        <v>0</v>
      </c>
      <c r="K268" s="37">
        <v>0</v>
      </c>
      <c r="L268" s="37">
        <v>0</v>
      </c>
      <c r="M268" s="37">
        <v>0</v>
      </c>
      <c r="N268" s="37">
        <v>0</v>
      </c>
      <c r="O268" s="37">
        <v>20</v>
      </c>
      <c r="P268" s="22" t="str">
        <f>TRIM(Tabla1[[#This Row],[Articulo]])</f>
        <v>9992017901825</v>
      </c>
      <c r="Q268" s="22" t="str">
        <f>_xlfn.XLOOKUP(Tabla1[[#This Row],[Ean Normalizado]],tabla_consumos[EAN],tabla_consumos[Familia])</f>
        <v>SERVILLETAS BRITANICO 33x33</v>
      </c>
      <c r="R268" s="22">
        <f>_xlfn.XLOOKUP(Tabla1[[#This Row],[Ean Normalizado]],tabla_consumos[EAN],tabla_consumos[UM])</f>
        <v>1000</v>
      </c>
      <c r="S268" s="22">
        <f>Tabla1[[#This Row],[StockDisp]]*Tabla1[[#This Row],[UM producto]]</f>
        <v>20000</v>
      </c>
    </row>
    <row r="269" spans="1:19" x14ac:dyDescent="0.35">
      <c r="A269" s="37">
        <v>6</v>
      </c>
      <c r="B269" s="37" t="s">
        <v>319</v>
      </c>
      <c r="C269" s="37" t="s">
        <v>311</v>
      </c>
      <c r="D269" s="37" t="s">
        <v>394</v>
      </c>
      <c r="E269" s="37" t="s">
        <v>794</v>
      </c>
      <c r="F269" s="37"/>
      <c r="G269" s="37" t="s">
        <v>795</v>
      </c>
      <c r="H269" s="37" t="s">
        <v>315</v>
      </c>
      <c r="I269" s="37">
        <v>427</v>
      </c>
      <c r="J269" s="37">
        <v>0</v>
      </c>
      <c r="K269" s="37">
        <v>0</v>
      </c>
      <c r="L269" s="37">
        <v>0</v>
      </c>
      <c r="M269" s="37">
        <v>0</v>
      </c>
      <c r="N269" s="37">
        <v>0</v>
      </c>
      <c r="O269" s="37">
        <v>427</v>
      </c>
      <c r="P269" s="22" t="str">
        <f>TRIM(Tabla1[[#This Row],[Articulo]])</f>
        <v>7790001400217</v>
      </c>
      <c r="Q269" s="22" t="e">
        <f>_xlfn.XLOOKUP(Tabla1[[#This Row],[Ean Normalizado]],tabla_consumos[EAN],tabla_consumos[Familia])</f>
        <v>#N/A</v>
      </c>
      <c r="R269" s="22" t="e">
        <f>_xlfn.XLOOKUP(Tabla1[[#This Row],[Ean Normalizado]],tabla_consumos[EAN],tabla_consumos[UM])</f>
        <v>#N/A</v>
      </c>
      <c r="S269" s="22" t="e">
        <f>Tabla1[[#This Row],[StockDisp]]*Tabla1[[#This Row],[UM producto]]</f>
        <v>#N/A</v>
      </c>
    </row>
    <row r="270" spans="1:19" x14ac:dyDescent="0.35">
      <c r="A270" s="37">
        <v>6</v>
      </c>
      <c r="B270" s="37" t="s">
        <v>319</v>
      </c>
      <c r="C270" s="37" t="s">
        <v>311</v>
      </c>
      <c r="D270" s="37"/>
      <c r="E270" s="37" t="s">
        <v>844</v>
      </c>
      <c r="F270" s="37"/>
      <c r="G270" s="37" t="s">
        <v>845</v>
      </c>
      <c r="H270" s="37" t="s">
        <v>315</v>
      </c>
      <c r="I270" s="37">
        <v>9</v>
      </c>
      <c r="J270" s="37">
        <v>0</v>
      </c>
      <c r="K270" s="37">
        <v>0</v>
      </c>
      <c r="L270" s="37">
        <v>0</v>
      </c>
      <c r="M270" s="37">
        <v>0</v>
      </c>
      <c r="N270" s="37">
        <v>0</v>
      </c>
      <c r="O270" s="37">
        <v>9</v>
      </c>
      <c r="P270" s="22" t="str">
        <f>TRIM(Tabla1[[#This Row],[Articulo]])</f>
        <v>07798090052551</v>
      </c>
      <c r="Q270" s="22" t="e">
        <f>_xlfn.XLOOKUP(Tabla1[[#This Row],[Ean Normalizado]],tabla_consumos[EAN],tabla_consumos[Familia])</f>
        <v>#N/A</v>
      </c>
      <c r="R270" s="22" t="e">
        <f>_xlfn.XLOOKUP(Tabla1[[#This Row],[Ean Normalizado]],tabla_consumos[EAN],tabla_consumos[UM])</f>
        <v>#N/A</v>
      </c>
      <c r="S270" s="22" t="e">
        <f>Tabla1[[#This Row],[StockDisp]]*Tabla1[[#This Row],[UM producto]]</f>
        <v>#N/A</v>
      </c>
    </row>
    <row r="271" spans="1:19" x14ac:dyDescent="0.35">
      <c r="A271" s="37">
        <v>1</v>
      </c>
      <c r="B271" s="37" t="s">
        <v>322</v>
      </c>
      <c r="C271" s="37" t="s">
        <v>311</v>
      </c>
      <c r="D271" s="37"/>
      <c r="E271" s="37" t="s">
        <v>846</v>
      </c>
      <c r="F271" s="37"/>
      <c r="G271" s="37" t="s">
        <v>847</v>
      </c>
      <c r="H271" s="37" t="s">
        <v>315</v>
      </c>
      <c r="I271" s="37">
        <v>51</v>
      </c>
      <c r="J271" s="37">
        <v>0</v>
      </c>
      <c r="K271" s="37">
        <v>0</v>
      </c>
      <c r="L271" s="37">
        <v>0</v>
      </c>
      <c r="M271" s="37">
        <v>1</v>
      </c>
      <c r="N271" s="37">
        <v>0</v>
      </c>
      <c r="O271" s="37">
        <v>50</v>
      </c>
      <c r="P271" s="22" t="str">
        <f>TRIM(Tabla1[[#This Row],[Articulo]])</f>
        <v>7790000000424</v>
      </c>
      <c r="Q271" s="22" t="e">
        <f>_xlfn.XLOOKUP(Tabla1[[#This Row],[Ean Normalizado]],tabla_consumos[EAN],tabla_consumos[Familia])</f>
        <v>#N/A</v>
      </c>
      <c r="R271" s="22" t="e">
        <f>_xlfn.XLOOKUP(Tabla1[[#This Row],[Ean Normalizado]],tabla_consumos[EAN],tabla_consumos[UM])</f>
        <v>#N/A</v>
      </c>
      <c r="S271" s="22" t="e">
        <f>Tabla1[[#This Row],[StockDisp]]*Tabla1[[#This Row],[UM producto]]</f>
        <v>#N/A</v>
      </c>
    </row>
    <row r="272" spans="1:19" x14ac:dyDescent="0.35">
      <c r="A272" s="37">
        <v>6</v>
      </c>
      <c r="B272" s="37" t="s">
        <v>319</v>
      </c>
      <c r="C272" s="37" t="s">
        <v>311</v>
      </c>
      <c r="D272" s="37"/>
      <c r="E272" s="37" t="s">
        <v>848</v>
      </c>
      <c r="F272" s="37"/>
      <c r="G272" s="37" t="s">
        <v>849</v>
      </c>
      <c r="H272" s="37" t="s">
        <v>315</v>
      </c>
      <c r="I272" s="37">
        <v>1</v>
      </c>
      <c r="J272" s="37">
        <v>0</v>
      </c>
      <c r="K272" s="37">
        <v>0</v>
      </c>
      <c r="L272" s="37">
        <v>0</v>
      </c>
      <c r="M272" s="37">
        <v>0</v>
      </c>
      <c r="N272" s="37">
        <v>0</v>
      </c>
      <c r="O272" s="37">
        <v>1</v>
      </c>
      <c r="P272" s="22" t="str">
        <f>TRIM(Tabla1[[#This Row],[Articulo]])</f>
        <v>BAZ001139</v>
      </c>
      <c r="Q272" s="22" t="e">
        <f>_xlfn.XLOOKUP(Tabla1[[#This Row],[Ean Normalizado]],tabla_consumos[EAN],tabla_consumos[Familia])</f>
        <v>#N/A</v>
      </c>
      <c r="R272" s="22" t="e">
        <f>_xlfn.XLOOKUP(Tabla1[[#This Row],[Ean Normalizado]],tabla_consumos[EAN],tabla_consumos[UM])</f>
        <v>#N/A</v>
      </c>
      <c r="S272" s="22" t="e">
        <f>Tabla1[[#This Row],[StockDisp]]*Tabla1[[#This Row],[UM producto]]</f>
        <v>#N/A</v>
      </c>
    </row>
    <row r="273" spans="1:19" x14ac:dyDescent="0.35">
      <c r="A273" s="37">
        <v>6</v>
      </c>
      <c r="B273" s="37" t="s">
        <v>319</v>
      </c>
      <c r="C273" s="37" t="s">
        <v>311</v>
      </c>
      <c r="D273" s="37"/>
      <c r="E273" s="37" t="s">
        <v>850</v>
      </c>
      <c r="F273" s="37"/>
      <c r="G273" s="37" t="s">
        <v>851</v>
      </c>
      <c r="H273" s="37" t="s">
        <v>315</v>
      </c>
      <c r="I273" s="37">
        <v>33</v>
      </c>
      <c r="J273" s="37">
        <v>14</v>
      </c>
      <c r="K273" s="37">
        <v>0</v>
      </c>
      <c r="L273" s="37">
        <v>0</v>
      </c>
      <c r="M273" s="37">
        <v>0</v>
      </c>
      <c r="N273" s="37">
        <v>0</v>
      </c>
      <c r="O273" s="37">
        <v>47</v>
      </c>
      <c r="P273" s="22" t="str">
        <f>TRIM(Tabla1[[#This Row],[Articulo]])</f>
        <v>7790000000695</v>
      </c>
      <c r="Q273" s="22" t="str">
        <f>_xlfn.XLOOKUP(Tabla1[[#This Row],[Ean Normalizado]],tabla_consumos[EAN],tabla_consumos[Familia])</f>
        <v>SERVILLETA SWISS MEDICAL</v>
      </c>
      <c r="R273" s="22">
        <f>_xlfn.XLOOKUP(Tabla1[[#This Row],[Ean Normalizado]],tabla_consumos[EAN],tabla_consumos[UM])</f>
        <v>1600</v>
      </c>
      <c r="S273" s="22">
        <f>Tabla1[[#This Row],[StockDisp]]*Tabla1[[#This Row],[UM producto]]</f>
        <v>75200</v>
      </c>
    </row>
    <row r="274" spans="1:19" x14ac:dyDescent="0.35">
      <c r="A274" s="37">
        <v>6</v>
      </c>
      <c r="B274" s="37" t="s">
        <v>319</v>
      </c>
      <c r="C274" s="37" t="s">
        <v>311</v>
      </c>
      <c r="D274" s="37" t="s">
        <v>365</v>
      </c>
      <c r="E274" s="37" t="s">
        <v>366</v>
      </c>
      <c r="F274" s="37">
        <v>2007488</v>
      </c>
      <c r="G274" s="37" t="s">
        <v>367</v>
      </c>
      <c r="H274" s="37" t="s">
        <v>315</v>
      </c>
      <c r="I274" s="37">
        <v>109</v>
      </c>
      <c r="J274" s="37">
        <v>300</v>
      </c>
      <c r="K274" s="37">
        <v>300</v>
      </c>
      <c r="L274" s="37">
        <v>2</v>
      </c>
      <c r="M274" s="37">
        <v>2</v>
      </c>
      <c r="N274" s="37">
        <v>0</v>
      </c>
      <c r="O274" s="37">
        <v>105</v>
      </c>
      <c r="P274" s="22" t="str">
        <f>TRIM(Tabla1[[#This Row],[Articulo]])</f>
        <v>7790000000462</v>
      </c>
      <c r="Q274" s="22" t="e">
        <f>_xlfn.XLOOKUP(Tabla1[[#This Row],[Ean Normalizado]],tabla_consumos[EAN],tabla_consumos[Familia])</f>
        <v>#N/A</v>
      </c>
      <c r="R274" s="22" t="e">
        <f>_xlfn.XLOOKUP(Tabla1[[#This Row],[Ean Normalizado]],tabla_consumos[EAN],tabla_consumos[UM])</f>
        <v>#N/A</v>
      </c>
      <c r="S274" s="22" t="e">
        <f>Tabla1[[#This Row],[StockDisp]]*Tabla1[[#This Row],[UM producto]]</f>
        <v>#N/A</v>
      </c>
    </row>
    <row r="275" spans="1:19" x14ac:dyDescent="0.35">
      <c r="A275" s="37">
        <v>6</v>
      </c>
      <c r="B275" s="37" t="s">
        <v>319</v>
      </c>
      <c r="C275" s="37" t="s">
        <v>311</v>
      </c>
      <c r="D275" s="37"/>
      <c r="E275" s="37" t="s">
        <v>655</v>
      </c>
      <c r="F275" s="37">
        <v>2007190</v>
      </c>
      <c r="G275" s="37" t="s">
        <v>656</v>
      </c>
      <c r="H275" s="37" t="s">
        <v>315</v>
      </c>
      <c r="I275" s="37">
        <v>40</v>
      </c>
      <c r="J275" s="37">
        <v>0</v>
      </c>
      <c r="K275" s="37">
        <v>0</v>
      </c>
      <c r="L275" s="37">
        <v>0</v>
      </c>
      <c r="M275" s="37">
        <v>0</v>
      </c>
      <c r="N275" s="37">
        <v>0</v>
      </c>
      <c r="O275" s="37">
        <v>40</v>
      </c>
      <c r="P275" s="22" t="str">
        <f>TRIM(Tabla1[[#This Row],[Articulo]])</f>
        <v>7790000000234</v>
      </c>
      <c r="Q275" s="22" t="str">
        <f>_xlfn.XLOOKUP(Tabla1[[#This Row],[Ean Normalizado]],tabla_consumos[EAN],tabla_consumos[Familia])</f>
        <v>INDIVIDUAL HOSPITAL BRITANICO</v>
      </c>
      <c r="R275" s="22">
        <f>_xlfn.XLOOKUP(Tabla1[[#This Row],[Ean Normalizado]],tabla_consumos[EAN],tabla_consumos[UM])</f>
        <v>1000</v>
      </c>
      <c r="S275" s="22">
        <f>Tabla1[[#This Row],[StockDisp]]*Tabla1[[#This Row],[UM producto]]</f>
        <v>40000</v>
      </c>
    </row>
    <row r="276" spans="1:19" x14ac:dyDescent="0.35">
      <c r="A276" s="37">
        <v>5</v>
      </c>
      <c r="B276" s="37" t="s">
        <v>310</v>
      </c>
      <c r="C276" s="37" t="s">
        <v>311</v>
      </c>
      <c r="D276" s="37"/>
      <c r="E276" s="37" t="s">
        <v>657</v>
      </c>
      <c r="F276" s="37">
        <v>4001986</v>
      </c>
      <c r="G276" s="37" t="s">
        <v>658</v>
      </c>
      <c r="H276" s="37" t="s">
        <v>346</v>
      </c>
      <c r="I276" s="37">
        <v>1684</v>
      </c>
      <c r="J276" s="37">
        <v>0</v>
      </c>
      <c r="K276" s="37">
        <v>0</v>
      </c>
      <c r="L276" s="37">
        <v>420</v>
      </c>
      <c r="M276" s="37">
        <v>1040</v>
      </c>
      <c r="N276" s="37">
        <v>0</v>
      </c>
      <c r="O276" s="37">
        <v>224</v>
      </c>
      <c r="P276" s="22" t="str">
        <f>TRIM(Tabla1[[#This Row],[Articulo]])</f>
        <v>4001986</v>
      </c>
      <c r="Q276" s="22" t="e">
        <f>_xlfn.XLOOKUP(Tabla1[[#This Row],[Ean Normalizado]],tabla_consumos[EAN],tabla_consumos[Familia])</f>
        <v>#N/A</v>
      </c>
      <c r="R276" s="22" t="e">
        <f>_xlfn.XLOOKUP(Tabla1[[#This Row],[Ean Normalizado]],tabla_consumos[EAN],tabla_consumos[UM])</f>
        <v>#N/A</v>
      </c>
      <c r="S276" s="22" t="e">
        <f>Tabla1[[#This Row],[StockDisp]]*Tabla1[[#This Row],[UM producto]]</f>
        <v>#N/A</v>
      </c>
    </row>
    <row r="277" spans="1:19" x14ac:dyDescent="0.35">
      <c r="A277" s="55">
        <v>5</v>
      </c>
      <c r="B277" s="37" t="s">
        <v>310</v>
      </c>
      <c r="C277" s="37" t="s">
        <v>311</v>
      </c>
      <c r="D277" s="37"/>
      <c r="E277" s="37" t="s">
        <v>659</v>
      </c>
      <c r="F277" s="37">
        <v>4001226</v>
      </c>
      <c r="G277" s="37" t="s">
        <v>660</v>
      </c>
      <c r="H277" s="37" t="s">
        <v>346</v>
      </c>
      <c r="I277" s="37">
        <v>2574.6</v>
      </c>
      <c r="J277" s="37">
        <v>0</v>
      </c>
      <c r="K277" s="37">
        <v>0</v>
      </c>
      <c r="L277" s="37">
        <v>190</v>
      </c>
      <c r="M277" s="37">
        <v>1184</v>
      </c>
      <c r="N277" s="37">
        <v>0</v>
      </c>
      <c r="O277" s="56">
        <v>1200.5999999999999</v>
      </c>
      <c r="P277" s="23" t="str">
        <f>TRIM(Tabla1[[#This Row],[Articulo]])</f>
        <v>4001226</v>
      </c>
      <c r="Q277" s="23" t="e">
        <f>_xlfn.XLOOKUP(Tabla1[[#This Row],[Ean Normalizado]],Consumos!A:A,Consumos!E:E)</f>
        <v>#N/A</v>
      </c>
      <c r="R277" s="22" t="e">
        <f>_xlfn.XLOOKUP(Tabla1[[#This Row],[Ean Normalizado]],tabla_consumos[EAN],tabla_consumos[UM])</f>
        <v>#N/A</v>
      </c>
      <c r="S277" s="22" t="e">
        <f>Tabla1[[#This Row],[StockDisp]]*Tabla1[[#This Row],[UM producto]]</f>
        <v>#N/A</v>
      </c>
    </row>
    <row r="278" spans="1:19" x14ac:dyDescent="0.35">
      <c r="A278" s="55">
        <v>6</v>
      </c>
      <c r="B278" s="37" t="s">
        <v>319</v>
      </c>
      <c r="C278" s="37" t="s">
        <v>311</v>
      </c>
      <c r="D278" s="37" t="s">
        <v>661</v>
      </c>
      <c r="E278" s="37" t="s">
        <v>662</v>
      </c>
      <c r="F278" s="37">
        <v>2007514</v>
      </c>
      <c r="G278" s="37" t="s">
        <v>663</v>
      </c>
      <c r="H278" s="37" t="s">
        <v>315</v>
      </c>
      <c r="I278" s="37">
        <v>97</v>
      </c>
      <c r="J278" s="37">
        <v>0</v>
      </c>
      <c r="K278" s="37">
        <v>0</v>
      </c>
      <c r="L278" s="37">
        <v>0</v>
      </c>
      <c r="M278" s="37">
        <v>0</v>
      </c>
      <c r="N278" s="37">
        <v>0</v>
      </c>
      <c r="O278" s="56">
        <v>97</v>
      </c>
      <c r="P278" s="23" t="str">
        <f>TRIM(Tabla1[[#This Row],[Articulo]])</f>
        <v>7790000000488</v>
      </c>
      <c r="Q278" s="23" t="str">
        <f>_xlfn.XLOOKUP(Tabla1[[#This Row],[Ean Normalizado]],Consumos!A:A,Consumos!E:E)</f>
        <v>INDIVIDUAL FINOCCHIETO RECOMENDACIONES</v>
      </c>
      <c r="R278" s="22">
        <f>_xlfn.XLOOKUP(Tabla1[[#This Row],[Ean Normalizado]],tabla_consumos[EAN],tabla_consumos[UM])</f>
        <v>1000</v>
      </c>
      <c r="S278" s="22">
        <f>Tabla1[[#This Row],[StockDisp]]*Tabla1[[#This Row],[UM producto]]</f>
        <v>97000</v>
      </c>
    </row>
    <row r="279" spans="1:19" x14ac:dyDescent="0.35">
      <c r="A279" s="55">
        <v>5</v>
      </c>
      <c r="B279" s="37" t="s">
        <v>310</v>
      </c>
      <c r="C279" s="37" t="s">
        <v>311</v>
      </c>
      <c r="D279" s="37" t="s">
        <v>458</v>
      </c>
      <c r="E279" s="37" t="s">
        <v>459</v>
      </c>
      <c r="F279" s="37">
        <v>4020017</v>
      </c>
      <c r="G279" s="37" t="s">
        <v>460</v>
      </c>
      <c r="H279" s="37" t="s">
        <v>315</v>
      </c>
      <c r="I279" s="37">
        <v>523</v>
      </c>
      <c r="J279" s="37">
        <v>0</v>
      </c>
      <c r="K279" s="37">
        <v>0</v>
      </c>
      <c r="L279" s="37">
        <v>0</v>
      </c>
      <c r="M279" s="37">
        <v>0</v>
      </c>
      <c r="N279" s="37">
        <v>0</v>
      </c>
      <c r="O279" s="56">
        <v>523</v>
      </c>
      <c r="P279" s="23" t="str">
        <f>TRIM(Tabla1[[#This Row],[Articulo]])</f>
        <v>7791990000059</v>
      </c>
      <c r="Q279" s="23" t="e">
        <f>_xlfn.XLOOKUP(Tabla1[[#This Row],[Ean Normalizado]],Consumos!A:A,Consumos!E:E)</f>
        <v>#N/A</v>
      </c>
      <c r="R279" s="22" t="e">
        <f>_xlfn.XLOOKUP(Tabla1[[#This Row],[Ean Normalizado]],tabla_consumos[EAN],tabla_consumos[UM])</f>
        <v>#N/A</v>
      </c>
      <c r="S279" s="22" t="e">
        <f>Tabla1[[#This Row],[StockDisp]]*Tabla1[[#This Row],[UM producto]]</f>
        <v>#N/A</v>
      </c>
    </row>
    <row r="280" spans="1:19" x14ac:dyDescent="0.35">
      <c r="A280" s="55">
        <v>6</v>
      </c>
      <c r="B280" s="37" t="s">
        <v>319</v>
      </c>
      <c r="C280" s="37" t="s">
        <v>311</v>
      </c>
      <c r="D280" s="37" t="s">
        <v>641</v>
      </c>
      <c r="E280" s="37" t="s">
        <v>642</v>
      </c>
      <c r="F280" s="37">
        <v>2007330</v>
      </c>
      <c r="G280" s="37" t="s">
        <v>643</v>
      </c>
      <c r="H280" s="37" t="s">
        <v>315</v>
      </c>
      <c r="I280" s="37">
        <v>121</v>
      </c>
      <c r="J280" s="37">
        <v>176</v>
      </c>
      <c r="K280" s="37">
        <v>0</v>
      </c>
      <c r="L280" s="37">
        <v>3</v>
      </c>
      <c r="M280" s="37">
        <v>17</v>
      </c>
      <c r="N280" s="37">
        <v>0</v>
      </c>
      <c r="O280" s="56">
        <v>277</v>
      </c>
      <c r="P280" s="23" t="str">
        <f>TRIM(Tabla1[[#This Row],[Articulo]])</f>
        <v>7790139101039</v>
      </c>
      <c r="Q280" s="23" t="e">
        <f>_xlfn.XLOOKUP(Tabla1[[#This Row],[Ean Normalizado]],Consumos!A:A,Consumos!E:E)</f>
        <v>#N/A</v>
      </c>
      <c r="R280" s="22" t="e">
        <f>_xlfn.XLOOKUP(Tabla1[[#This Row],[Ean Normalizado]],tabla_consumos[EAN],tabla_consumos[UM])</f>
        <v>#N/A</v>
      </c>
      <c r="S280" s="22" t="e">
        <f>Tabla1[[#This Row],[StockDisp]]*Tabla1[[#This Row],[UM producto]]</f>
        <v>#N/A</v>
      </c>
    </row>
    <row r="281" spans="1:19" x14ac:dyDescent="0.35">
      <c r="A281" s="55">
        <v>6</v>
      </c>
      <c r="B281" s="37" t="s">
        <v>319</v>
      </c>
      <c r="C281" s="37" t="s">
        <v>311</v>
      </c>
      <c r="D281" s="37" t="s">
        <v>696</v>
      </c>
      <c r="E281" s="37" t="s">
        <v>1000</v>
      </c>
      <c r="F281" s="37">
        <v>2007495</v>
      </c>
      <c r="G281" s="37" t="s">
        <v>1001</v>
      </c>
      <c r="H281" s="37" t="s">
        <v>315</v>
      </c>
      <c r="I281" s="37">
        <v>1</v>
      </c>
      <c r="J281" s="37">
        <v>100</v>
      </c>
      <c r="K281" s="37">
        <v>100</v>
      </c>
      <c r="L281" s="37">
        <v>0</v>
      </c>
      <c r="M281" s="37">
        <v>0</v>
      </c>
      <c r="N281" s="37">
        <v>0</v>
      </c>
      <c r="O281" s="56">
        <v>1</v>
      </c>
      <c r="P281" s="23" t="str">
        <f>TRIM(Tabla1[[#This Row],[Articulo]])</f>
        <v>7790000000469</v>
      </c>
      <c r="Q281" s="23" t="e">
        <f>_xlfn.XLOOKUP(Tabla1[[#This Row],[Ean Normalizado]],Consumos!A:A,Consumos!E:E)</f>
        <v>#N/A</v>
      </c>
      <c r="R281" s="22" t="e">
        <f>_xlfn.XLOOKUP(Tabla1[[#This Row],[Ean Normalizado]],tabla_consumos[EAN],tabla_consumos[UM])</f>
        <v>#N/A</v>
      </c>
      <c r="S281" s="22" t="e">
        <f>Tabla1[[#This Row],[StockDisp]]*Tabla1[[#This Row],[UM producto]]</f>
        <v>#N/A</v>
      </c>
    </row>
    <row r="282" spans="1:19" x14ac:dyDescent="0.35">
      <c r="A282" s="55">
        <v>6</v>
      </c>
      <c r="B282" s="37" t="s">
        <v>319</v>
      </c>
      <c r="C282" s="37" t="s">
        <v>311</v>
      </c>
      <c r="D282" s="37"/>
      <c r="E282" s="37" t="s">
        <v>644</v>
      </c>
      <c r="F282" s="37">
        <v>2007464</v>
      </c>
      <c r="G282" s="37" t="s">
        <v>645</v>
      </c>
      <c r="H282" s="37" t="s">
        <v>315</v>
      </c>
      <c r="I282" s="37">
        <v>1</v>
      </c>
      <c r="J282" s="37">
        <v>0</v>
      </c>
      <c r="K282" s="37">
        <v>0</v>
      </c>
      <c r="L282" s="37">
        <v>0</v>
      </c>
      <c r="M282" s="37">
        <v>0</v>
      </c>
      <c r="N282" s="37">
        <v>0</v>
      </c>
      <c r="O282" s="56">
        <v>1</v>
      </c>
      <c r="P282" s="23" t="str">
        <f>TRIM(Tabla1[[#This Row],[Articulo]])</f>
        <v>7790250062837</v>
      </c>
      <c r="Q282" s="23" t="e">
        <f>_xlfn.XLOOKUP(Tabla1[[#This Row],[Ean Normalizado]],Consumos!A:A,Consumos!E:E)</f>
        <v>#N/A</v>
      </c>
      <c r="R282" s="22" t="e">
        <f>_xlfn.XLOOKUP(Tabla1[[#This Row],[Ean Normalizado]],tabla_consumos[EAN],tabla_consumos[UM])</f>
        <v>#N/A</v>
      </c>
      <c r="S282" s="22" t="e">
        <f>Tabla1[[#This Row],[StockDisp]]*Tabla1[[#This Row],[UM producto]]</f>
        <v>#N/A</v>
      </c>
    </row>
    <row r="283" spans="1:19" x14ac:dyDescent="0.35">
      <c r="A283" s="55">
        <v>6</v>
      </c>
      <c r="B283" s="37" t="s">
        <v>319</v>
      </c>
      <c r="C283" s="37" t="s">
        <v>311</v>
      </c>
      <c r="D283" s="37" t="s">
        <v>394</v>
      </c>
      <c r="E283" s="37" t="s">
        <v>639</v>
      </c>
      <c r="F283" s="37">
        <v>2007503</v>
      </c>
      <c r="G283" s="37" t="s">
        <v>640</v>
      </c>
      <c r="H283" s="37" t="s">
        <v>315</v>
      </c>
      <c r="I283" s="37">
        <v>294</v>
      </c>
      <c r="J283" s="37">
        <v>0</v>
      </c>
      <c r="K283" s="37">
        <v>0</v>
      </c>
      <c r="L283" s="37">
        <v>0</v>
      </c>
      <c r="M283" s="37">
        <v>0</v>
      </c>
      <c r="N283" s="37">
        <v>0</v>
      </c>
      <c r="O283" s="56">
        <v>294</v>
      </c>
      <c r="P283" s="23" t="str">
        <f>TRIM(Tabla1[[#This Row],[Articulo]])</f>
        <v>7790000000477</v>
      </c>
      <c r="Q283" s="23" t="e">
        <f>_xlfn.XLOOKUP(Tabla1[[#This Row],[Ean Normalizado]],Consumos!A:A,Consumos!E:E)</f>
        <v>#N/A</v>
      </c>
      <c r="R283" s="22" t="e">
        <f>_xlfn.XLOOKUP(Tabla1[[#This Row],[Ean Normalizado]],tabla_consumos[EAN],tabla_consumos[UM])</f>
        <v>#N/A</v>
      </c>
      <c r="S283" s="22" t="e">
        <f>Tabla1[[#This Row],[StockDisp]]*Tabla1[[#This Row],[UM producto]]</f>
        <v>#N/A</v>
      </c>
    </row>
    <row r="284" spans="1:19" x14ac:dyDescent="0.35">
      <c r="A284" s="55">
        <v>5</v>
      </c>
      <c r="B284" s="37" t="s">
        <v>310</v>
      </c>
      <c r="C284" s="37" t="s">
        <v>311</v>
      </c>
      <c r="D284" s="37"/>
      <c r="E284" s="37" t="s">
        <v>667</v>
      </c>
      <c r="F284" s="37">
        <v>4077159</v>
      </c>
      <c r="G284" s="37" t="s">
        <v>668</v>
      </c>
      <c r="H284" s="37" t="s">
        <v>315</v>
      </c>
      <c r="I284" s="37">
        <v>200</v>
      </c>
      <c r="J284" s="37">
        <v>0</v>
      </c>
      <c r="K284" s="37">
        <v>0</v>
      </c>
      <c r="L284" s="37">
        <v>0</v>
      </c>
      <c r="M284" s="37">
        <v>0</v>
      </c>
      <c r="N284" s="37">
        <v>0</v>
      </c>
      <c r="O284" s="56">
        <v>200</v>
      </c>
      <c r="P284" s="23" t="str">
        <f>TRIM(Tabla1[[#This Row],[Articulo]])</f>
        <v>7790387014631</v>
      </c>
      <c r="Q284" s="23" t="e">
        <f>_xlfn.XLOOKUP(Tabla1[[#This Row],[Ean Normalizado]],Consumos!A:A,Consumos!E:E)</f>
        <v>#N/A</v>
      </c>
      <c r="R284" s="22" t="e">
        <f>_xlfn.XLOOKUP(Tabla1[[#This Row],[Ean Normalizado]],tabla_consumos[EAN],tabla_consumos[UM])</f>
        <v>#N/A</v>
      </c>
      <c r="S284" s="22" t="e">
        <f>Tabla1[[#This Row],[StockDisp]]*Tabla1[[#This Row],[UM producto]]</f>
        <v>#N/A</v>
      </c>
    </row>
    <row r="285" spans="1:19" x14ac:dyDescent="0.35">
      <c r="A285" s="55">
        <v>6</v>
      </c>
      <c r="B285" s="37" t="s">
        <v>319</v>
      </c>
      <c r="C285" s="37" t="s">
        <v>311</v>
      </c>
      <c r="D285" s="37"/>
      <c r="E285" s="37" t="s">
        <v>1002</v>
      </c>
      <c r="F285" s="37">
        <v>2000563</v>
      </c>
      <c r="G285" s="37" t="s">
        <v>1003</v>
      </c>
      <c r="H285" s="37" t="s">
        <v>315</v>
      </c>
      <c r="I285" s="37">
        <v>0</v>
      </c>
      <c r="J285" s="37">
        <v>100</v>
      </c>
      <c r="K285" s="37">
        <v>100</v>
      </c>
      <c r="L285" s="37">
        <v>0</v>
      </c>
      <c r="M285" s="37">
        <v>0</v>
      </c>
      <c r="N285" s="37">
        <v>0</v>
      </c>
      <c r="O285" s="56">
        <v>0</v>
      </c>
      <c r="P285" s="23" t="str">
        <f>TRIM(Tabla1[[#This Row],[Articulo]])</f>
        <v>7790000000579</v>
      </c>
      <c r="Q285" s="23" t="e">
        <f>_xlfn.XLOOKUP(Tabla1[[#This Row],[Ean Normalizado]],Consumos!A:A,Consumos!E:E)</f>
        <v>#N/A</v>
      </c>
      <c r="R285" s="22" t="e">
        <f>_xlfn.XLOOKUP(Tabla1[[#This Row],[Ean Normalizado]],tabla_consumos[EAN],tabla_consumos[UM])</f>
        <v>#N/A</v>
      </c>
      <c r="S285" s="22" t="e">
        <f>Tabla1[[#This Row],[StockDisp]]*Tabla1[[#This Row],[UM producto]]</f>
        <v>#N/A</v>
      </c>
    </row>
    <row r="286" spans="1:19" x14ac:dyDescent="0.35">
      <c r="A286" s="55">
        <v>5</v>
      </c>
      <c r="B286" s="37" t="s">
        <v>310</v>
      </c>
      <c r="C286" s="37" t="s">
        <v>311</v>
      </c>
      <c r="D286" s="37"/>
      <c r="E286" s="37" t="s">
        <v>1004</v>
      </c>
      <c r="F286" s="37">
        <v>4001194</v>
      </c>
      <c r="G286" s="37" t="s">
        <v>1005</v>
      </c>
      <c r="H286" s="37" t="s">
        <v>346</v>
      </c>
      <c r="I286" s="37">
        <v>30</v>
      </c>
      <c r="J286" s="37">
        <v>0</v>
      </c>
      <c r="K286" s="37">
        <v>0</v>
      </c>
      <c r="L286" s="37">
        <v>0</v>
      </c>
      <c r="M286" s="37">
        <v>26</v>
      </c>
      <c r="N286" s="37">
        <v>0</v>
      </c>
      <c r="O286" s="56">
        <v>4</v>
      </c>
      <c r="P286" s="23" t="str">
        <f>TRIM(Tabla1[[#This Row],[Articulo]])</f>
        <v>4001194</v>
      </c>
      <c r="Q286" s="23" t="e">
        <f>_xlfn.XLOOKUP(Tabla1[[#This Row],[Ean Normalizado]],Consumos!A:A,Consumos!E:E)</f>
        <v>#N/A</v>
      </c>
      <c r="R286" s="22" t="e">
        <f>_xlfn.XLOOKUP(Tabla1[[#This Row],[Ean Normalizado]],tabla_consumos[EAN],tabla_consumos[UM])</f>
        <v>#N/A</v>
      </c>
      <c r="S286" s="22" t="e">
        <f>Tabla1[[#This Row],[StockDisp]]*Tabla1[[#This Row],[UM producto]]</f>
        <v>#N/A</v>
      </c>
    </row>
    <row r="287" spans="1:19" x14ac:dyDescent="0.35">
      <c r="A287" s="55">
        <v>5</v>
      </c>
      <c r="B287" s="37" t="s">
        <v>310</v>
      </c>
      <c r="C287" s="37" t="s">
        <v>311</v>
      </c>
      <c r="D287" s="37"/>
      <c r="E287" s="37" t="s">
        <v>368</v>
      </c>
      <c r="F287" s="37">
        <v>4004087</v>
      </c>
      <c r="G287" s="37" t="s">
        <v>369</v>
      </c>
      <c r="H287" s="37" t="s">
        <v>315</v>
      </c>
      <c r="I287" s="37">
        <v>231</v>
      </c>
      <c r="J287" s="37">
        <v>0</v>
      </c>
      <c r="K287" s="37">
        <v>0</v>
      </c>
      <c r="L287" s="37">
        <v>0</v>
      </c>
      <c r="M287" s="37">
        <v>0</v>
      </c>
      <c r="N287" s="37">
        <v>0</v>
      </c>
      <c r="O287" s="56">
        <v>231</v>
      </c>
      <c r="P287" s="23" t="str">
        <f>TRIM(Tabla1[[#This Row],[Articulo]])</f>
        <v>7896004009193</v>
      </c>
      <c r="Q287" s="23" t="e">
        <f>_xlfn.XLOOKUP(Tabla1[[#This Row],[Ean Normalizado]],Consumos!A:A,Consumos!E:E)</f>
        <v>#N/A</v>
      </c>
      <c r="R287" s="22" t="e">
        <f>_xlfn.XLOOKUP(Tabla1[[#This Row],[Ean Normalizado]],tabla_consumos[EAN],tabla_consumos[UM])</f>
        <v>#N/A</v>
      </c>
      <c r="S287" s="22" t="e">
        <f>Tabla1[[#This Row],[StockDisp]]*Tabla1[[#This Row],[UM producto]]</f>
        <v>#N/A</v>
      </c>
    </row>
    <row r="288" spans="1:19" x14ac:dyDescent="0.35">
      <c r="A288" s="55">
        <v>6</v>
      </c>
      <c r="B288" s="37" t="s">
        <v>319</v>
      </c>
      <c r="C288" s="37" t="s">
        <v>311</v>
      </c>
      <c r="D288" s="37"/>
      <c r="E288" s="37" t="s">
        <v>669</v>
      </c>
      <c r="F288" s="37">
        <v>2007188</v>
      </c>
      <c r="G288" s="37" t="s">
        <v>670</v>
      </c>
      <c r="H288" s="37" t="s">
        <v>315</v>
      </c>
      <c r="I288" s="37">
        <v>43</v>
      </c>
      <c r="J288" s="37">
        <v>0</v>
      </c>
      <c r="K288" s="37">
        <v>0</v>
      </c>
      <c r="L288" s="37">
        <v>0</v>
      </c>
      <c r="M288" s="37">
        <v>0</v>
      </c>
      <c r="N288" s="37">
        <v>0</v>
      </c>
      <c r="O288" s="56">
        <v>43</v>
      </c>
      <c r="P288" s="23" t="str">
        <f>TRIM(Tabla1[[#This Row],[Articulo]])</f>
        <v>7790000000232</v>
      </c>
      <c r="Q288" s="23" t="str">
        <f>_xlfn.XLOOKUP(Tabla1[[#This Row],[Ean Normalizado]],Consumos!A:A,Consumos!E:E)</f>
        <v>INDIVIDUAL SWISS MEDICAL LIQUIDOS</v>
      </c>
      <c r="R288" s="22">
        <f>_xlfn.XLOOKUP(Tabla1[[#This Row],[Ean Normalizado]],tabla_consumos[EAN],tabla_consumos[UM])</f>
        <v>1000</v>
      </c>
      <c r="S288" s="22">
        <f>Tabla1[[#This Row],[StockDisp]]*Tabla1[[#This Row],[UM producto]]</f>
        <v>43000</v>
      </c>
    </row>
    <row r="289" spans="1:19" x14ac:dyDescent="0.35">
      <c r="A289" s="55">
        <v>6</v>
      </c>
      <c r="B289" s="37" t="s">
        <v>319</v>
      </c>
      <c r="C289" s="37" t="s">
        <v>311</v>
      </c>
      <c r="D289" s="37" t="s">
        <v>664</v>
      </c>
      <c r="E289" s="37" t="s">
        <v>665</v>
      </c>
      <c r="F289" s="37">
        <v>2007426</v>
      </c>
      <c r="G289" s="37" t="s">
        <v>666</v>
      </c>
      <c r="H289" s="37" t="s">
        <v>315</v>
      </c>
      <c r="I289" s="37">
        <v>1</v>
      </c>
      <c r="J289" s="37">
        <v>0</v>
      </c>
      <c r="K289" s="37">
        <v>0</v>
      </c>
      <c r="L289" s="37">
        <v>0</v>
      </c>
      <c r="M289" s="37">
        <v>0</v>
      </c>
      <c r="N289" s="37">
        <v>0</v>
      </c>
      <c r="O289" s="56">
        <v>1</v>
      </c>
      <c r="P289" s="23" t="str">
        <f>TRIM(Tabla1[[#This Row],[Articulo]])</f>
        <v>7792205061889</v>
      </c>
      <c r="Q289" s="23" t="e">
        <f>_xlfn.XLOOKUP(Tabla1[[#This Row],[Ean Normalizado]],Consumos!A:A,Consumos!E:E)</f>
        <v>#N/A</v>
      </c>
      <c r="R289" s="22" t="e">
        <f>_xlfn.XLOOKUP(Tabla1[[#This Row],[Ean Normalizado]],tabla_consumos[EAN],tabla_consumos[UM])</f>
        <v>#N/A</v>
      </c>
      <c r="S289" s="22" t="e">
        <f>Tabla1[[#This Row],[StockDisp]]*Tabla1[[#This Row],[UM producto]]</f>
        <v>#N/A</v>
      </c>
    </row>
    <row r="290" spans="1:19" x14ac:dyDescent="0.35">
      <c r="A290" s="55">
        <v>6</v>
      </c>
      <c r="B290" s="37" t="s">
        <v>319</v>
      </c>
      <c r="C290" s="37" t="s">
        <v>311</v>
      </c>
      <c r="D290" s="37" t="s">
        <v>629</v>
      </c>
      <c r="E290" s="37" t="s">
        <v>630</v>
      </c>
      <c r="F290" s="37">
        <v>2007487</v>
      </c>
      <c r="G290" s="37" t="s">
        <v>631</v>
      </c>
      <c r="H290" s="37" t="s">
        <v>315</v>
      </c>
      <c r="I290" s="37">
        <v>11</v>
      </c>
      <c r="J290" s="37">
        <v>0</v>
      </c>
      <c r="K290" s="37">
        <v>0</v>
      </c>
      <c r="L290" s="37">
        <v>0</v>
      </c>
      <c r="M290" s="37">
        <v>0</v>
      </c>
      <c r="N290" s="37">
        <v>0</v>
      </c>
      <c r="O290" s="56">
        <v>11</v>
      </c>
      <c r="P290" s="23" t="str">
        <f>TRIM(Tabla1[[#This Row],[Articulo]])</f>
        <v>67792205205926</v>
      </c>
      <c r="Q290" s="23" t="e">
        <f>_xlfn.XLOOKUP(Tabla1[[#This Row],[Ean Normalizado]],Consumos!A:A,Consumos!E:E)</f>
        <v>#N/A</v>
      </c>
      <c r="R290" s="22" t="e">
        <f>_xlfn.XLOOKUP(Tabla1[[#This Row],[Ean Normalizado]],tabla_consumos[EAN],tabla_consumos[UM])</f>
        <v>#N/A</v>
      </c>
      <c r="S290" s="22" t="e">
        <f>Tabla1[[#This Row],[StockDisp]]*Tabla1[[#This Row],[UM producto]]</f>
        <v>#N/A</v>
      </c>
    </row>
    <row r="291" spans="1:19" x14ac:dyDescent="0.35">
      <c r="A291" s="55">
        <v>5</v>
      </c>
      <c r="B291" s="37" t="s">
        <v>310</v>
      </c>
      <c r="C291" s="37" t="s">
        <v>311</v>
      </c>
      <c r="D291" s="37"/>
      <c r="E291" s="37" t="s">
        <v>370</v>
      </c>
      <c r="F291" s="37">
        <v>4001152</v>
      </c>
      <c r="G291" s="37" t="s">
        <v>371</v>
      </c>
      <c r="H291" s="37" t="s">
        <v>346</v>
      </c>
      <c r="I291" s="37">
        <v>6.1</v>
      </c>
      <c r="J291" s="37">
        <v>0</v>
      </c>
      <c r="K291" s="37">
        <v>0</v>
      </c>
      <c r="L291" s="37">
        <v>0</v>
      </c>
      <c r="M291" s="37">
        <v>1</v>
      </c>
      <c r="N291" s="37">
        <v>0</v>
      </c>
      <c r="O291" s="56">
        <v>5.0999999999999996</v>
      </c>
      <c r="P291" s="23" t="str">
        <f>TRIM(Tabla1[[#This Row],[Articulo]])</f>
        <v>4001152</v>
      </c>
      <c r="Q291" s="23" t="e">
        <f>_xlfn.XLOOKUP(Tabla1[[#This Row],[Ean Normalizado]],Consumos!A:A,Consumos!E:E)</f>
        <v>#N/A</v>
      </c>
      <c r="R291" s="22" t="e">
        <f>_xlfn.XLOOKUP(Tabla1[[#This Row],[Ean Normalizado]],tabla_consumos[EAN],tabla_consumos[UM])</f>
        <v>#N/A</v>
      </c>
      <c r="S291" s="22" t="e">
        <f>Tabla1[[#This Row],[StockDisp]]*Tabla1[[#This Row],[UM producto]]</f>
        <v>#N/A</v>
      </c>
    </row>
    <row r="292" spans="1:19" x14ac:dyDescent="0.35">
      <c r="A292" s="55">
        <v>6</v>
      </c>
      <c r="B292" s="37" t="s">
        <v>319</v>
      </c>
      <c r="C292" s="37" t="s">
        <v>311</v>
      </c>
      <c r="D292" s="37" t="s">
        <v>1006</v>
      </c>
      <c r="E292" s="37" t="s">
        <v>1007</v>
      </c>
      <c r="F292" s="37">
        <v>2007536</v>
      </c>
      <c r="G292" s="37" t="s">
        <v>1008</v>
      </c>
      <c r="H292" s="37" t="s">
        <v>315</v>
      </c>
      <c r="I292" s="37">
        <v>68</v>
      </c>
      <c r="J292" s="37">
        <v>100</v>
      </c>
      <c r="K292" s="37">
        <v>100</v>
      </c>
      <c r="L292" s="37">
        <v>0</v>
      </c>
      <c r="M292" s="37">
        <v>0</v>
      </c>
      <c r="N292" s="37">
        <v>0</v>
      </c>
      <c r="O292" s="56">
        <v>68</v>
      </c>
      <c r="P292" s="23" t="str">
        <f>TRIM(Tabla1[[#This Row],[Articulo]])</f>
        <v>7790000000503</v>
      </c>
      <c r="Q292" s="23" t="e">
        <f>_xlfn.XLOOKUP(Tabla1[[#This Row],[Ean Normalizado]],Consumos!A:A,Consumos!E:E)</f>
        <v>#N/A</v>
      </c>
      <c r="R292" s="22" t="e">
        <f>_xlfn.XLOOKUP(Tabla1[[#This Row],[Ean Normalizado]],tabla_consumos[EAN],tabla_consumos[UM])</f>
        <v>#N/A</v>
      </c>
      <c r="S292" s="22" t="e">
        <f>Tabla1[[#This Row],[StockDisp]]*Tabla1[[#This Row],[UM producto]]</f>
        <v>#N/A</v>
      </c>
    </row>
    <row r="293" spans="1:19" x14ac:dyDescent="0.35">
      <c r="A293" s="55">
        <v>5</v>
      </c>
      <c r="B293" s="37" t="s">
        <v>310</v>
      </c>
      <c r="C293" s="37" t="s">
        <v>311</v>
      </c>
      <c r="D293" s="37"/>
      <c r="E293" s="37" t="s">
        <v>466</v>
      </c>
      <c r="F293" s="37">
        <v>4002219</v>
      </c>
      <c r="G293" s="37" t="s">
        <v>467</v>
      </c>
      <c r="H293" s="37" t="s">
        <v>346</v>
      </c>
      <c r="I293" s="37">
        <v>3.29</v>
      </c>
      <c r="J293" s="37">
        <v>0</v>
      </c>
      <c r="K293" s="37">
        <v>0</v>
      </c>
      <c r="L293" s="37">
        <v>0</v>
      </c>
      <c r="M293" s="37">
        <v>0</v>
      </c>
      <c r="N293" s="37">
        <v>0</v>
      </c>
      <c r="O293" s="56">
        <v>3.29</v>
      </c>
      <c r="P293" s="23" t="str">
        <f>TRIM(Tabla1[[#This Row],[Articulo]])</f>
        <v>4002219</v>
      </c>
      <c r="Q293" s="23" t="e">
        <f>_xlfn.XLOOKUP(Tabla1[[#This Row],[Ean Normalizado]],Consumos!A:A,Consumos!E:E)</f>
        <v>#N/A</v>
      </c>
      <c r="R293" s="22" t="e">
        <f>_xlfn.XLOOKUP(Tabla1[[#This Row],[Ean Normalizado]],tabla_consumos[EAN],tabla_consumos[UM])</f>
        <v>#N/A</v>
      </c>
      <c r="S293" s="22" t="e">
        <f>Tabla1[[#This Row],[StockDisp]]*Tabla1[[#This Row],[UM producto]]</f>
        <v>#N/A</v>
      </c>
    </row>
    <row r="294" spans="1:19" x14ac:dyDescent="0.35">
      <c r="A294" s="55">
        <v>5</v>
      </c>
      <c r="B294" s="37" t="s">
        <v>310</v>
      </c>
      <c r="C294" s="37" t="s">
        <v>311</v>
      </c>
      <c r="D294" s="37" t="s">
        <v>632</v>
      </c>
      <c r="E294" s="37" t="s">
        <v>633</v>
      </c>
      <c r="F294" s="37">
        <v>4018231</v>
      </c>
      <c r="G294" s="37" t="s">
        <v>634</v>
      </c>
      <c r="H294" s="37" t="s">
        <v>315</v>
      </c>
      <c r="I294" s="37">
        <v>30</v>
      </c>
      <c r="J294" s="37">
        <v>0</v>
      </c>
      <c r="K294" s="37">
        <v>0</v>
      </c>
      <c r="L294" s="37">
        <v>0</v>
      </c>
      <c r="M294" s="37">
        <v>0</v>
      </c>
      <c r="N294" s="37">
        <v>0</v>
      </c>
      <c r="O294" s="56">
        <v>30</v>
      </c>
      <c r="P294" s="23" t="str">
        <f>TRIM(Tabla1[[#This Row],[Articulo]])</f>
        <v>7798011976300</v>
      </c>
      <c r="Q294" s="23" t="e">
        <f>_xlfn.XLOOKUP(Tabla1[[#This Row],[Ean Normalizado]],Consumos!A:A,Consumos!E:E)</f>
        <v>#N/A</v>
      </c>
      <c r="R294" s="22" t="e">
        <f>_xlfn.XLOOKUP(Tabla1[[#This Row],[Ean Normalizado]],tabla_consumos[EAN],tabla_consumos[UM])</f>
        <v>#N/A</v>
      </c>
      <c r="S294" s="22" t="e">
        <f>Tabla1[[#This Row],[StockDisp]]*Tabla1[[#This Row],[UM producto]]</f>
        <v>#N/A</v>
      </c>
    </row>
    <row r="295" spans="1:19" hidden="1" x14ac:dyDescent="0.35">
      <c r="A295" s="55">
        <v>5</v>
      </c>
      <c r="B295" s="37" t="s">
        <v>310</v>
      </c>
      <c r="C295" s="37" t="s">
        <v>311</v>
      </c>
      <c r="D295" s="37"/>
      <c r="E295" s="37" t="s">
        <v>635</v>
      </c>
      <c r="F295" s="37">
        <v>4001148</v>
      </c>
      <c r="G295" s="37" t="s">
        <v>636</v>
      </c>
      <c r="H295" s="37" t="s">
        <v>346</v>
      </c>
      <c r="I295" s="37">
        <v>582.70000000000005</v>
      </c>
      <c r="J295" s="37">
        <v>0</v>
      </c>
      <c r="K295" s="37">
        <v>0</v>
      </c>
      <c r="L295" s="37">
        <v>30</v>
      </c>
      <c r="M295" s="37">
        <v>174</v>
      </c>
      <c r="N295" s="37">
        <v>0</v>
      </c>
      <c r="O295" s="56">
        <v>378.7</v>
      </c>
      <c r="P295" s="23" t="str">
        <f>TRIM(Tabla1[[#This Row],[Articulo]])</f>
        <v>4001148</v>
      </c>
      <c r="Q295" s="23" t="e">
        <f>_xlfn.XLOOKUP(Tabla1[[#This Row],[Ean Normalizado]],Consumos!A:A,Consumos!E:E)</f>
        <v>#N/A</v>
      </c>
      <c r="R295" s="22" t="e">
        <f>_xlfn.XLOOKUP(Tabla1[[#This Row],[Ean Normalizado]],tabla_consumos[EAN],tabla_consumos[UM])</f>
        <v>#N/A</v>
      </c>
      <c r="S295" s="22" t="e">
        <f>Tabla1[[#This Row],[StockDisp]]*Tabla1[[#This Row],[UM producto]]</f>
        <v>#N/A</v>
      </c>
    </row>
    <row r="296" spans="1:19" hidden="1" x14ac:dyDescent="0.35">
      <c r="A296" s="55">
        <v>6</v>
      </c>
      <c r="B296" s="37" t="s">
        <v>319</v>
      </c>
      <c r="C296" s="37" t="s">
        <v>311</v>
      </c>
      <c r="D296" s="37"/>
      <c r="E296" s="37" t="s">
        <v>637</v>
      </c>
      <c r="F296" s="37">
        <v>2007193</v>
      </c>
      <c r="G296" s="37" t="s">
        <v>638</v>
      </c>
      <c r="H296" s="37" t="s">
        <v>315</v>
      </c>
      <c r="I296" s="37">
        <v>50</v>
      </c>
      <c r="J296" s="37">
        <v>0</v>
      </c>
      <c r="K296" s="37">
        <v>0</v>
      </c>
      <c r="L296" s="37">
        <v>0</v>
      </c>
      <c r="M296" s="37">
        <v>0</v>
      </c>
      <c r="N296" s="37">
        <v>0</v>
      </c>
      <c r="O296" s="56">
        <v>50</v>
      </c>
      <c r="P296" s="23" t="str">
        <f>TRIM(Tabla1[[#This Row],[Articulo]])</f>
        <v>7790000000237</v>
      </c>
      <c r="Q296" s="23" t="str">
        <f>_xlfn.XLOOKUP(Tabla1[[#This Row],[Ean Normalizado]],Consumos!A:A,Consumos!E:E)</f>
        <v>INDIVIDUAL FINOCCHIETO</v>
      </c>
      <c r="R296" s="22">
        <f>_xlfn.XLOOKUP(Tabla1[[#This Row],[Ean Normalizado]],tabla_consumos[EAN],tabla_consumos[UM])</f>
        <v>1000</v>
      </c>
      <c r="S296" s="22">
        <f>Tabla1[[#This Row],[StockDisp]]*Tabla1[[#This Row],[UM producto]]</f>
        <v>50000</v>
      </c>
    </row>
    <row r="297" spans="1:19" hidden="1" x14ac:dyDescent="0.35">
      <c r="A297" s="55">
        <v>6</v>
      </c>
      <c r="B297" s="37" t="s">
        <v>319</v>
      </c>
      <c r="C297" s="37" t="s">
        <v>311</v>
      </c>
      <c r="D297" s="37"/>
      <c r="E297" s="37" t="s">
        <v>461</v>
      </c>
      <c r="F297" s="37">
        <v>2007210</v>
      </c>
      <c r="G297" s="37" t="s">
        <v>462</v>
      </c>
      <c r="H297" s="37" t="s">
        <v>315</v>
      </c>
      <c r="I297" s="37">
        <v>10</v>
      </c>
      <c r="J297" s="37">
        <v>0</v>
      </c>
      <c r="K297" s="37">
        <v>0</v>
      </c>
      <c r="L297" s="37">
        <v>0</v>
      </c>
      <c r="M297" s="37">
        <v>0</v>
      </c>
      <c r="N297" s="37">
        <v>0</v>
      </c>
      <c r="O297" s="56">
        <v>10</v>
      </c>
      <c r="P297" s="23" t="str">
        <f>TRIM(Tabla1[[#This Row],[Articulo]])</f>
        <v>7795618000094</v>
      </c>
      <c r="Q297" s="23" t="str">
        <f>_xlfn.XLOOKUP(Tabla1[[#This Row],[Ean Normalizado]],Consumos!A:A,Consumos!E:E)</f>
        <v>ARRANQUE 15x20</v>
      </c>
      <c r="R297" s="22">
        <f>_xlfn.XLOOKUP(Tabla1[[#This Row],[Ean Normalizado]],tabla_consumos[EAN],tabla_consumos[UM])</f>
        <v>12</v>
      </c>
      <c r="S297" s="22">
        <f>Tabla1[[#This Row],[StockDisp]]*Tabla1[[#This Row],[UM producto]]</f>
        <v>120</v>
      </c>
    </row>
    <row r="298" spans="1:19" hidden="1" x14ac:dyDescent="0.35">
      <c r="A298" s="55">
        <v>6</v>
      </c>
      <c r="B298" s="37" t="s">
        <v>319</v>
      </c>
      <c r="C298" s="37" t="s">
        <v>311</v>
      </c>
      <c r="D298" s="37"/>
      <c r="E298" s="37" t="s">
        <v>771</v>
      </c>
      <c r="F298" s="37">
        <v>2007196</v>
      </c>
      <c r="G298" s="37" t="s">
        <v>772</v>
      </c>
      <c r="H298" s="37" t="s">
        <v>315</v>
      </c>
      <c r="I298" s="37">
        <v>47</v>
      </c>
      <c r="J298" s="37">
        <v>0</v>
      </c>
      <c r="K298" s="37">
        <v>0</v>
      </c>
      <c r="L298" s="37">
        <v>0</v>
      </c>
      <c r="M298" s="37">
        <v>0</v>
      </c>
      <c r="N298" s="37">
        <v>0</v>
      </c>
      <c r="O298" s="56">
        <v>47</v>
      </c>
      <c r="P298" s="23" t="str">
        <f>TRIM(Tabla1[[#This Row],[Articulo]])</f>
        <v>7790000000245</v>
      </c>
      <c r="Q298" s="23" t="str">
        <f>_xlfn.XLOOKUP(Tabla1[[#This Row],[Ean Normalizado]],Consumos!A:A,Consumos!E:E)</f>
        <v>SERVILLETAS SWISS 18x18</v>
      </c>
      <c r="R298" s="22">
        <f>_xlfn.XLOOKUP(Tabla1[[#This Row],[Ean Normalizado]],tabla_consumos[EAN],tabla_consumos[UM])</f>
        <v>2000</v>
      </c>
      <c r="S298" s="22">
        <f>Tabla1[[#This Row],[StockDisp]]*Tabla1[[#This Row],[UM producto]]</f>
        <v>94000</v>
      </c>
    </row>
    <row r="299" spans="1:19" hidden="1" x14ac:dyDescent="0.35">
      <c r="A299" s="55">
        <v>6</v>
      </c>
      <c r="B299" s="37" t="s">
        <v>319</v>
      </c>
      <c r="C299" s="37" t="s">
        <v>311</v>
      </c>
      <c r="D299" s="37"/>
      <c r="E299" s="37" t="s">
        <v>599</v>
      </c>
      <c r="F299" s="37">
        <v>2007179</v>
      </c>
      <c r="G299" s="37" t="s">
        <v>600</v>
      </c>
      <c r="H299" s="37" t="s">
        <v>315</v>
      </c>
      <c r="I299" s="37">
        <v>150</v>
      </c>
      <c r="J299" s="37">
        <v>0</v>
      </c>
      <c r="K299" s="37">
        <v>0</v>
      </c>
      <c r="L299" s="37">
        <v>0</v>
      </c>
      <c r="M299" s="37">
        <v>0</v>
      </c>
      <c r="N299" s="37">
        <v>0</v>
      </c>
      <c r="O299" s="56">
        <v>150</v>
      </c>
      <c r="P299" s="23" t="str">
        <f>TRIM(Tabla1[[#This Row],[Articulo]])</f>
        <v>7790000000220</v>
      </c>
      <c r="Q299" s="23" t="e">
        <f>_xlfn.XLOOKUP(Tabla1[[#This Row],[Ean Normalizado]],Consumos!A:A,Consumos!E:E)</f>
        <v>#N/A</v>
      </c>
      <c r="R299" s="22" t="e">
        <f>_xlfn.XLOOKUP(Tabla1[[#This Row],[Ean Normalizado]],tabla_consumos[EAN],tabla_consumos[UM])</f>
        <v>#N/A</v>
      </c>
      <c r="S299" s="22" t="e">
        <f>Tabla1[[#This Row],[StockDisp]]*Tabla1[[#This Row],[UM producto]]</f>
        <v>#N/A</v>
      </c>
    </row>
    <row r="300" spans="1:19" hidden="1" x14ac:dyDescent="0.35">
      <c r="A300" s="55">
        <v>6</v>
      </c>
      <c r="B300" s="37" t="s">
        <v>319</v>
      </c>
      <c r="C300" s="37" t="s">
        <v>311</v>
      </c>
      <c r="D300" s="37" t="s">
        <v>463</v>
      </c>
      <c r="E300" s="37" t="s">
        <v>464</v>
      </c>
      <c r="F300" s="37">
        <v>2006715</v>
      </c>
      <c r="G300" s="37" t="s">
        <v>465</v>
      </c>
      <c r="H300" s="37" t="s">
        <v>315</v>
      </c>
      <c r="I300" s="37">
        <v>4</v>
      </c>
      <c r="J300" s="37">
        <v>0</v>
      </c>
      <c r="K300" s="37">
        <v>0</v>
      </c>
      <c r="L300" s="37">
        <v>0</v>
      </c>
      <c r="M300" s="37">
        <v>0</v>
      </c>
      <c r="N300" s="37">
        <v>0</v>
      </c>
      <c r="O300" s="56">
        <v>4</v>
      </c>
      <c r="P300" s="23" t="str">
        <f>TRIM(Tabla1[[#This Row],[Articulo]])</f>
        <v>7798188650515</v>
      </c>
      <c r="Q300" s="23" t="e">
        <f>_xlfn.XLOOKUP(Tabla1[[#This Row],[Ean Normalizado]],Consumos!A:A,Consumos!E:E)</f>
        <v>#N/A</v>
      </c>
      <c r="R300" s="22" t="e">
        <f>_xlfn.XLOOKUP(Tabla1[[#This Row],[Ean Normalizado]],tabla_consumos[EAN],tabla_consumos[UM])</f>
        <v>#N/A</v>
      </c>
      <c r="S300" s="22" t="e">
        <f>Tabla1[[#This Row],[StockDisp]]*Tabla1[[#This Row],[UM producto]]</f>
        <v>#N/A</v>
      </c>
    </row>
    <row r="301" spans="1:19" hidden="1" x14ac:dyDescent="0.35">
      <c r="A301" s="55">
        <v>5</v>
      </c>
      <c r="B301" s="37" t="s">
        <v>310</v>
      </c>
      <c r="C301" s="37" t="s">
        <v>311</v>
      </c>
      <c r="D301" s="37"/>
      <c r="E301" s="37" t="s">
        <v>965</v>
      </c>
      <c r="F301" s="37">
        <v>4001191</v>
      </c>
      <c r="G301" s="37" t="s">
        <v>966</v>
      </c>
      <c r="H301" s="37" t="s">
        <v>346</v>
      </c>
      <c r="I301" s="37">
        <v>62</v>
      </c>
      <c r="J301" s="37">
        <v>0</v>
      </c>
      <c r="K301" s="37">
        <v>0</v>
      </c>
      <c r="L301" s="37">
        <v>3</v>
      </c>
      <c r="M301" s="37">
        <v>38</v>
      </c>
      <c r="N301" s="37">
        <v>0</v>
      </c>
      <c r="O301" s="56">
        <v>21</v>
      </c>
      <c r="P301" s="23" t="str">
        <f>TRIM(Tabla1[[#This Row],[Articulo]])</f>
        <v>4001191</v>
      </c>
      <c r="Q301" s="23" t="e">
        <f>_xlfn.XLOOKUP(Tabla1[[#This Row],[Ean Normalizado]],Consumos!A:A,Consumos!E:E)</f>
        <v>#N/A</v>
      </c>
      <c r="R301" s="22" t="e">
        <f>_xlfn.XLOOKUP(Tabla1[[#This Row],[Ean Normalizado]],tabla_consumos[EAN],tabla_consumos[UM])</f>
        <v>#N/A</v>
      </c>
      <c r="S301" s="22" t="e">
        <f>Tabla1[[#This Row],[StockDisp]]*Tabla1[[#This Row],[UM producto]]</f>
        <v>#N/A</v>
      </c>
    </row>
    <row r="302" spans="1:19" hidden="1" x14ac:dyDescent="0.35">
      <c r="A302" s="55">
        <v>5</v>
      </c>
      <c r="B302" s="37" t="s">
        <v>310</v>
      </c>
      <c r="C302" s="37" t="s">
        <v>311</v>
      </c>
      <c r="D302" s="37"/>
      <c r="E302" s="37" t="s">
        <v>967</v>
      </c>
      <c r="F302" s="37">
        <v>4001205</v>
      </c>
      <c r="G302" s="37" t="s">
        <v>968</v>
      </c>
      <c r="H302" s="37" t="s">
        <v>346</v>
      </c>
      <c r="I302" s="37">
        <v>4.5999999999999996</v>
      </c>
      <c r="J302" s="37">
        <v>0</v>
      </c>
      <c r="K302" s="37">
        <v>1</v>
      </c>
      <c r="L302" s="37">
        <v>0</v>
      </c>
      <c r="M302" s="37">
        <v>0.7</v>
      </c>
      <c r="N302" s="37">
        <v>0</v>
      </c>
      <c r="O302" s="56">
        <v>2.9</v>
      </c>
      <c r="P302" s="23" t="str">
        <f>TRIM(Tabla1[[#This Row],[Articulo]])</f>
        <v>4001205</v>
      </c>
      <c r="Q302" s="23" t="e">
        <f>_xlfn.XLOOKUP(Tabla1[[#This Row],[Ean Normalizado]],Consumos!A:A,Consumos!E:E)</f>
        <v>#N/A</v>
      </c>
      <c r="R302" s="22" t="e">
        <f>_xlfn.XLOOKUP(Tabla1[[#This Row],[Ean Normalizado]],tabla_consumos[EAN],tabla_consumos[UM])</f>
        <v>#N/A</v>
      </c>
      <c r="S302" s="22" t="e">
        <f>Tabla1[[#This Row],[StockDisp]]*Tabla1[[#This Row],[UM producto]]</f>
        <v>#N/A</v>
      </c>
    </row>
    <row r="303" spans="1:19" x14ac:dyDescent="0.35">
      <c r="A303" s="55">
        <v>6</v>
      </c>
      <c r="B303" s="37" t="s">
        <v>319</v>
      </c>
      <c r="C303" s="37" t="s">
        <v>311</v>
      </c>
      <c r="D303" s="37"/>
      <c r="E303" s="37" t="s">
        <v>1009</v>
      </c>
      <c r="F303" s="37">
        <v>2000256</v>
      </c>
      <c r="G303" s="37" t="s">
        <v>1010</v>
      </c>
      <c r="H303" s="37" t="s">
        <v>315</v>
      </c>
      <c r="I303" s="37">
        <v>0</v>
      </c>
      <c r="J303" s="37">
        <v>50</v>
      </c>
      <c r="K303" s="37">
        <v>50</v>
      </c>
      <c r="L303" s="37">
        <v>0</v>
      </c>
      <c r="M303" s="37">
        <v>0</v>
      </c>
      <c r="N303" s="37">
        <v>0</v>
      </c>
      <c r="O303" s="56">
        <v>0</v>
      </c>
      <c r="P303" s="23" t="str">
        <f>TRIM(Tabla1[[#This Row],[Articulo]])</f>
        <v>7790000000573</v>
      </c>
      <c r="Q303" s="23" t="e">
        <f>_xlfn.XLOOKUP(Tabla1[[#This Row],[Ean Normalizado]],Consumos!A:A,Consumos!E:E)</f>
        <v>#N/A</v>
      </c>
      <c r="R303" s="22" t="e">
        <f>_xlfn.XLOOKUP(Tabla1[[#This Row],[Ean Normalizado]],tabla_consumos[EAN],tabla_consumos[UM])</f>
        <v>#N/A</v>
      </c>
      <c r="S303" s="22" t="e">
        <f>Tabla1[[#This Row],[StockDisp]]*Tabla1[[#This Row],[UM producto]]</f>
        <v>#N/A</v>
      </c>
    </row>
    <row r="304" spans="1:19" x14ac:dyDescent="0.35">
      <c r="A304" s="55">
        <v>5</v>
      </c>
      <c r="B304" s="37" t="s">
        <v>310</v>
      </c>
      <c r="C304" s="37" t="s">
        <v>311</v>
      </c>
      <c r="D304" s="37"/>
      <c r="E304" s="37" t="s">
        <v>542</v>
      </c>
      <c r="F304" s="37">
        <v>4001154</v>
      </c>
      <c r="G304" s="37" t="s">
        <v>543</v>
      </c>
      <c r="H304" s="37" t="s">
        <v>346</v>
      </c>
      <c r="I304" s="37">
        <v>1090</v>
      </c>
      <c r="J304" s="37">
        <v>0</v>
      </c>
      <c r="K304" s="37">
        <v>0</v>
      </c>
      <c r="L304" s="37">
        <v>40</v>
      </c>
      <c r="M304" s="37">
        <v>718</v>
      </c>
      <c r="N304" s="37">
        <v>0</v>
      </c>
      <c r="O304" s="56">
        <v>332</v>
      </c>
      <c r="P304" s="23" t="str">
        <f>TRIM(Tabla1[[#This Row],[Articulo]])</f>
        <v>4001154</v>
      </c>
      <c r="Q304" s="23" t="e">
        <f>_xlfn.XLOOKUP(Tabla1[[#This Row],[Ean Normalizado]],Consumos!A:A,Consumos!E:E)</f>
        <v>#N/A</v>
      </c>
      <c r="R304" s="22" t="e">
        <f>_xlfn.XLOOKUP(Tabla1[[#This Row],[Ean Normalizado]],tabla_consumos[EAN],tabla_consumos[UM])</f>
        <v>#N/A</v>
      </c>
      <c r="S304" s="22" t="e">
        <f>Tabla1[[#This Row],[StockDisp]]*Tabla1[[#This Row],[UM producto]]</f>
        <v>#N/A</v>
      </c>
    </row>
    <row r="305" spans="1:19" x14ac:dyDescent="0.35">
      <c r="A305" s="55">
        <v>6</v>
      </c>
      <c r="B305" s="37" t="s">
        <v>319</v>
      </c>
      <c r="C305" s="37" t="s">
        <v>311</v>
      </c>
      <c r="D305" s="37"/>
      <c r="E305" s="37" t="s">
        <v>972</v>
      </c>
      <c r="F305" s="37"/>
      <c r="G305" s="37" t="s">
        <v>973</v>
      </c>
      <c r="H305" s="37" t="s">
        <v>315</v>
      </c>
      <c r="I305" s="37">
        <v>14</v>
      </c>
      <c r="J305" s="37">
        <v>0</v>
      </c>
      <c r="K305" s="37">
        <v>0</v>
      </c>
      <c r="L305" s="37">
        <v>0</v>
      </c>
      <c r="M305" s="37">
        <v>0</v>
      </c>
      <c r="N305" s="37">
        <v>0</v>
      </c>
      <c r="O305" s="56">
        <v>14</v>
      </c>
      <c r="P305" s="23" t="str">
        <f>TRIM(Tabla1[[#This Row],[Articulo]])</f>
        <v>7798057860059</v>
      </c>
      <c r="Q305" s="23" t="e">
        <f>_xlfn.XLOOKUP(Tabla1[[#This Row],[Ean Normalizado]],Consumos!A:A,Consumos!E:E)</f>
        <v>#N/A</v>
      </c>
      <c r="R305" s="22" t="e">
        <f>_xlfn.XLOOKUP(Tabla1[[#This Row],[Ean Normalizado]],tabla_consumos[EAN],tabla_consumos[UM])</f>
        <v>#N/A</v>
      </c>
      <c r="S305" s="22" t="e">
        <f>Tabla1[[#This Row],[StockDisp]]*Tabla1[[#This Row],[UM producto]]</f>
        <v>#N/A</v>
      </c>
    </row>
    <row r="306" spans="1:19" x14ac:dyDescent="0.35">
      <c r="A306" s="55">
        <v>6</v>
      </c>
      <c r="B306" s="37" t="s">
        <v>319</v>
      </c>
      <c r="C306" s="37" t="s">
        <v>311</v>
      </c>
      <c r="D306" s="37"/>
      <c r="E306" s="37" t="s">
        <v>974</v>
      </c>
      <c r="F306" s="37"/>
      <c r="G306" s="37" t="s">
        <v>975</v>
      </c>
      <c r="H306" s="37" t="s">
        <v>315</v>
      </c>
      <c r="I306" s="37">
        <v>21</v>
      </c>
      <c r="J306" s="37">
        <v>0</v>
      </c>
      <c r="K306" s="37">
        <v>0</v>
      </c>
      <c r="L306" s="37">
        <v>0</v>
      </c>
      <c r="M306" s="37">
        <v>0</v>
      </c>
      <c r="N306" s="37">
        <v>0</v>
      </c>
      <c r="O306" s="56">
        <v>21</v>
      </c>
      <c r="P306" s="23" t="str">
        <f>TRIM(Tabla1[[#This Row],[Articulo]])</f>
        <v>7798332280681</v>
      </c>
      <c r="Q306" s="23" t="e">
        <f>_xlfn.XLOOKUP(Tabla1[[#This Row],[Ean Normalizado]],Consumos!A:A,Consumos!E:E)</f>
        <v>#N/A</v>
      </c>
      <c r="R306" s="22" t="e">
        <f>_xlfn.XLOOKUP(Tabla1[[#This Row],[Ean Normalizado]],tabla_consumos[EAN],tabla_consumos[UM])</f>
        <v>#N/A</v>
      </c>
      <c r="S306" s="22" t="e">
        <f>Tabla1[[#This Row],[StockDisp]]*Tabla1[[#This Row],[UM producto]]</f>
        <v>#N/A</v>
      </c>
    </row>
    <row r="307" spans="1:19" x14ac:dyDescent="0.35">
      <c r="A307" s="55">
        <v>5</v>
      </c>
      <c r="B307" s="37" t="s">
        <v>310</v>
      </c>
      <c r="C307" s="37" t="s">
        <v>311</v>
      </c>
      <c r="D307" s="37"/>
      <c r="E307" s="37" t="s">
        <v>976</v>
      </c>
      <c r="F307" s="37"/>
      <c r="G307" s="37" t="s">
        <v>977</v>
      </c>
      <c r="H307" s="37" t="s">
        <v>346</v>
      </c>
      <c r="I307" s="37">
        <v>403</v>
      </c>
      <c r="J307" s="37">
        <v>0</v>
      </c>
      <c r="K307" s="37">
        <v>0</v>
      </c>
      <c r="L307" s="37">
        <v>0</v>
      </c>
      <c r="M307" s="37">
        <v>0</v>
      </c>
      <c r="N307" s="37">
        <v>0</v>
      </c>
      <c r="O307" s="56">
        <v>403</v>
      </c>
      <c r="P307" s="23" t="str">
        <f>TRIM(Tabla1[[#This Row],[Articulo]])</f>
        <v>4003164</v>
      </c>
      <c r="Q307" s="23" t="e">
        <f>_xlfn.XLOOKUP(Tabla1[[#This Row],[Ean Normalizado]],Consumos!A:A,Consumos!E:E)</f>
        <v>#N/A</v>
      </c>
      <c r="R307" s="22" t="e">
        <f>_xlfn.XLOOKUP(Tabla1[[#This Row],[Ean Normalizado]],tabla_consumos[EAN],tabla_consumos[UM])</f>
        <v>#N/A</v>
      </c>
      <c r="S307" s="22" t="e">
        <f>Tabla1[[#This Row],[StockDisp]]*Tabla1[[#This Row],[UM producto]]</f>
        <v>#N/A</v>
      </c>
    </row>
    <row r="308" spans="1:19" x14ac:dyDescent="0.35">
      <c r="A308" s="55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56"/>
      <c r="P308" s="23" t="e">
        <f>TRIM(Tabla1[[#This Row],[Articulo]])</f>
        <v>#VALUE!</v>
      </c>
      <c r="Q308" s="23" t="e">
        <f>_xlfn.XLOOKUP(Tabla1[[#This Row],[Ean Normalizado]],Consumos!A:A,Consumos!E:E)</f>
        <v>#VALUE!</v>
      </c>
      <c r="R308" s="22" t="e">
        <f>_xlfn.XLOOKUP(Tabla1[[#This Row],[Ean Normalizado]],tabla_consumos[EAN],tabla_consumos[UM])</f>
        <v>#VALUE!</v>
      </c>
      <c r="S308" s="22" t="e">
        <f>Tabla1[[#This Row],[StockDisp]]*Tabla1[[#This Row],[UM producto]]</f>
        <v>#VALUE!</v>
      </c>
    </row>
    <row r="309" spans="1:19" x14ac:dyDescent="0.35">
      <c r="A309" s="55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56"/>
      <c r="P309" s="23" t="e">
        <f>TRIM(Tabla1[[#This Row],[Articulo]])</f>
        <v>#VALUE!</v>
      </c>
      <c r="Q309" s="23" t="e">
        <f>_xlfn.XLOOKUP(Tabla1[[#This Row],[Ean Normalizado]],Consumos!A:A,Consumos!E:E)</f>
        <v>#VALUE!</v>
      </c>
      <c r="R309" s="22" t="e">
        <f>_xlfn.XLOOKUP(Tabla1[[#This Row],[Ean Normalizado]],tabla_consumos[EAN],tabla_consumos[UM])</f>
        <v>#VALUE!</v>
      </c>
      <c r="S309" s="22" t="e">
        <f>Tabla1[[#This Row],[StockDisp]]*Tabla1[[#This Row],[UM producto]]</f>
        <v>#VALUE!</v>
      </c>
    </row>
    <row r="310" spans="1:19" x14ac:dyDescent="0.35">
      <c r="A310" s="55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56"/>
      <c r="P310" s="23" t="e">
        <f>TRIM(Tabla1[[#This Row],[Articulo]])</f>
        <v>#VALUE!</v>
      </c>
      <c r="Q310" s="23" t="e">
        <f>_xlfn.XLOOKUP(Tabla1[[#This Row],[Ean Normalizado]],Consumos!A:A,Consumos!E:E)</f>
        <v>#VALUE!</v>
      </c>
      <c r="R310" s="22" t="e">
        <f>_xlfn.XLOOKUP(Tabla1[[#This Row],[Ean Normalizado]],tabla_consumos[EAN],tabla_consumos[UM])</f>
        <v>#VALUE!</v>
      </c>
      <c r="S310" s="22" t="e">
        <f>Tabla1[[#This Row],[StockDisp]]*Tabla1[[#This Row],[UM producto]]</f>
        <v>#VALUE!</v>
      </c>
    </row>
    <row r="311" spans="1:19" x14ac:dyDescent="0.35">
      <c r="A311" s="55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56"/>
      <c r="P311" s="23" t="e">
        <f>TRIM(Tabla1[[#This Row],[Articulo]])</f>
        <v>#VALUE!</v>
      </c>
      <c r="Q311" s="23" t="e">
        <f>_xlfn.XLOOKUP(Tabla1[[#This Row],[Ean Normalizado]],Consumos!A:A,Consumos!E:E)</f>
        <v>#VALUE!</v>
      </c>
      <c r="R311" s="22" t="e">
        <f>_xlfn.XLOOKUP(Tabla1[[#This Row],[Ean Normalizado]],tabla_consumos[EAN],tabla_consumos[UM])</f>
        <v>#VALUE!</v>
      </c>
      <c r="S311" s="22" t="e">
        <f>Tabla1[[#This Row],[StockDisp]]*Tabla1[[#This Row],[UM producto]]</f>
        <v>#VALUE!</v>
      </c>
    </row>
    <row r="312" spans="1:19" x14ac:dyDescent="0.35">
      <c r="A312" s="55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56"/>
      <c r="P312" s="23" t="e">
        <f>TRIM(Tabla1[[#This Row],[Articulo]])</f>
        <v>#VALUE!</v>
      </c>
      <c r="Q312" s="23" t="e">
        <f>_xlfn.XLOOKUP(Tabla1[[#This Row],[Ean Normalizado]],Consumos!A:A,Consumos!E:E)</f>
        <v>#VALUE!</v>
      </c>
      <c r="R312" s="22" t="e">
        <f>_xlfn.XLOOKUP(Tabla1[[#This Row],[Ean Normalizado]],tabla_consumos[EAN],tabla_consumos[UM])</f>
        <v>#VALUE!</v>
      </c>
      <c r="S312" s="22" t="e">
        <f>Tabla1[[#This Row],[StockDisp]]*Tabla1[[#This Row],[UM producto]]</f>
        <v>#VALUE!</v>
      </c>
    </row>
    <row r="313" spans="1:19" x14ac:dyDescent="0.35">
      <c r="A313" s="55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56"/>
      <c r="P313" s="23" t="e">
        <f>TRIM(Tabla1[[#This Row],[Articulo]])</f>
        <v>#VALUE!</v>
      </c>
      <c r="Q313" s="23" t="e">
        <f>_xlfn.XLOOKUP(Tabla1[[#This Row],[Ean Normalizado]],Consumos!A:A,Consumos!E:E)</f>
        <v>#VALUE!</v>
      </c>
      <c r="R313" s="22" t="e">
        <f>_xlfn.XLOOKUP(Tabla1[[#This Row],[Ean Normalizado]],tabla_consumos[EAN],tabla_consumos[UM])</f>
        <v>#VALUE!</v>
      </c>
      <c r="S313" s="22" t="e">
        <f>Tabla1[[#This Row],[StockDisp]]*Tabla1[[#This Row],[UM producto]]</f>
        <v>#VALUE!</v>
      </c>
    </row>
    <row r="314" spans="1:19" x14ac:dyDescent="0.35">
      <c r="A314" s="55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56"/>
      <c r="P314" s="23" t="e">
        <f>TRIM(Tabla1[[#This Row],[Articulo]])</f>
        <v>#VALUE!</v>
      </c>
      <c r="Q314" s="23" t="e">
        <f>_xlfn.XLOOKUP(Tabla1[[#This Row],[Ean Normalizado]],Consumos!A:A,Consumos!E:E)</f>
        <v>#VALUE!</v>
      </c>
      <c r="R314" s="22" t="e">
        <f>_xlfn.XLOOKUP(Tabla1[[#This Row],[Ean Normalizado]],tabla_consumos[EAN],tabla_consumos[UM])</f>
        <v>#VALUE!</v>
      </c>
      <c r="S314" s="22" t="e">
        <f>Tabla1[[#This Row],[StockDisp]]*Tabla1[[#This Row],[UM producto]]</f>
        <v>#VALUE!</v>
      </c>
    </row>
    <row r="315" spans="1:19" x14ac:dyDescent="0.3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22" t="e">
        <f>TRIM(Tabla1[[#This Row],[Articulo]])</f>
        <v>#VALUE!</v>
      </c>
      <c r="Q315" s="22" t="e">
        <f>_xlfn.XLOOKUP(Tabla1[[#This Row],[Ean Normalizado]],tabla_consumos[EAN],tabla_consumos[Familia])</f>
        <v>#VALUE!</v>
      </c>
      <c r="R315" s="22" t="e">
        <f>_xlfn.XLOOKUP(Tabla1[[#This Row],[Ean Normalizado]],tabla_consumos[EAN],tabla_consumos[UM])</f>
        <v>#VALUE!</v>
      </c>
      <c r="S315" s="22" t="e">
        <f>Tabla1[[#This Row],[StockDisp]]*Tabla1[[#This Row],[UM producto]]</f>
        <v>#VALUE!</v>
      </c>
    </row>
    <row r="316" spans="1:19" x14ac:dyDescent="0.3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22" t="e">
        <f>TRIM(Tabla1[[#This Row],[Articulo]])</f>
        <v>#VALUE!</v>
      </c>
      <c r="Q316" s="22" t="e">
        <f>_xlfn.XLOOKUP(Tabla1[[#This Row],[Ean Normalizado]],tabla_consumos[EAN],tabla_consumos[Familia])</f>
        <v>#VALUE!</v>
      </c>
      <c r="R316" s="22" t="e">
        <f>_xlfn.XLOOKUP(Tabla1[[#This Row],[Ean Normalizado]],tabla_consumos[EAN],tabla_consumos[UM])</f>
        <v>#VALUE!</v>
      </c>
      <c r="S316" s="22" t="e">
        <f>Tabla1[[#This Row],[StockDisp]]*Tabla1[[#This Row],[UM producto]]</f>
        <v>#VALUE!</v>
      </c>
    </row>
    <row r="317" spans="1:19" x14ac:dyDescent="0.3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22" t="e">
        <f>TRIM(Tabla1[[#This Row],[Articulo]])</f>
        <v>#VALUE!</v>
      </c>
      <c r="Q317" s="22" t="e">
        <f>_xlfn.XLOOKUP(Tabla1[[#This Row],[Ean Normalizado]],tabla_consumos[EAN],tabla_consumos[Familia])</f>
        <v>#VALUE!</v>
      </c>
      <c r="R317" s="22" t="e">
        <f>_xlfn.XLOOKUP(Tabla1[[#This Row],[Ean Normalizado]],tabla_consumos[EAN],tabla_consumos[UM])</f>
        <v>#VALUE!</v>
      </c>
      <c r="S317" s="22" t="e">
        <f>Tabla1[[#This Row],[StockDisp]]*Tabla1[[#This Row],[UM producto]]</f>
        <v>#VALUE!</v>
      </c>
    </row>
    <row r="318" spans="1:19" x14ac:dyDescent="0.3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22" t="e">
        <f>TRIM(Tabla1[[#This Row],[Articulo]])</f>
        <v>#VALUE!</v>
      </c>
      <c r="Q318" s="22" t="e">
        <f>_xlfn.XLOOKUP(Tabla1[[#This Row],[Ean Normalizado]],tabla_consumos[EAN],tabla_consumos[Familia])</f>
        <v>#VALUE!</v>
      </c>
      <c r="R318" s="22" t="e">
        <f>_xlfn.XLOOKUP(Tabla1[[#This Row],[Ean Normalizado]],tabla_consumos[EAN],tabla_consumos[UM])</f>
        <v>#VALUE!</v>
      </c>
      <c r="S318" s="22" t="e">
        <f>Tabla1[[#This Row],[StockDisp]]*Tabla1[[#This Row],[UM producto]]</f>
        <v>#VALUE!</v>
      </c>
    </row>
    <row r="319" spans="1:19" x14ac:dyDescent="0.3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22" t="e">
        <f>TRIM(Tabla1[[#This Row],[Articulo]])</f>
        <v>#VALUE!</v>
      </c>
      <c r="Q319" s="22" t="e">
        <f>_xlfn.XLOOKUP(Tabla1[[#This Row],[Ean Normalizado]],tabla_consumos[EAN],tabla_consumos[Familia])</f>
        <v>#VALUE!</v>
      </c>
      <c r="R319" s="22" t="e">
        <f>_xlfn.XLOOKUP(Tabla1[[#This Row],[Ean Normalizado]],tabla_consumos[EAN],tabla_consumos[UM])</f>
        <v>#VALUE!</v>
      </c>
      <c r="S319" s="22" t="e">
        <f>Tabla1[[#This Row],[StockDisp]]*Tabla1[[#This Row],[UM producto]]</f>
        <v>#VALUE!</v>
      </c>
    </row>
    <row r="320" spans="1:19" x14ac:dyDescent="0.3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22" t="e">
        <f>TRIM(Tabla1[[#This Row],[Articulo]])</f>
        <v>#VALUE!</v>
      </c>
      <c r="Q320" s="22" t="e">
        <f>_xlfn.XLOOKUP(Tabla1[[#This Row],[Ean Normalizado]],tabla_consumos[EAN],tabla_consumos[Familia])</f>
        <v>#VALUE!</v>
      </c>
      <c r="R320" s="22" t="e">
        <f>_xlfn.XLOOKUP(Tabla1[[#This Row],[Ean Normalizado]],tabla_consumos[EAN],tabla_consumos[UM])</f>
        <v>#VALUE!</v>
      </c>
      <c r="S320" s="22" t="e">
        <f>Tabla1[[#This Row],[StockDisp]]*Tabla1[[#This Row],[UM producto]]</f>
        <v>#VALUE!</v>
      </c>
    </row>
    <row r="321" spans="1:19" x14ac:dyDescent="0.3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22" t="e">
        <f>TRIM(Tabla1[[#This Row],[Articulo]])</f>
        <v>#VALUE!</v>
      </c>
      <c r="Q321" s="22" t="e">
        <f>_xlfn.XLOOKUP(Tabla1[[#This Row],[Ean Normalizado]],tabla_consumos[EAN],tabla_consumos[Familia])</f>
        <v>#VALUE!</v>
      </c>
      <c r="R321" s="22" t="e">
        <f>_xlfn.XLOOKUP(Tabla1[[#This Row],[Ean Normalizado]],tabla_consumos[EAN],tabla_consumos[UM])</f>
        <v>#VALUE!</v>
      </c>
      <c r="S321" s="22" t="e">
        <f>Tabla1[[#This Row],[StockDisp]]*Tabla1[[#This Row],[UM producto]]</f>
        <v>#VALUE!</v>
      </c>
    </row>
    <row r="322" spans="1:19" x14ac:dyDescent="0.3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22" t="e">
        <f>TRIM(Tabla1[[#This Row],[Articulo]])</f>
        <v>#VALUE!</v>
      </c>
      <c r="Q322" s="22" t="e">
        <f>_xlfn.XLOOKUP(Tabla1[[#This Row],[Ean Normalizado]],tabla_consumos[EAN],tabla_consumos[Familia])</f>
        <v>#VALUE!</v>
      </c>
      <c r="R322" s="22" t="e">
        <f>_xlfn.XLOOKUP(Tabla1[[#This Row],[Ean Normalizado]],tabla_consumos[EAN],tabla_consumos[UM])</f>
        <v>#VALUE!</v>
      </c>
      <c r="S322" s="22" t="e">
        <f>Tabla1[[#This Row],[StockDisp]]*Tabla1[[#This Row],[UM producto]]</f>
        <v>#VALUE!</v>
      </c>
    </row>
    <row r="323" spans="1:19" x14ac:dyDescent="0.3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22" t="e">
        <f>TRIM(Tabla1[[#This Row],[Articulo]])</f>
        <v>#VALUE!</v>
      </c>
      <c r="Q323" s="22" t="e">
        <f>_xlfn.XLOOKUP(Tabla1[[#This Row],[Ean Normalizado]],tabla_consumos[EAN],tabla_consumos[Familia])</f>
        <v>#VALUE!</v>
      </c>
      <c r="R323" s="22" t="e">
        <f>_xlfn.XLOOKUP(Tabla1[[#This Row],[Ean Normalizado]],tabla_consumos[EAN],tabla_consumos[UM])</f>
        <v>#VALUE!</v>
      </c>
      <c r="S323" s="22" t="e">
        <f>Tabla1[[#This Row],[StockDisp]]*Tabla1[[#This Row],[UM producto]]</f>
        <v>#VALUE!</v>
      </c>
    </row>
    <row r="324" spans="1:19" x14ac:dyDescent="0.3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22" t="e">
        <f>TRIM(Tabla1[[#This Row],[Articulo]])</f>
        <v>#VALUE!</v>
      </c>
      <c r="Q324" s="22" t="e">
        <f>_xlfn.XLOOKUP(Tabla1[[#This Row],[Ean Normalizado]],tabla_consumos[EAN],tabla_consumos[Familia])</f>
        <v>#VALUE!</v>
      </c>
      <c r="R324" s="22" t="e">
        <f>_xlfn.XLOOKUP(Tabla1[[#This Row],[Ean Normalizado]],tabla_consumos[EAN],tabla_consumos[UM])</f>
        <v>#VALUE!</v>
      </c>
      <c r="S324" s="22" t="e">
        <f>Tabla1[[#This Row],[StockDisp]]*Tabla1[[#This Row],[UM producto]]</f>
        <v>#VALUE!</v>
      </c>
    </row>
    <row r="325" spans="1:19" x14ac:dyDescent="0.3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22" t="e">
        <f>TRIM(Tabla1[[#This Row],[Articulo]])</f>
        <v>#VALUE!</v>
      </c>
      <c r="Q325" s="22" t="e">
        <f>_xlfn.XLOOKUP(Tabla1[[#This Row],[Ean Normalizado]],tabla_consumos[EAN],tabla_consumos[Familia])</f>
        <v>#VALUE!</v>
      </c>
      <c r="R325" s="22" t="e">
        <f>_xlfn.XLOOKUP(Tabla1[[#This Row],[Ean Normalizado]],tabla_consumos[EAN],tabla_consumos[UM])</f>
        <v>#VALUE!</v>
      </c>
      <c r="S325" s="22" t="e">
        <f>Tabla1[[#This Row],[StockDisp]]*Tabla1[[#This Row],[UM producto]]</f>
        <v>#VALUE!</v>
      </c>
    </row>
    <row r="326" spans="1:19" x14ac:dyDescent="0.3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22" t="e">
        <f>TRIM(Tabla1[[#This Row],[Articulo]])</f>
        <v>#VALUE!</v>
      </c>
      <c r="Q326" s="22" t="e">
        <f>_xlfn.XLOOKUP(Tabla1[[#This Row],[Ean Normalizado]],tabla_consumos[EAN],tabla_consumos[Familia])</f>
        <v>#VALUE!</v>
      </c>
      <c r="R326" s="22" t="e">
        <f>_xlfn.XLOOKUP(Tabla1[[#This Row],[Ean Normalizado]],tabla_consumos[EAN],tabla_consumos[UM])</f>
        <v>#VALUE!</v>
      </c>
      <c r="S326" s="22" t="e">
        <f>Tabla1[[#This Row],[StockDisp]]*Tabla1[[#This Row],[UM producto]]</f>
        <v>#VALUE!</v>
      </c>
    </row>
    <row r="327" spans="1:19" x14ac:dyDescent="0.3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22" t="e">
        <f>TRIM(Tabla1[[#This Row],[Articulo]])</f>
        <v>#VALUE!</v>
      </c>
      <c r="Q327" s="22" t="e">
        <f>_xlfn.XLOOKUP(Tabla1[[#This Row],[Ean Normalizado]],tabla_consumos[EAN],tabla_consumos[Familia])</f>
        <v>#VALUE!</v>
      </c>
      <c r="R327" s="22" t="e">
        <f>_xlfn.XLOOKUP(Tabla1[[#This Row],[Ean Normalizado]],tabla_consumos[EAN],tabla_consumos[UM])</f>
        <v>#VALUE!</v>
      </c>
      <c r="S327" s="22" t="e">
        <f>Tabla1[[#This Row],[StockDisp]]*Tabla1[[#This Row],[UM producto]]</f>
        <v>#VALUE!</v>
      </c>
    </row>
    <row r="328" spans="1:19" x14ac:dyDescent="0.35">
      <c r="A328" s="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6"/>
      <c r="P328" s="22" t="e">
        <f>TRIM(Tabla1[[#This Row],[Articulo]])</f>
        <v>#VALUE!</v>
      </c>
      <c r="Q328" s="22" t="e">
        <f>_xlfn.XLOOKUP(Tabla1[[#This Row],[Ean Normalizado]],tabla_consumos[EAN],tabla_consumos[Familia])</f>
        <v>#VALUE!</v>
      </c>
      <c r="R328" s="22" t="e">
        <f>_xlfn.XLOOKUP(Tabla1[[#This Row],[Ean Normalizado]],tabla_consumos[EAN],tabla_consumos[UM])</f>
        <v>#VALUE!</v>
      </c>
      <c r="S328" s="22" t="e">
        <f>Tabla1[[#This Row],[StockDisp]]*Tabla1[[#This Row],[UM producto]]</f>
        <v>#VALUE!</v>
      </c>
    </row>
    <row r="329" spans="1:19" x14ac:dyDescent="0.35">
      <c r="A329" s="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6"/>
      <c r="P329" s="22" t="e">
        <f>TRIM(Tabla1[[#This Row],[Articulo]])</f>
        <v>#VALUE!</v>
      </c>
      <c r="Q329" s="22" t="e">
        <f>_xlfn.XLOOKUP(Tabla1[[#This Row],[Ean Normalizado]],tabla_consumos[EAN],tabla_consumos[Familia])</f>
        <v>#VALUE!</v>
      </c>
      <c r="R329" s="22" t="e">
        <f>_xlfn.XLOOKUP(Tabla1[[#This Row],[Ean Normalizado]],tabla_consumos[EAN],tabla_consumos[UM])</f>
        <v>#VALUE!</v>
      </c>
      <c r="S329" s="22" t="e">
        <f>Tabla1[[#This Row],[StockDisp]]*Tabla1[[#This Row],[UM producto]]</f>
        <v>#VALUE!</v>
      </c>
    </row>
    <row r="330" spans="1:19" x14ac:dyDescent="0.35">
      <c r="A330" s="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6"/>
      <c r="P330" s="22" t="e">
        <f>TRIM(Tabla1[[#This Row],[Articulo]])</f>
        <v>#VALUE!</v>
      </c>
      <c r="Q330" s="22" t="e">
        <f>_xlfn.XLOOKUP(Tabla1[[#This Row],[Ean Normalizado]],tabla_consumos[EAN],tabla_consumos[Familia])</f>
        <v>#VALUE!</v>
      </c>
      <c r="R330" s="22" t="e">
        <f>_xlfn.XLOOKUP(Tabla1[[#This Row],[Ean Normalizado]],tabla_consumos[EAN],tabla_consumos[UM])</f>
        <v>#VALUE!</v>
      </c>
      <c r="S330" s="22" t="e">
        <f>Tabla1[[#This Row],[StockDisp]]*Tabla1[[#This Row],[UM producto]]</f>
        <v>#VALUE!</v>
      </c>
    </row>
    <row r="331" spans="1:19" x14ac:dyDescent="0.35">
      <c r="A331" s="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6"/>
      <c r="P331" s="22" t="e">
        <f>TRIM(Tabla1[[#This Row],[Articulo]])</f>
        <v>#VALUE!</v>
      </c>
      <c r="Q331" s="22" t="e">
        <f>_xlfn.XLOOKUP(Tabla1[[#This Row],[Ean Normalizado]],tabla_consumos[EAN],tabla_consumos[Familia])</f>
        <v>#VALUE!</v>
      </c>
      <c r="R331" s="22" t="e">
        <f>_xlfn.XLOOKUP(Tabla1[[#This Row],[Ean Normalizado]],tabla_consumos[EAN],tabla_consumos[UM])</f>
        <v>#VALUE!</v>
      </c>
      <c r="S331" s="22" t="e">
        <f>Tabla1[[#This Row],[StockDisp]]*Tabla1[[#This Row],[UM producto]]</f>
        <v>#VALUE!</v>
      </c>
    </row>
    <row r="332" spans="1:19" x14ac:dyDescent="0.35">
      <c r="A332" s="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6"/>
      <c r="P332" s="22" t="e">
        <f>TRIM(Tabla1[[#This Row],[Articulo]])</f>
        <v>#VALUE!</v>
      </c>
      <c r="Q332" s="22" t="e">
        <f>_xlfn.XLOOKUP(Tabla1[[#This Row],[Ean Normalizado]],tabla_consumos[EAN],tabla_consumos[Familia])</f>
        <v>#VALUE!</v>
      </c>
      <c r="R332" s="22" t="e">
        <f>_xlfn.XLOOKUP(Tabla1[[#This Row],[Ean Normalizado]],tabla_consumos[EAN],tabla_consumos[UM])</f>
        <v>#VALUE!</v>
      </c>
      <c r="S332" s="22" t="e">
        <f>Tabla1[[#This Row],[StockDisp]]*Tabla1[[#This Row],[UM producto]]</f>
        <v>#VALUE!</v>
      </c>
    </row>
    <row r="333" spans="1:19" x14ac:dyDescent="0.35">
      <c r="A333" s="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6"/>
      <c r="P333" s="22" t="e">
        <f>TRIM(Tabla1[[#This Row],[Articulo]])</f>
        <v>#VALUE!</v>
      </c>
      <c r="Q333" s="22" t="e">
        <f>_xlfn.XLOOKUP(Tabla1[[#This Row],[Ean Normalizado]],tabla_consumos[EAN],tabla_consumos[Familia])</f>
        <v>#VALUE!</v>
      </c>
      <c r="R333" s="22" t="e">
        <f>_xlfn.XLOOKUP(Tabla1[[#This Row],[Ean Normalizado]],tabla_consumos[EAN],tabla_consumos[UM])</f>
        <v>#VALUE!</v>
      </c>
      <c r="S333" s="22" t="e">
        <f>Tabla1[[#This Row],[StockDisp]]*Tabla1[[#This Row],[UM producto]]</f>
        <v>#VALUE!</v>
      </c>
    </row>
    <row r="334" spans="1:19" x14ac:dyDescent="0.35">
      <c r="A334" s="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6"/>
      <c r="P334" s="22" t="e">
        <f>TRIM(Tabla1[[#This Row],[Articulo]])</f>
        <v>#VALUE!</v>
      </c>
      <c r="Q334" s="22" t="e">
        <f>_xlfn.XLOOKUP(Tabla1[[#This Row],[Ean Normalizado]],tabla_consumos[EAN],tabla_consumos[Familia])</f>
        <v>#VALUE!</v>
      </c>
      <c r="R334" s="22" t="e">
        <f>_xlfn.XLOOKUP(Tabla1[[#This Row],[Ean Normalizado]],tabla_consumos[EAN],tabla_consumos[UM])</f>
        <v>#VALUE!</v>
      </c>
      <c r="S334" s="22" t="e">
        <f>Tabla1[[#This Row],[StockDisp]]*Tabla1[[#This Row],[UM producto]]</f>
        <v>#VALUE!</v>
      </c>
    </row>
    <row r="335" spans="1:19" x14ac:dyDescent="0.35">
      <c r="A335" s="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6"/>
      <c r="P335" s="22" t="e">
        <f>TRIM(Tabla1[[#This Row],[Articulo]])</f>
        <v>#VALUE!</v>
      </c>
      <c r="Q335" s="22" t="e">
        <f>_xlfn.XLOOKUP(Tabla1[[#This Row],[Ean Normalizado]],tabla_consumos[EAN],tabla_consumos[Familia])</f>
        <v>#VALUE!</v>
      </c>
      <c r="R335" s="22" t="e">
        <f>_xlfn.XLOOKUP(Tabla1[[#This Row],[Ean Normalizado]],tabla_consumos[EAN],tabla_consumos[UM])</f>
        <v>#VALUE!</v>
      </c>
      <c r="S335" s="22" t="e">
        <f>Tabla1[[#This Row],[StockDisp]]*Tabla1[[#This Row],[UM producto]]</f>
        <v>#VALUE!</v>
      </c>
    </row>
    <row r="336" spans="1:19" x14ac:dyDescent="0.35">
      <c r="A336" s="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6"/>
      <c r="P336" s="22" t="e">
        <f>TRIM(Tabla1[[#This Row],[Articulo]])</f>
        <v>#VALUE!</v>
      </c>
      <c r="Q336" s="22" t="e">
        <f>_xlfn.XLOOKUP(Tabla1[[#This Row],[Ean Normalizado]],tabla_consumos[EAN],tabla_consumos[Familia])</f>
        <v>#VALUE!</v>
      </c>
      <c r="R336" s="22" t="e">
        <f>_xlfn.XLOOKUP(Tabla1[[#This Row],[Ean Normalizado]],tabla_consumos[EAN],tabla_consumos[UM])</f>
        <v>#VALUE!</v>
      </c>
      <c r="S336" s="22" t="e">
        <f>Tabla1[[#This Row],[StockDisp]]*Tabla1[[#This Row],[UM producto]]</f>
        <v>#VALUE!</v>
      </c>
    </row>
    <row r="337" spans="1:19" x14ac:dyDescent="0.35">
      <c r="A337" s="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6"/>
      <c r="P337" s="22" t="e">
        <f>TRIM(Tabla1[[#This Row],[Articulo]])</f>
        <v>#VALUE!</v>
      </c>
      <c r="Q337" s="22" t="e">
        <f>_xlfn.XLOOKUP(Tabla1[[#This Row],[Ean Normalizado]],tabla_consumos[EAN],tabla_consumos[Familia])</f>
        <v>#VALUE!</v>
      </c>
      <c r="R337" s="22" t="e">
        <f>_xlfn.XLOOKUP(Tabla1[[#This Row],[Ean Normalizado]],tabla_consumos[EAN],tabla_consumos[UM])</f>
        <v>#VALUE!</v>
      </c>
      <c r="S337" s="22" t="e">
        <f>Tabla1[[#This Row],[StockDisp]]*Tabla1[[#This Row],[UM producto]]</f>
        <v>#VALUE!</v>
      </c>
    </row>
    <row r="338" spans="1:19" x14ac:dyDescent="0.35">
      <c r="A338" s="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6"/>
      <c r="P338" s="22" t="e">
        <f>TRIM(Tabla1[[#This Row],[Articulo]])</f>
        <v>#VALUE!</v>
      </c>
      <c r="Q338" s="22" t="e">
        <f>_xlfn.XLOOKUP(Tabla1[[#This Row],[Ean Normalizado]],tabla_consumos[EAN],tabla_consumos[Familia])</f>
        <v>#VALUE!</v>
      </c>
      <c r="R338" s="22" t="e">
        <f>_xlfn.XLOOKUP(Tabla1[[#This Row],[Ean Normalizado]],tabla_consumos[EAN],tabla_consumos[UM])</f>
        <v>#VALUE!</v>
      </c>
      <c r="S338" s="22" t="e">
        <f>Tabla1[[#This Row],[StockDisp]]*Tabla1[[#This Row],[UM producto]]</f>
        <v>#VALUE!</v>
      </c>
    </row>
    <row r="339" spans="1:19" x14ac:dyDescent="0.35">
      <c r="A339" s="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6"/>
      <c r="P339" s="22" t="e">
        <f>TRIM(Tabla1[[#This Row],[Articulo]])</f>
        <v>#VALUE!</v>
      </c>
      <c r="Q339" s="22" t="e">
        <f>_xlfn.XLOOKUP(Tabla1[[#This Row],[Ean Normalizado]],tabla_consumos[EAN],tabla_consumos[Familia])</f>
        <v>#VALUE!</v>
      </c>
      <c r="R339" s="22" t="e">
        <f>_xlfn.XLOOKUP(Tabla1[[#This Row],[Ean Normalizado]],tabla_consumos[EAN],tabla_consumos[UM])</f>
        <v>#VALUE!</v>
      </c>
      <c r="S339" s="22" t="e">
        <f>Tabla1[[#This Row],[StockDisp]]*Tabla1[[#This Row],[UM producto]]</f>
        <v>#VALUE!</v>
      </c>
    </row>
    <row r="340" spans="1:19" x14ac:dyDescent="0.35">
      <c r="A340" s="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6"/>
      <c r="P340" s="22" t="e">
        <f>TRIM(Tabla1[[#This Row],[Articulo]])</f>
        <v>#VALUE!</v>
      </c>
      <c r="Q340" s="22" t="e">
        <f>_xlfn.XLOOKUP(Tabla1[[#This Row],[Ean Normalizado]],tabla_consumos[EAN],tabla_consumos[Familia])</f>
        <v>#VALUE!</v>
      </c>
      <c r="R340" s="22" t="e">
        <f>_xlfn.XLOOKUP(Tabla1[[#This Row],[Ean Normalizado]],tabla_consumos[EAN],tabla_consumos[UM])</f>
        <v>#VALUE!</v>
      </c>
      <c r="S340" s="22" t="e">
        <f>Tabla1[[#This Row],[StockDisp]]*Tabla1[[#This Row],[UM producto]]</f>
        <v>#VALUE!</v>
      </c>
    </row>
    <row r="341" spans="1:19" x14ac:dyDescent="0.35">
      <c r="A341" s="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6"/>
      <c r="P341" s="22" t="e">
        <f>TRIM(Tabla1[[#This Row],[Articulo]])</f>
        <v>#VALUE!</v>
      </c>
      <c r="Q341" s="22" t="e">
        <f>_xlfn.XLOOKUP(Tabla1[[#This Row],[Ean Normalizado]],tabla_consumos[EAN],tabla_consumos[Familia])</f>
        <v>#VALUE!</v>
      </c>
      <c r="R341" s="22" t="e">
        <f>_xlfn.XLOOKUP(Tabla1[[#This Row],[Ean Normalizado]],tabla_consumos[EAN],tabla_consumos[UM])</f>
        <v>#VALUE!</v>
      </c>
      <c r="S341" s="22" t="e">
        <f>Tabla1[[#This Row],[StockDisp]]*Tabla1[[#This Row],[UM producto]]</f>
        <v>#VALUE!</v>
      </c>
    </row>
    <row r="342" spans="1:19" x14ac:dyDescent="0.35">
      <c r="A342" s="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6"/>
      <c r="P342" s="22" t="e">
        <f>TRIM(Tabla1[[#This Row],[Articulo]])</f>
        <v>#VALUE!</v>
      </c>
      <c r="Q342" s="22" t="e">
        <f>_xlfn.XLOOKUP(Tabla1[[#This Row],[Ean Normalizado]],tabla_consumos[EAN],tabla_consumos[Familia])</f>
        <v>#VALUE!</v>
      </c>
      <c r="R342" s="22" t="e">
        <f>_xlfn.XLOOKUP(Tabla1[[#This Row],[Ean Normalizado]],tabla_consumos[EAN],tabla_consumos[UM])</f>
        <v>#VALUE!</v>
      </c>
      <c r="S342" s="22" t="e">
        <f>Tabla1[[#This Row],[StockDisp]]*Tabla1[[#This Row],[UM producto]]</f>
        <v>#VALUE!</v>
      </c>
    </row>
    <row r="343" spans="1:19" x14ac:dyDescent="0.35">
      <c r="A343" s="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6"/>
      <c r="P343" s="22" t="e">
        <f>TRIM(Tabla1[[#This Row],[Articulo]])</f>
        <v>#VALUE!</v>
      </c>
      <c r="Q343" s="22" t="e">
        <f>_xlfn.XLOOKUP(Tabla1[[#This Row],[Ean Normalizado]],tabla_consumos[EAN],tabla_consumos[Familia])</f>
        <v>#VALUE!</v>
      </c>
      <c r="R343" s="22" t="e">
        <f>_xlfn.XLOOKUP(Tabla1[[#This Row],[Ean Normalizado]],tabla_consumos[EAN],tabla_consumos[UM])</f>
        <v>#VALUE!</v>
      </c>
      <c r="S343" s="22" t="e">
        <f>Tabla1[[#This Row],[StockDisp]]*Tabla1[[#This Row],[UM producto]]</f>
        <v>#VALUE!</v>
      </c>
    </row>
    <row r="344" spans="1:19" x14ac:dyDescent="0.35">
      <c r="A344" s="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6"/>
      <c r="P344" s="22" t="e">
        <f>TRIM(Tabla1[[#This Row],[Articulo]])</f>
        <v>#VALUE!</v>
      </c>
      <c r="Q344" s="22" t="e">
        <f>_xlfn.XLOOKUP(Tabla1[[#This Row],[Ean Normalizado]],tabla_consumos[EAN],tabla_consumos[Familia])</f>
        <v>#VALUE!</v>
      </c>
      <c r="R344" s="22" t="e">
        <f>_xlfn.XLOOKUP(Tabla1[[#This Row],[Ean Normalizado]],tabla_consumos[EAN],tabla_consumos[UM])</f>
        <v>#VALUE!</v>
      </c>
      <c r="S344" s="22" t="e">
        <f>Tabla1[[#This Row],[StockDisp]]*Tabla1[[#This Row],[UM producto]]</f>
        <v>#VALUE!</v>
      </c>
    </row>
    <row r="345" spans="1:19" x14ac:dyDescent="0.35">
      <c r="A345" s="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6"/>
      <c r="P345" s="22" t="e">
        <f>TRIM(Tabla1[[#This Row],[Articulo]])</f>
        <v>#VALUE!</v>
      </c>
      <c r="Q345" s="22" t="e">
        <f>_xlfn.XLOOKUP(Tabla1[[#This Row],[Ean Normalizado]],tabla_consumos[EAN],tabla_consumos[Familia])</f>
        <v>#VALUE!</v>
      </c>
      <c r="R345" s="22" t="e">
        <f>_xlfn.XLOOKUP(Tabla1[[#This Row],[Ean Normalizado]],tabla_consumos[EAN],tabla_consumos[UM])</f>
        <v>#VALUE!</v>
      </c>
      <c r="S345" s="22" t="e">
        <f>Tabla1[[#This Row],[StockDisp]]*Tabla1[[#This Row],[UM producto]]</f>
        <v>#VALUE!</v>
      </c>
    </row>
    <row r="346" spans="1:19" x14ac:dyDescent="0.35">
      <c r="A346" s="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6"/>
      <c r="P346" s="22" t="e">
        <f>TRIM(Tabla1[[#This Row],[Articulo]])</f>
        <v>#VALUE!</v>
      </c>
      <c r="Q346" s="22" t="e">
        <f>_xlfn.XLOOKUP(Tabla1[[#This Row],[Ean Normalizado]],tabla_consumos[EAN],tabla_consumos[Familia])</f>
        <v>#VALUE!</v>
      </c>
      <c r="R346" s="22" t="e">
        <f>_xlfn.XLOOKUP(Tabla1[[#This Row],[Ean Normalizado]],tabla_consumos[EAN],tabla_consumos[UM])</f>
        <v>#VALUE!</v>
      </c>
      <c r="S346" s="22" t="e">
        <f>Tabla1[[#This Row],[StockDisp]]*Tabla1[[#This Row],[UM producto]]</f>
        <v>#VALUE!</v>
      </c>
    </row>
    <row r="347" spans="1:19" x14ac:dyDescent="0.35">
      <c r="A347" s="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6"/>
      <c r="P347" s="23" t="e">
        <f>TRIM(Tabla1[[#This Row],[Articulo]])</f>
        <v>#VALUE!</v>
      </c>
      <c r="Q347" s="22" t="e">
        <f>_xlfn.XLOOKUP(Tabla1[[#This Row],[Ean Normalizado]],tabla_consumos[EAN],tabla_consumos[Familia])</f>
        <v>#VALUE!</v>
      </c>
      <c r="R347" s="22" t="e">
        <f>_xlfn.XLOOKUP(Tabla1[[#This Row],[Ean Normalizado]],tabla_consumos[EAN],tabla_consumos[UM])</f>
        <v>#VALUE!</v>
      </c>
      <c r="S347" s="22" t="e">
        <f>Tabla1[[#This Row],[StockDisp]]*Tabla1[[#This Row],[UM producto]]</f>
        <v>#VALUE!</v>
      </c>
    </row>
    <row r="348" spans="1:19" x14ac:dyDescent="0.35">
      <c r="A348" s="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6"/>
      <c r="P348" s="23" t="e">
        <f>TRIM(Tabla1[[#This Row],[Articulo]])</f>
        <v>#VALUE!</v>
      </c>
      <c r="Q348" s="22" t="e">
        <f>_xlfn.XLOOKUP(Tabla1[[#This Row],[Ean Normalizado]],tabla_consumos[EAN],tabla_consumos[Familia])</f>
        <v>#VALUE!</v>
      </c>
      <c r="R348" s="22" t="e">
        <f>_xlfn.XLOOKUP(Tabla1[[#This Row],[Ean Normalizado]],tabla_consumos[EAN],tabla_consumos[UM])</f>
        <v>#VALUE!</v>
      </c>
      <c r="S348" s="22" t="e">
        <f>Tabla1[[#This Row],[StockDisp]]*Tabla1[[#This Row],[UM producto]]</f>
        <v>#VALUE!</v>
      </c>
    </row>
    <row r="349" spans="1:19" x14ac:dyDescent="0.35">
      <c r="A349" s="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6"/>
      <c r="P349" s="23" t="e">
        <f>TRIM(Tabla1[[#This Row],[Articulo]])</f>
        <v>#VALUE!</v>
      </c>
      <c r="Q349" s="22" t="e">
        <f>_xlfn.XLOOKUP(Tabla1[[#This Row],[Ean Normalizado]],tabla_consumos[EAN],tabla_consumos[Familia])</f>
        <v>#VALUE!</v>
      </c>
      <c r="R349" s="22" t="e">
        <f>_xlfn.XLOOKUP(Tabla1[[#This Row],[Ean Normalizado]],tabla_consumos[EAN],tabla_consumos[UM])</f>
        <v>#VALUE!</v>
      </c>
      <c r="S349" s="22" t="e">
        <f>Tabla1[[#This Row],[StockDisp]]*Tabla1[[#This Row],[UM producto]]</f>
        <v>#VALUE!</v>
      </c>
    </row>
    <row r="350" spans="1:19" x14ac:dyDescent="0.35">
      <c r="A350" s="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6"/>
      <c r="P350" s="23" t="e">
        <f>TRIM(Tabla1[[#This Row],[Articulo]])</f>
        <v>#VALUE!</v>
      </c>
      <c r="Q350" s="22" t="e">
        <f>_xlfn.XLOOKUP(Tabla1[[#This Row],[Ean Normalizado]],tabla_consumos[EAN],tabla_consumos[Familia])</f>
        <v>#VALUE!</v>
      </c>
      <c r="R350" s="22" t="e">
        <f>_xlfn.XLOOKUP(Tabla1[[#This Row],[Ean Normalizado]],tabla_consumos[EAN],tabla_consumos[UM])</f>
        <v>#VALUE!</v>
      </c>
      <c r="S350" s="22" t="e">
        <f>Tabla1[[#This Row],[StockDisp]]*Tabla1[[#This Row],[UM producto]]</f>
        <v>#VALUE!</v>
      </c>
    </row>
    <row r="351" spans="1:19" x14ac:dyDescent="0.35">
      <c r="A351" s="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6"/>
      <c r="P351" s="23" t="e">
        <f>TRIM(Tabla1[[#This Row],[Articulo]])</f>
        <v>#VALUE!</v>
      </c>
      <c r="Q351" s="22" t="e">
        <f>_xlfn.XLOOKUP(Tabla1[[#This Row],[Ean Normalizado]],tabla_consumos[EAN],tabla_consumos[Familia])</f>
        <v>#VALUE!</v>
      </c>
      <c r="R351" s="22" t="e">
        <f>_xlfn.XLOOKUP(Tabla1[[#This Row],[Ean Normalizado]],tabla_consumos[EAN],tabla_consumos[UM])</f>
        <v>#VALUE!</v>
      </c>
      <c r="S351" s="22" t="e">
        <f>Tabla1[[#This Row],[StockDisp]]*Tabla1[[#This Row],[UM producto]]</f>
        <v>#VALUE!</v>
      </c>
    </row>
    <row r="352" spans="1:19" x14ac:dyDescent="0.35">
      <c r="A352" s="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6"/>
      <c r="P352" s="23" t="e">
        <f>TRIM(Tabla1[[#This Row],[Articulo]])</f>
        <v>#VALUE!</v>
      </c>
      <c r="Q352" s="22" t="e">
        <f>_xlfn.XLOOKUP(Tabla1[[#This Row],[Ean Normalizado]],tabla_consumos[EAN],tabla_consumos[Familia])</f>
        <v>#VALUE!</v>
      </c>
      <c r="R352" s="22" t="e">
        <f>_xlfn.XLOOKUP(Tabla1[[#This Row],[Ean Normalizado]],tabla_consumos[EAN],tabla_consumos[UM])</f>
        <v>#VALUE!</v>
      </c>
      <c r="S352" s="22" t="e">
        <f>Tabla1[[#This Row],[StockDisp]]*Tabla1[[#This Row],[UM producto]]</f>
        <v>#VALUE!</v>
      </c>
    </row>
    <row r="353" spans="1:19" x14ac:dyDescent="0.35">
      <c r="A353" s="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6"/>
      <c r="P353" s="23" t="e">
        <f>TRIM(Tabla1[[#This Row],[Articulo]])</f>
        <v>#VALUE!</v>
      </c>
      <c r="Q353" s="22" t="e">
        <f>_xlfn.XLOOKUP(Tabla1[[#This Row],[Ean Normalizado]],tabla_consumos[EAN],tabla_consumos[Familia])</f>
        <v>#VALUE!</v>
      </c>
      <c r="R353" s="22" t="e">
        <f>_xlfn.XLOOKUP(Tabla1[[#This Row],[Ean Normalizado]],tabla_consumos[EAN],tabla_consumos[UM])</f>
        <v>#VALUE!</v>
      </c>
      <c r="S353" s="22" t="e">
        <f>Tabla1[[#This Row],[StockDisp]]*Tabla1[[#This Row],[UM producto]]</f>
        <v>#VALUE!</v>
      </c>
    </row>
    <row r="354" spans="1:19" x14ac:dyDescent="0.35">
      <c r="A354" s="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6"/>
      <c r="P354" s="23" t="e">
        <f>TRIM(Tabla1[[#This Row],[Articulo]])</f>
        <v>#VALUE!</v>
      </c>
      <c r="Q354" s="22" t="e">
        <f>_xlfn.XLOOKUP(Tabla1[[#This Row],[Ean Normalizado]],tabla_consumos[EAN],tabla_consumos[Familia])</f>
        <v>#VALUE!</v>
      </c>
      <c r="R354" s="22" t="e">
        <f>_xlfn.XLOOKUP(Tabla1[[#This Row],[Ean Normalizado]],tabla_consumos[EAN],tabla_consumos[UM])</f>
        <v>#VALUE!</v>
      </c>
      <c r="S354" s="22" t="e">
        <f>Tabla1[[#This Row],[StockDisp]]*Tabla1[[#This Row],[UM producto]]</f>
        <v>#VALUE!</v>
      </c>
    </row>
    <row r="355" spans="1:19" x14ac:dyDescent="0.35">
      <c r="A355" s="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6"/>
      <c r="P355" s="23" t="e">
        <f>TRIM(Tabla1[[#This Row],[Articulo]])</f>
        <v>#VALUE!</v>
      </c>
      <c r="Q355" s="22" t="e">
        <f>_xlfn.XLOOKUP(Tabla1[[#This Row],[Ean Normalizado]],tabla_consumos[EAN],tabla_consumos[Familia])</f>
        <v>#VALUE!</v>
      </c>
      <c r="R355" s="22" t="e">
        <f>_xlfn.XLOOKUP(Tabla1[[#This Row],[Ean Normalizado]],tabla_consumos[EAN],tabla_consumos[UM])</f>
        <v>#VALUE!</v>
      </c>
      <c r="S355" s="22" t="e">
        <f>Tabla1[[#This Row],[StockDisp]]*Tabla1[[#This Row],[UM producto]]</f>
        <v>#VALUE!</v>
      </c>
    </row>
    <row r="356" spans="1:19" x14ac:dyDescent="0.35">
      <c r="A356" s="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6"/>
      <c r="P356" s="23" t="e">
        <f>TRIM(Tabla1[[#This Row],[Articulo]])</f>
        <v>#VALUE!</v>
      </c>
      <c r="Q356" s="22" t="e">
        <f>_xlfn.XLOOKUP(Tabla1[[#This Row],[Ean Normalizado]],tabla_consumos[EAN],tabla_consumos[Familia])</f>
        <v>#VALUE!</v>
      </c>
      <c r="R356" s="22" t="e">
        <f>_xlfn.XLOOKUP(Tabla1[[#This Row],[Ean Normalizado]],tabla_consumos[EAN],tabla_consumos[UM])</f>
        <v>#VALUE!</v>
      </c>
      <c r="S356" s="22" t="e">
        <f>Tabla1[[#This Row],[StockDisp]]*Tabla1[[#This Row],[UM producto]]</f>
        <v>#VALUE!</v>
      </c>
    </row>
    <row r="357" spans="1:19" x14ac:dyDescent="0.35">
      <c r="A357" s="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6"/>
      <c r="P357" s="23" t="e">
        <f>TRIM(Tabla1[[#This Row],[Articulo]])</f>
        <v>#VALUE!</v>
      </c>
      <c r="Q357" s="22" t="e">
        <f>_xlfn.XLOOKUP(Tabla1[[#This Row],[Ean Normalizado]],tabla_consumos[EAN],tabla_consumos[Familia])</f>
        <v>#VALUE!</v>
      </c>
      <c r="R357" s="22" t="e">
        <f>_xlfn.XLOOKUP(Tabla1[[#This Row],[Ean Normalizado]],tabla_consumos[EAN],tabla_consumos[UM])</f>
        <v>#VALUE!</v>
      </c>
      <c r="S357" s="22" t="e">
        <f>Tabla1[[#This Row],[StockDisp]]*Tabla1[[#This Row],[UM producto]]</f>
        <v>#VALUE!</v>
      </c>
    </row>
    <row r="358" spans="1:19" x14ac:dyDescent="0.35">
      <c r="A358" s="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6"/>
      <c r="P358" s="23" t="e">
        <f>TRIM(Tabla1[[#This Row],[Articulo]])</f>
        <v>#VALUE!</v>
      </c>
      <c r="Q358" s="22" t="e">
        <f>_xlfn.XLOOKUP(Tabla1[[#This Row],[Ean Normalizado]],tabla_consumos[EAN],tabla_consumos[Familia])</f>
        <v>#VALUE!</v>
      </c>
      <c r="R358" s="22" t="e">
        <f>_xlfn.XLOOKUP(Tabla1[[#This Row],[Ean Normalizado]],tabla_consumos[EAN],tabla_consumos[UM])</f>
        <v>#VALUE!</v>
      </c>
      <c r="S358" s="22" t="e">
        <f>Tabla1[[#This Row],[StockDisp]]*Tabla1[[#This Row],[UM producto]]</f>
        <v>#VALUE!</v>
      </c>
    </row>
    <row r="359" spans="1:19" x14ac:dyDescent="0.35">
      <c r="A359" s="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6"/>
      <c r="P359" s="23" t="e">
        <f>TRIM(Tabla1[[#This Row],[Articulo]])</f>
        <v>#VALUE!</v>
      </c>
      <c r="Q359" s="22" t="e">
        <f>_xlfn.XLOOKUP(Tabla1[[#This Row],[Ean Normalizado]],tabla_consumos[EAN],tabla_consumos[Familia])</f>
        <v>#VALUE!</v>
      </c>
      <c r="R359" s="22" t="e">
        <f>_xlfn.XLOOKUP(Tabla1[[#This Row],[Ean Normalizado]],tabla_consumos[EAN],tabla_consumos[UM])</f>
        <v>#VALUE!</v>
      </c>
      <c r="S359" s="22" t="e">
        <f>Tabla1[[#This Row],[StockDisp]]*Tabla1[[#This Row],[UM producto]]</f>
        <v>#VALUE!</v>
      </c>
    </row>
    <row r="360" spans="1:19" x14ac:dyDescent="0.35">
      <c r="A360" s="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6"/>
      <c r="P360" s="23" t="e">
        <f>TRIM(Tabla1[[#This Row],[Articulo]])</f>
        <v>#VALUE!</v>
      </c>
      <c r="Q360" s="22" t="e">
        <f>_xlfn.XLOOKUP(Tabla1[[#This Row],[Ean Normalizado]],tabla_consumos[EAN],tabla_consumos[Familia])</f>
        <v>#VALUE!</v>
      </c>
      <c r="R360" s="22" t="e">
        <f>_xlfn.XLOOKUP(Tabla1[[#This Row],[Ean Normalizado]],tabla_consumos[EAN],tabla_consumos[UM])</f>
        <v>#VALUE!</v>
      </c>
      <c r="S360" s="22" t="e">
        <f>Tabla1[[#This Row],[StockDisp]]*Tabla1[[#This Row],[UM producto]]</f>
        <v>#VALUE!</v>
      </c>
    </row>
    <row r="361" spans="1:19" x14ac:dyDescent="0.35">
      <c r="A361" s="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6"/>
      <c r="P361" s="23" t="e">
        <f>TRIM(Tabla1[[#This Row],[Articulo]])</f>
        <v>#VALUE!</v>
      </c>
      <c r="Q361" s="22" t="e">
        <f>_xlfn.XLOOKUP(Tabla1[[#This Row],[Ean Normalizado]],tabla_consumos[EAN],tabla_consumos[Familia])</f>
        <v>#VALUE!</v>
      </c>
      <c r="R361" s="22" t="e">
        <f>_xlfn.XLOOKUP(Tabla1[[#This Row],[Ean Normalizado]],tabla_consumos[EAN],tabla_consumos[UM])</f>
        <v>#VALUE!</v>
      </c>
      <c r="S361" s="22" t="e">
        <f>Tabla1[[#This Row],[StockDisp]]*Tabla1[[#This Row],[UM producto]]</f>
        <v>#VALUE!</v>
      </c>
    </row>
    <row r="362" spans="1:19" x14ac:dyDescent="0.35">
      <c r="A362" s="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6"/>
      <c r="P362" s="23" t="e">
        <f>TRIM(Tabla1[[#This Row],[Articulo]])</f>
        <v>#VALUE!</v>
      </c>
      <c r="Q362" s="22" t="e">
        <f>_xlfn.XLOOKUP(Tabla1[[#This Row],[Ean Normalizado]],tabla_consumos[EAN],tabla_consumos[Familia])</f>
        <v>#VALUE!</v>
      </c>
      <c r="R362" s="22" t="e">
        <f>_xlfn.XLOOKUP(Tabla1[[#This Row],[Ean Normalizado]],tabla_consumos[EAN],tabla_consumos[UM])</f>
        <v>#VALUE!</v>
      </c>
      <c r="S362" s="22" t="e">
        <f>Tabla1[[#This Row],[StockDisp]]*Tabla1[[#This Row],[UM producto]]</f>
        <v>#VALUE!</v>
      </c>
    </row>
    <row r="363" spans="1:19" x14ac:dyDescent="0.35">
      <c r="A363" s="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6"/>
      <c r="P363" s="23" t="e">
        <f>TRIM(Tabla1[[#This Row],[Articulo]])</f>
        <v>#VALUE!</v>
      </c>
      <c r="Q363" s="22" t="e">
        <f>_xlfn.XLOOKUP(Tabla1[[#This Row],[Ean Normalizado]],tabla_consumos[EAN],tabla_consumos[Familia])</f>
        <v>#VALUE!</v>
      </c>
      <c r="R363" s="22" t="e">
        <f>_xlfn.XLOOKUP(Tabla1[[#This Row],[Ean Normalizado]],tabla_consumos[EAN],tabla_consumos[UM])</f>
        <v>#VALUE!</v>
      </c>
      <c r="S363" s="22" t="e">
        <f>Tabla1[[#This Row],[StockDisp]]*Tabla1[[#This Row],[UM producto]]</f>
        <v>#VALUE!</v>
      </c>
    </row>
    <row r="364" spans="1:19" x14ac:dyDescent="0.35">
      <c r="A364" s="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6"/>
      <c r="P364" s="23" t="e">
        <f>TRIM(Tabla1[[#This Row],[Articulo]])</f>
        <v>#VALUE!</v>
      </c>
      <c r="Q364" s="22" t="e">
        <f>_xlfn.XLOOKUP(Tabla1[[#This Row],[Ean Normalizado]],tabla_consumos[EAN],tabla_consumos[Familia])</f>
        <v>#VALUE!</v>
      </c>
      <c r="R364" s="22" t="e">
        <f>_xlfn.XLOOKUP(Tabla1[[#This Row],[Ean Normalizado]],tabla_consumos[EAN],tabla_consumos[UM])</f>
        <v>#VALUE!</v>
      </c>
      <c r="S364" s="22" t="e">
        <f>Tabla1[[#This Row],[StockDisp]]*Tabla1[[#This Row],[UM producto]]</f>
        <v>#VALUE!</v>
      </c>
    </row>
    <row r="365" spans="1:19" x14ac:dyDescent="0.35">
      <c r="A365" s="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6"/>
      <c r="P365" s="23" t="e">
        <f>TRIM(Tabla1[[#This Row],[Articulo]])</f>
        <v>#VALUE!</v>
      </c>
      <c r="Q365" s="22" t="e">
        <f>_xlfn.XLOOKUP(Tabla1[[#This Row],[Ean Normalizado]],tabla_consumos[EAN],tabla_consumos[Familia])</f>
        <v>#VALUE!</v>
      </c>
      <c r="R365" s="22" t="e">
        <f>_xlfn.XLOOKUP(Tabla1[[#This Row],[Ean Normalizado]],tabla_consumos[EAN],tabla_consumos[UM])</f>
        <v>#VALUE!</v>
      </c>
      <c r="S365" s="22" t="e">
        <f>Tabla1[[#This Row],[StockDisp]]*Tabla1[[#This Row],[UM producto]]</f>
        <v>#VALUE!</v>
      </c>
    </row>
    <row r="366" spans="1:19" x14ac:dyDescent="0.35">
      <c r="A366" s="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6"/>
      <c r="P366" s="23" t="e">
        <f>TRIM(Tabla1[[#This Row],[Articulo]])</f>
        <v>#VALUE!</v>
      </c>
      <c r="Q366" s="23" t="e">
        <f>_xlfn.XLOOKUP(Tabla1[[#This Row],[Ean Normalizado]],Consumos!A:A,Consumos!E:E)</f>
        <v>#VALUE!</v>
      </c>
      <c r="R366" s="22" t="e">
        <f>_xlfn.XLOOKUP(Tabla1[[#This Row],[Ean Normalizado]],tabla_consumos[EAN],tabla_consumos[UM])</f>
        <v>#VALUE!</v>
      </c>
      <c r="S366" s="22" t="e">
        <f>Tabla1[[#This Row],[StockDisp]]*Tabla1[[#This Row],[UM producto]]</f>
        <v>#VALUE!</v>
      </c>
    </row>
    <row r="367" spans="1:19" x14ac:dyDescent="0.35">
      <c r="A367" s="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6"/>
      <c r="P367" s="23" t="e">
        <f>TRIM(Tabla1[[#This Row],[Articulo]])</f>
        <v>#VALUE!</v>
      </c>
      <c r="Q367" s="23" t="e">
        <f>_xlfn.XLOOKUP(Tabla1[[#This Row],[Ean Normalizado]],Consumos!A:A,Consumos!E:E)</f>
        <v>#VALUE!</v>
      </c>
      <c r="R367" s="22" t="e">
        <f>_xlfn.XLOOKUP(Tabla1[[#This Row],[Ean Normalizado]],tabla_consumos[EAN],tabla_consumos[UM])</f>
        <v>#VALUE!</v>
      </c>
      <c r="S367" s="22" t="e">
        <f>Tabla1[[#This Row],[StockDisp]]*Tabla1[[#This Row],[UM producto]]</f>
        <v>#VALUE!</v>
      </c>
    </row>
    <row r="368" spans="1:19" x14ac:dyDescent="0.35">
      <c r="A368" s="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6"/>
      <c r="P368" s="23" t="e">
        <f>TRIM(Tabla1[[#This Row],[Articulo]])</f>
        <v>#VALUE!</v>
      </c>
      <c r="Q368" s="23" t="e">
        <f>_xlfn.XLOOKUP(Tabla1[[#This Row],[Ean Normalizado]],Consumos!A:A,Consumos!E:E)</f>
        <v>#VALUE!</v>
      </c>
      <c r="R368" s="22" t="e">
        <f>_xlfn.XLOOKUP(Tabla1[[#This Row],[Ean Normalizado]],tabla_consumos[EAN],tabla_consumos[UM])</f>
        <v>#VALUE!</v>
      </c>
      <c r="S368" s="22" t="e">
        <f>Tabla1[[#This Row],[StockDisp]]*Tabla1[[#This Row],[UM producto]]</f>
        <v>#VALUE!</v>
      </c>
    </row>
    <row r="369" spans="1:19" x14ac:dyDescent="0.35">
      <c r="A369" s="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6"/>
      <c r="P369" s="23" t="e">
        <f>TRIM(Tabla1[[#This Row],[Articulo]])</f>
        <v>#VALUE!</v>
      </c>
      <c r="Q369" s="23" t="e">
        <f>_xlfn.XLOOKUP(Tabla1[[#This Row],[Ean Normalizado]],Consumos!A:A,Consumos!E:E)</f>
        <v>#VALUE!</v>
      </c>
      <c r="R369" s="22" t="e">
        <f>_xlfn.XLOOKUP(Tabla1[[#This Row],[Ean Normalizado]],tabla_consumos[EAN],tabla_consumos[UM])</f>
        <v>#VALUE!</v>
      </c>
      <c r="S369" s="22" t="e">
        <f>Tabla1[[#This Row],[StockDisp]]*Tabla1[[#This Row],[UM producto]]</f>
        <v>#VALUE!</v>
      </c>
    </row>
    <row r="370" spans="1:19" x14ac:dyDescent="0.35">
      <c r="A370" s="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6"/>
      <c r="P370" s="23" t="e">
        <f>TRIM(Tabla1[[#This Row],[Articulo]])</f>
        <v>#VALUE!</v>
      </c>
      <c r="Q370" s="23" t="e">
        <f>_xlfn.XLOOKUP(Tabla1[[#This Row],[Ean Normalizado]],Consumos!A:A,Consumos!E:E)</f>
        <v>#VALUE!</v>
      </c>
      <c r="R370" s="22" t="e">
        <f>_xlfn.XLOOKUP(Tabla1[[#This Row],[Ean Normalizado]],tabla_consumos[EAN],tabla_consumos[UM])</f>
        <v>#VALUE!</v>
      </c>
      <c r="S370" s="22" t="e">
        <f>Tabla1[[#This Row],[StockDisp]]*Tabla1[[#This Row],[UM producto]]</f>
        <v>#VALUE!</v>
      </c>
    </row>
    <row r="371" spans="1:19" x14ac:dyDescent="0.35">
      <c r="A371" s="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6"/>
      <c r="P371" s="23" t="e">
        <f>TRIM(Tabla1[[#This Row],[Articulo]])</f>
        <v>#VALUE!</v>
      </c>
      <c r="Q371" s="23" t="e">
        <f>_xlfn.XLOOKUP(Tabla1[[#This Row],[Ean Normalizado]],Consumos!A:A,Consumos!E:E)</f>
        <v>#VALUE!</v>
      </c>
      <c r="R371" s="22" t="e">
        <f>_xlfn.XLOOKUP(Tabla1[[#This Row],[Ean Normalizado]],tabla_consumos[EAN],tabla_consumos[UM])</f>
        <v>#VALUE!</v>
      </c>
      <c r="S371" s="22" t="e">
        <f>Tabla1[[#This Row],[StockDisp]]*Tabla1[[#This Row],[UM producto]]</f>
        <v>#VALUE!</v>
      </c>
    </row>
    <row r="372" spans="1:19" x14ac:dyDescent="0.35">
      <c r="A372" s="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6"/>
      <c r="P372" s="23" t="e">
        <f>TRIM(Tabla1[[#This Row],[Articulo]])</f>
        <v>#VALUE!</v>
      </c>
      <c r="Q372" s="23" t="e">
        <f>_xlfn.XLOOKUP(Tabla1[[#This Row],[Ean Normalizado]],Consumos!A:A,Consumos!E:E)</f>
        <v>#VALUE!</v>
      </c>
      <c r="R372" s="22" t="e">
        <f>_xlfn.XLOOKUP(Tabla1[[#This Row],[Ean Normalizado]],tabla_consumos[EAN],tabla_consumos[UM])</f>
        <v>#VALUE!</v>
      </c>
      <c r="S372" s="22" t="e">
        <f>Tabla1[[#This Row],[StockDisp]]*Tabla1[[#This Row],[UM producto]]</f>
        <v>#VALUE!</v>
      </c>
    </row>
    <row r="373" spans="1:19" x14ac:dyDescent="0.35">
      <c r="A373" s="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6"/>
      <c r="P373" s="23" t="e">
        <f>TRIM(Tabla1[[#This Row],[Articulo]])</f>
        <v>#VALUE!</v>
      </c>
      <c r="Q373" s="23" t="e">
        <f>_xlfn.XLOOKUP(Tabla1[[#This Row],[Ean Normalizado]],Consumos!A:A,Consumos!E:E)</f>
        <v>#VALUE!</v>
      </c>
      <c r="R373" s="22" t="e">
        <f>_xlfn.XLOOKUP(Tabla1[[#This Row],[Ean Normalizado]],tabla_consumos[EAN],tabla_consumos[UM])</f>
        <v>#VALUE!</v>
      </c>
      <c r="S373" s="22" t="e">
        <f>Tabla1[[#This Row],[StockDisp]]*Tabla1[[#This Row],[UM producto]]</f>
        <v>#VALUE!</v>
      </c>
    </row>
    <row r="374" spans="1:19" x14ac:dyDescent="0.35">
      <c r="A374" s="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6"/>
      <c r="P374" s="23" t="e">
        <f>TRIM(Tabla1[[#This Row],[Articulo]])</f>
        <v>#VALUE!</v>
      </c>
      <c r="Q374" s="23" t="e">
        <f>_xlfn.XLOOKUP(Tabla1[[#This Row],[Ean Normalizado]],Consumos!A:A,Consumos!E:E)</f>
        <v>#VALUE!</v>
      </c>
      <c r="R374" s="22" t="e">
        <f>_xlfn.XLOOKUP(Tabla1[[#This Row],[Ean Normalizado]],tabla_consumos[EAN],tabla_consumos[UM])</f>
        <v>#VALUE!</v>
      </c>
      <c r="S374" s="22" t="e">
        <f>Tabla1[[#This Row],[StockDisp]]*Tabla1[[#This Row],[UM producto]]</f>
        <v>#VALUE!</v>
      </c>
    </row>
    <row r="375" spans="1:19" x14ac:dyDescent="0.35">
      <c r="A375" s="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6"/>
      <c r="P375" s="23" t="e">
        <f>TRIM(Tabla1[[#This Row],[Articulo]])</f>
        <v>#VALUE!</v>
      </c>
      <c r="Q375" s="23" t="e">
        <f>_xlfn.XLOOKUP(Tabla1[[#This Row],[Ean Normalizado]],Consumos!A:A,Consumos!E:E)</f>
        <v>#VALUE!</v>
      </c>
      <c r="R375" s="22" t="e">
        <f>_xlfn.XLOOKUP(Tabla1[[#This Row],[Ean Normalizado]],tabla_consumos[EAN],tabla_consumos[UM])</f>
        <v>#VALUE!</v>
      </c>
      <c r="S375" s="22" t="e">
        <f>Tabla1[[#This Row],[StockDisp]]*Tabla1[[#This Row],[UM producto]]</f>
        <v>#VALUE!</v>
      </c>
    </row>
    <row r="376" spans="1:19" x14ac:dyDescent="0.35">
      <c r="A376" s="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6"/>
      <c r="P376" s="23" t="e">
        <f>TRIM(Tabla1[[#This Row],[Articulo]])</f>
        <v>#VALUE!</v>
      </c>
      <c r="Q376" s="23" t="e">
        <f>_xlfn.XLOOKUP(Tabla1[[#This Row],[Ean Normalizado]],Consumos!A:A,Consumos!E:E)</f>
        <v>#VALUE!</v>
      </c>
      <c r="R376" s="22" t="e">
        <f>_xlfn.XLOOKUP(Tabla1[[#This Row],[Ean Normalizado]],tabla_consumos[EAN],tabla_consumos[UM])</f>
        <v>#VALUE!</v>
      </c>
      <c r="S376" s="22" t="e">
        <f>Tabla1[[#This Row],[StockDisp]]*Tabla1[[#This Row],[UM producto]]</f>
        <v>#VALUE!</v>
      </c>
    </row>
    <row r="377" spans="1:19" x14ac:dyDescent="0.35">
      <c r="A377" s="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6"/>
      <c r="P377" s="23" t="e">
        <f>TRIM(Tabla1[[#This Row],[Articulo]])</f>
        <v>#VALUE!</v>
      </c>
      <c r="Q377" s="23" t="e">
        <f>_xlfn.XLOOKUP(Tabla1[[#This Row],[Ean Normalizado]],Consumos!A:A,Consumos!E:E)</f>
        <v>#VALUE!</v>
      </c>
      <c r="R377" s="22" t="e">
        <f>_xlfn.XLOOKUP(Tabla1[[#This Row],[Ean Normalizado]],tabla_consumos[EAN],tabla_consumos[UM])</f>
        <v>#VALUE!</v>
      </c>
      <c r="S377" s="22" t="e">
        <f>Tabla1[[#This Row],[StockDisp]]*Tabla1[[#This Row],[UM producto]]</f>
        <v>#VALUE!</v>
      </c>
    </row>
    <row r="378" spans="1:19" x14ac:dyDescent="0.35">
      <c r="A378" s="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6"/>
      <c r="P378" s="23" t="e">
        <f>TRIM(Tabla1[[#This Row],[Articulo]])</f>
        <v>#VALUE!</v>
      </c>
      <c r="Q378" s="23" t="e">
        <f>_xlfn.XLOOKUP(Tabla1[[#This Row],[Ean Normalizado]],Consumos!A:A,Consumos!E:E)</f>
        <v>#VALUE!</v>
      </c>
      <c r="R378" s="22" t="e">
        <f>_xlfn.XLOOKUP(Tabla1[[#This Row],[Ean Normalizado]],tabla_consumos[EAN],tabla_consumos[UM])</f>
        <v>#VALUE!</v>
      </c>
      <c r="S378" s="22" t="e">
        <f>Tabla1[[#This Row],[StockDisp]]*Tabla1[[#This Row],[UM producto]]</f>
        <v>#VALUE!</v>
      </c>
    </row>
    <row r="379" spans="1:19" x14ac:dyDescent="0.35">
      <c r="A379" s="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6"/>
      <c r="P379" s="23" t="e">
        <f>TRIM(Tabla1[[#This Row],[Articulo]])</f>
        <v>#VALUE!</v>
      </c>
      <c r="Q379" s="23" t="e">
        <f>_xlfn.XLOOKUP(Tabla1[[#This Row],[Ean Normalizado]],Consumos!A:A,Consumos!E:E)</f>
        <v>#VALUE!</v>
      </c>
      <c r="R379" s="22" t="e">
        <f>_xlfn.XLOOKUP(Tabla1[[#This Row],[Ean Normalizado]],tabla_consumos[EAN],tabla_consumos[UM])</f>
        <v>#VALUE!</v>
      </c>
      <c r="S379" s="22" t="e">
        <f>Tabla1[[#This Row],[StockDisp]]*Tabla1[[#This Row],[UM producto]]</f>
        <v>#VALUE!</v>
      </c>
    </row>
    <row r="380" spans="1:19" x14ac:dyDescent="0.35">
      <c r="A380" s="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6"/>
      <c r="P380" s="23" t="e">
        <f>TRIM(Tabla1[[#This Row],[Articulo]])</f>
        <v>#VALUE!</v>
      </c>
      <c r="Q380" s="23" t="e">
        <f>_xlfn.XLOOKUP(Tabla1[[#This Row],[Ean Normalizado]],Consumos!A:A,Consumos!E:E)</f>
        <v>#VALUE!</v>
      </c>
      <c r="R380" s="22" t="e">
        <f>_xlfn.XLOOKUP(Tabla1[[#This Row],[Ean Normalizado]],tabla_consumos[EAN],tabla_consumos[UM])</f>
        <v>#VALUE!</v>
      </c>
      <c r="S380" s="22" t="e">
        <f>Tabla1[[#This Row],[StockDisp]]*Tabla1[[#This Row],[UM producto]]</f>
        <v>#VALUE!</v>
      </c>
    </row>
    <row r="381" spans="1:19" x14ac:dyDescent="0.35">
      <c r="A381" s="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6"/>
      <c r="P381" s="23" t="e">
        <f>TRIM(Tabla1[[#This Row],[Articulo]])</f>
        <v>#VALUE!</v>
      </c>
      <c r="Q381" s="23" t="e">
        <f>_xlfn.XLOOKUP(Tabla1[[#This Row],[Ean Normalizado]],Consumos!A:A,Consumos!E:E)</f>
        <v>#VALUE!</v>
      </c>
      <c r="R381" s="22" t="e">
        <f>_xlfn.XLOOKUP(Tabla1[[#This Row],[Ean Normalizado]],tabla_consumos[EAN],tabla_consumos[UM])</f>
        <v>#VALUE!</v>
      </c>
      <c r="S381" s="22" t="e">
        <f>Tabla1[[#This Row],[StockDisp]]*Tabla1[[#This Row],[UM producto]]</f>
        <v>#VALUE!</v>
      </c>
    </row>
    <row r="382" spans="1:19" x14ac:dyDescent="0.35">
      <c r="A382" s="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6"/>
      <c r="P382" s="23" t="e">
        <f>TRIM(Tabla1[[#This Row],[Articulo]])</f>
        <v>#VALUE!</v>
      </c>
      <c r="Q382" s="23" t="e">
        <f>_xlfn.XLOOKUP(Tabla1[[#This Row],[Ean Normalizado]],Consumos!A:A,Consumos!E:E)</f>
        <v>#VALUE!</v>
      </c>
      <c r="R382" s="22" t="e">
        <f>_xlfn.XLOOKUP(Tabla1[[#This Row],[Ean Normalizado]],tabla_consumos[EAN],tabla_consumos[UM])</f>
        <v>#VALUE!</v>
      </c>
      <c r="S382" s="22" t="e">
        <f>Tabla1[[#This Row],[StockDisp]]*Tabla1[[#This Row],[UM producto]]</f>
        <v>#VALUE!</v>
      </c>
    </row>
    <row r="383" spans="1:19" x14ac:dyDescent="0.35">
      <c r="A383" s="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6"/>
      <c r="P383" s="23" t="e">
        <f>TRIM(Tabla1[[#This Row],[Articulo]])</f>
        <v>#VALUE!</v>
      </c>
      <c r="Q383" s="23" t="e">
        <f>_xlfn.XLOOKUP(Tabla1[[#This Row],[Ean Normalizado]],Consumos!A:A,Consumos!E:E)</f>
        <v>#VALUE!</v>
      </c>
      <c r="R383" s="22" t="e">
        <f>_xlfn.XLOOKUP(Tabla1[[#This Row],[Ean Normalizado]],tabla_consumos[EAN],tabla_consumos[UM])</f>
        <v>#VALUE!</v>
      </c>
      <c r="S383" s="22" t="e">
        <f>Tabla1[[#This Row],[StockDisp]]*Tabla1[[#This Row],[UM producto]]</f>
        <v>#VALUE!</v>
      </c>
    </row>
    <row r="384" spans="1:19" x14ac:dyDescent="0.35">
      <c r="A384" s="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6"/>
      <c r="P384" s="23" t="e">
        <f>TRIM(Tabla1[[#This Row],[Articulo]])</f>
        <v>#VALUE!</v>
      </c>
      <c r="Q384" s="23" t="e">
        <f>_xlfn.XLOOKUP(Tabla1[[#This Row],[Ean Normalizado]],Consumos!A:A,Consumos!E:E)</f>
        <v>#VALUE!</v>
      </c>
      <c r="R384" s="22" t="e">
        <f>_xlfn.XLOOKUP(Tabla1[[#This Row],[Ean Normalizado]],tabla_consumos[EAN],tabla_consumos[UM])</f>
        <v>#VALUE!</v>
      </c>
      <c r="S384" s="22" t="e">
        <f>Tabla1[[#This Row],[StockDisp]]*Tabla1[[#This Row],[UM producto]]</f>
        <v>#VALUE!</v>
      </c>
    </row>
    <row r="385" spans="1:19" x14ac:dyDescent="0.35">
      <c r="A385" s="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6"/>
      <c r="P385" s="23" t="e">
        <f>TRIM(Tabla1[[#This Row],[Articulo]])</f>
        <v>#VALUE!</v>
      </c>
      <c r="Q385" s="23" t="e">
        <f>_xlfn.XLOOKUP(Tabla1[[#This Row],[Ean Normalizado]],Consumos!A:A,Consumos!E:E)</f>
        <v>#VALUE!</v>
      </c>
      <c r="R385" s="22" t="e">
        <f>_xlfn.XLOOKUP(Tabla1[[#This Row],[Ean Normalizado]],tabla_consumos[EAN],tabla_consumos[UM])</f>
        <v>#VALUE!</v>
      </c>
      <c r="S385" s="22" t="e">
        <f>Tabla1[[#This Row],[StockDisp]]*Tabla1[[#This Row],[UM producto]]</f>
        <v>#VALUE!</v>
      </c>
    </row>
    <row r="386" spans="1:19" x14ac:dyDescent="0.35">
      <c r="A386" s="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6"/>
      <c r="P386" s="23" t="e">
        <f>TRIM(Tabla1[[#This Row],[Articulo]])</f>
        <v>#VALUE!</v>
      </c>
      <c r="Q386" s="23" t="e">
        <f>_xlfn.XLOOKUP(Tabla1[[#This Row],[Ean Normalizado]],Consumos!A:A,Consumos!E:E)</f>
        <v>#VALUE!</v>
      </c>
      <c r="R386" s="22" t="e">
        <f>_xlfn.XLOOKUP(Tabla1[[#This Row],[Ean Normalizado]],tabla_consumos[EAN],tabla_consumos[UM])</f>
        <v>#VALUE!</v>
      </c>
      <c r="S386" s="22" t="e">
        <f>Tabla1[[#This Row],[StockDisp]]*Tabla1[[#This Row],[UM producto]]</f>
        <v>#VALUE!</v>
      </c>
    </row>
    <row r="387" spans="1:19" x14ac:dyDescent="0.35">
      <c r="A387" s="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6"/>
      <c r="P387" s="23" t="e">
        <f>TRIM(Tabla1[[#This Row],[Articulo]])</f>
        <v>#VALUE!</v>
      </c>
      <c r="Q387" s="23" t="e">
        <f>_xlfn.XLOOKUP(Tabla1[[#This Row],[Ean Normalizado]],Consumos!A:A,Consumos!E:E)</f>
        <v>#VALUE!</v>
      </c>
      <c r="R387" s="22" t="e">
        <f>_xlfn.XLOOKUP(Tabla1[[#This Row],[Ean Normalizado]],tabla_consumos[EAN],tabla_consumos[UM])</f>
        <v>#VALUE!</v>
      </c>
      <c r="S387" s="22" t="e">
        <f>Tabla1[[#This Row],[StockDisp]]*Tabla1[[#This Row],[UM producto]]</f>
        <v>#VALUE!</v>
      </c>
    </row>
    <row r="388" spans="1:19" x14ac:dyDescent="0.35">
      <c r="A388" s="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6"/>
      <c r="P388" s="23" t="e">
        <f>TRIM(Tabla1[[#This Row],[Articulo]])</f>
        <v>#VALUE!</v>
      </c>
      <c r="Q388" s="23" t="e">
        <f>_xlfn.XLOOKUP(Tabla1[[#This Row],[Ean Normalizado]],Consumos!A:A,Consumos!E:E)</f>
        <v>#VALUE!</v>
      </c>
      <c r="R388" s="22" t="e">
        <f>_xlfn.XLOOKUP(Tabla1[[#This Row],[Ean Normalizado]],tabla_consumos[EAN],tabla_consumos[UM])</f>
        <v>#VALUE!</v>
      </c>
      <c r="S388" s="22" t="e">
        <f>Tabla1[[#This Row],[StockDisp]]*Tabla1[[#This Row],[UM producto]]</f>
        <v>#VALUE!</v>
      </c>
    </row>
    <row r="389" spans="1:19" x14ac:dyDescent="0.35">
      <c r="A389" s="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6"/>
      <c r="P389" s="23" t="e">
        <f>TRIM(Tabla1[[#This Row],[Articulo]])</f>
        <v>#VALUE!</v>
      </c>
      <c r="Q389" s="23" t="e">
        <f>_xlfn.XLOOKUP(Tabla1[[#This Row],[Ean Normalizado]],Consumos!A:A,Consumos!E:E)</f>
        <v>#VALUE!</v>
      </c>
      <c r="R389" s="22" t="e">
        <f>_xlfn.XLOOKUP(Tabla1[[#This Row],[Ean Normalizado]],tabla_consumos[EAN],tabla_consumos[UM])</f>
        <v>#VALUE!</v>
      </c>
      <c r="S389" s="22" t="e">
        <f>Tabla1[[#This Row],[StockDisp]]*Tabla1[[#This Row],[UM producto]]</f>
        <v>#VALUE!</v>
      </c>
    </row>
    <row r="390" spans="1:19" x14ac:dyDescent="0.35">
      <c r="A390" s="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6"/>
      <c r="P390" s="23" t="e">
        <f>TRIM(Tabla1[[#This Row],[Articulo]])</f>
        <v>#VALUE!</v>
      </c>
      <c r="Q390" s="23" t="e">
        <f>_xlfn.XLOOKUP(Tabla1[[#This Row],[Ean Normalizado]],Consumos!A:A,Consumos!E:E)</f>
        <v>#VALUE!</v>
      </c>
      <c r="R390" s="22" t="e">
        <f>_xlfn.XLOOKUP(Tabla1[[#This Row],[Ean Normalizado]],tabla_consumos[EAN],tabla_consumos[UM])</f>
        <v>#VALUE!</v>
      </c>
      <c r="S390" s="22" t="e">
        <f>Tabla1[[#This Row],[StockDisp]]*Tabla1[[#This Row],[UM producto]]</f>
        <v>#VALUE!</v>
      </c>
    </row>
    <row r="391" spans="1:19" x14ac:dyDescent="0.35">
      <c r="A391" s="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6"/>
      <c r="P391" s="23" t="e">
        <f>TRIM(Tabla1[[#This Row],[Articulo]])</f>
        <v>#VALUE!</v>
      </c>
      <c r="Q391" s="23" t="e">
        <f>_xlfn.XLOOKUP(Tabla1[[#This Row],[Ean Normalizado]],Consumos!A:A,Consumos!E:E)</f>
        <v>#VALUE!</v>
      </c>
      <c r="R391" s="22" t="e">
        <f>_xlfn.XLOOKUP(Tabla1[[#This Row],[Ean Normalizado]],tabla_consumos[EAN],tabla_consumos[UM])</f>
        <v>#VALUE!</v>
      </c>
      <c r="S391" s="22" t="e">
        <f>Tabla1[[#This Row],[StockDisp]]*Tabla1[[#This Row],[UM producto]]</f>
        <v>#VALUE!</v>
      </c>
    </row>
    <row r="392" spans="1:19" x14ac:dyDescent="0.35">
      <c r="A392" s="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6"/>
      <c r="P392" s="23" t="e">
        <f>TRIM(Tabla1[[#This Row],[Articulo]])</f>
        <v>#VALUE!</v>
      </c>
      <c r="Q392" s="23" t="e">
        <f>_xlfn.XLOOKUP(Tabla1[[#This Row],[Ean Normalizado]],Consumos!A:A,Consumos!E:E)</f>
        <v>#VALUE!</v>
      </c>
      <c r="R392" s="22" t="e">
        <f>_xlfn.XLOOKUP(Tabla1[[#This Row],[Ean Normalizado]],tabla_consumos[EAN],tabla_consumos[UM])</f>
        <v>#VALUE!</v>
      </c>
      <c r="S392" s="22" t="e">
        <f>Tabla1[[#This Row],[StockDisp]]*Tabla1[[#This Row],[UM producto]]</f>
        <v>#VALUE!</v>
      </c>
    </row>
    <row r="393" spans="1:19" x14ac:dyDescent="0.35">
      <c r="A393" s="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6"/>
      <c r="P393" s="23" t="e">
        <f>TRIM(Tabla1[[#This Row],[Articulo]])</f>
        <v>#VALUE!</v>
      </c>
      <c r="Q393" s="23" t="e">
        <f>_xlfn.XLOOKUP(Tabla1[[#This Row],[Ean Normalizado]],Consumos!A:A,Consumos!E:E)</f>
        <v>#VALUE!</v>
      </c>
      <c r="R393" s="22" t="e">
        <f>_xlfn.XLOOKUP(Tabla1[[#This Row],[Ean Normalizado]],tabla_consumos[EAN],tabla_consumos[UM])</f>
        <v>#VALUE!</v>
      </c>
      <c r="S393" s="22" t="e">
        <f>Tabla1[[#This Row],[StockDisp]]*Tabla1[[#This Row],[UM producto]]</f>
        <v>#VALUE!</v>
      </c>
    </row>
    <row r="394" spans="1:19" x14ac:dyDescent="0.35">
      <c r="A394" s="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6"/>
      <c r="P394" s="23" t="e">
        <f>TRIM(Tabla1[[#This Row],[Articulo]])</f>
        <v>#VALUE!</v>
      </c>
      <c r="Q394" s="23" t="e">
        <f>_xlfn.XLOOKUP(Tabla1[[#This Row],[Ean Normalizado]],Consumos!A:A,Consumos!E:E)</f>
        <v>#VALUE!</v>
      </c>
      <c r="R394" s="22" t="e">
        <f>_xlfn.XLOOKUP(Tabla1[[#This Row],[Ean Normalizado]],tabla_consumos[EAN],tabla_consumos[UM])</f>
        <v>#VALUE!</v>
      </c>
      <c r="S394" s="22" t="e">
        <f>Tabla1[[#This Row],[StockDisp]]*Tabla1[[#This Row],[UM producto]]</f>
        <v>#VALUE!</v>
      </c>
    </row>
    <row r="395" spans="1:19" x14ac:dyDescent="0.35">
      <c r="A395" s="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6"/>
      <c r="P395" s="23" t="e">
        <f>TRIM(Tabla1[[#This Row],[Articulo]])</f>
        <v>#VALUE!</v>
      </c>
      <c r="Q395" s="23" t="e">
        <f>_xlfn.XLOOKUP(Tabla1[[#This Row],[Ean Normalizado]],Consumos!A:A,Consumos!E:E)</f>
        <v>#VALUE!</v>
      </c>
      <c r="R395" s="22" t="e">
        <f>_xlfn.XLOOKUP(Tabla1[[#This Row],[Ean Normalizado]],tabla_consumos[EAN],tabla_consumos[UM])</f>
        <v>#VALUE!</v>
      </c>
      <c r="S395" s="22" t="e">
        <f>Tabla1[[#This Row],[StockDisp]]*Tabla1[[#This Row],[UM producto]]</f>
        <v>#VALUE!</v>
      </c>
    </row>
    <row r="396" spans="1:19" x14ac:dyDescent="0.35">
      <c r="A396" s="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6"/>
      <c r="P396" s="23" t="e">
        <f>TRIM(Tabla1[[#This Row],[Articulo]])</f>
        <v>#VALUE!</v>
      </c>
      <c r="Q396" s="23" t="e">
        <f>_xlfn.XLOOKUP(Tabla1[[#This Row],[Ean Normalizado]],Consumos!A:A,Consumos!E:E)</f>
        <v>#VALUE!</v>
      </c>
      <c r="R396" s="22" t="e">
        <f>_xlfn.XLOOKUP(Tabla1[[#This Row],[Ean Normalizado]],tabla_consumos[EAN],tabla_consumos[UM])</f>
        <v>#VALUE!</v>
      </c>
      <c r="S396" s="22" t="e">
        <f>Tabla1[[#This Row],[StockDisp]]*Tabla1[[#This Row],[UM producto]]</f>
        <v>#VALUE!</v>
      </c>
    </row>
    <row r="397" spans="1:19" x14ac:dyDescent="0.35">
      <c r="A397" s="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6"/>
      <c r="P397" s="23" t="e">
        <f>TRIM(Tabla1[[#This Row],[Articulo]])</f>
        <v>#VALUE!</v>
      </c>
      <c r="Q397" s="23" t="e">
        <f>_xlfn.XLOOKUP(Tabla1[[#This Row],[Ean Normalizado]],Consumos!A:A,Consumos!E:E)</f>
        <v>#VALUE!</v>
      </c>
      <c r="R397" s="22" t="e">
        <f>_xlfn.XLOOKUP(Tabla1[[#This Row],[Ean Normalizado]],tabla_consumos[EAN],tabla_consumos[UM])</f>
        <v>#VALUE!</v>
      </c>
      <c r="S397" s="22" t="e">
        <f>Tabla1[[#This Row],[StockDisp]]*Tabla1[[#This Row],[UM producto]]</f>
        <v>#VALUE!</v>
      </c>
    </row>
    <row r="398" spans="1:19" x14ac:dyDescent="0.35">
      <c r="A398" s="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6"/>
      <c r="P398" s="23" t="e">
        <f>TRIM(Tabla1[[#This Row],[Articulo]])</f>
        <v>#VALUE!</v>
      </c>
      <c r="Q398" s="23" t="e">
        <f>_xlfn.XLOOKUP(Tabla1[[#This Row],[Ean Normalizado]],Consumos!A:A,Consumos!E:E)</f>
        <v>#VALUE!</v>
      </c>
      <c r="R398" s="22" t="e">
        <f>_xlfn.XLOOKUP(Tabla1[[#This Row],[Ean Normalizado]],tabla_consumos[EAN],tabla_consumos[UM])</f>
        <v>#VALUE!</v>
      </c>
      <c r="S398" s="22" t="e">
        <f>Tabla1[[#This Row],[StockDisp]]*Tabla1[[#This Row],[UM producto]]</f>
        <v>#VALUE!</v>
      </c>
    </row>
    <row r="399" spans="1:19" x14ac:dyDescent="0.35">
      <c r="A399" s="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6"/>
      <c r="P399" s="23" t="e">
        <f>TRIM(Tabla1[[#This Row],[Articulo]])</f>
        <v>#VALUE!</v>
      </c>
      <c r="Q399" s="23" t="e">
        <f>_xlfn.XLOOKUP(Tabla1[[#This Row],[Ean Normalizado]],Consumos!A:A,Consumos!E:E)</f>
        <v>#VALUE!</v>
      </c>
      <c r="R399" s="22" t="e">
        <f>_xlfn.XLOOKUP(Tabla1[[#This Row],[Ean Normalizado]],tabla_consumos[EAN],tabla_consumos[UM])</f>
        <v>#VALUE!</v>
      </c>
      <c r="S399" s="22" t="e">
        <f>Tabla1[[#This Row],[StockDisp]]*Tabla1[[#This Row],[UM producto]]</f>
        <v>#VALUE!</v>
      </c>
    </row>
    <row r="400" spans="1:19" x14ac:dyDescent="0.35">
      <c r="A400" s="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6"/>
      <c r="P400" s="23" t="e">
        <f>TRIM(Tabla1[[#This Row],[Articulo]])</f>
        <v>#VALUE!</v>
      </c>
      <c r="Q400" s="23" t="e">
        <f>_xlfn.XLOOKUP(Tabla1[[#This Row],[Ean Normalizado]],Consumos!A:A,Consumos!E:E)</f>
        <v>#VALUE!</v>
      </c>
      <c r="R400" s="22" t="e">
        <f>_xlfn.XLOOKUP(Tabla1[[#This Row],[Ean Normalizado]],tabla_consumos[EAN],tabla_consumos[UM])</f>
        <v>#VALUE!</v>
      </c>
      <c r="S400" s="22" t="e">
        <f>Tabla1[[#This Row],[StockDisp]]*Tabla1[[#This Row],[UM producto]]</f>
        <v>#VALUE!</v>
      </c>
    </row>
    <row r="401" spans="1:19" x14ac:dyDescent="0.35">
      <c r="A401" s="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6"/>
      <c r="P401" s="23" t="e">
        <f>TRIM(Tabla1[[#This Row],[Articulo]])</f>
        <v>#VALUE!</v>
      </c>
      <c r="Q401" s="23" t="e">
        <f>_xlfn.XLOOKUP(Tabla1[[#This Row],[Ean Normalizado]],Consumos!A:A,Consumos!E:E)</f>
        <v>#VALUE!</v>
      </c>
      <c r="R401" s="22" t="e">
        <f>_xlfn.XLOOKUP(Tabla1[[#This Row],[Ean Normalizado]],tabla_consumos[EAN],tabla_consumos[UM])</f>
        <v>#VALUE!</v>
      </c>
      <c r="S401" s="22" t="e">
        <f>Tabla1[[#This Row],[StockDisp]]*Tabla1[[#This Row],[UM producto]]</f>
        <v>#VALUE!</v>
      </c>
    </row>
    <row r="402" spans="1:19" x14ac:dyDescent="0.35">
      <c r="A402" s="5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6"/>
      <c r="P402" s="23" t="e">
        <f>TRIM(Tabla1[[#This Row],[Articulo]])</f>
        <v>#VALUE!</v>
      </c>
      <c r="Q402" s="23" t="e">
        <f>_xlfn.XLOOKUP(Tabla1[[#This Row],[Ean Normalizado]],Consumos!A:A,Consumos!E:E)</f>
        <v>#VALUE!</v>
      </c>
      <c r="R402" s="22" t="e">
        <f>_xlfn.XLOOKUP(Tabla1[[#This Row],[Ean Normalizado]],tabla_consumos[EAN],tabla_consumos[UM])</f>
        <v>#VALUE!</v>
      </c>
      <c r="S402" s="22" t="e">
        <f>Tabla1[[#This Row],[StockDisp]]*Tabla1[[#This Row],[UM producto]]</f>
        <v>#VALUE!</v>
      </c>
    </row>
    <row r="403" spans="1:19" x14ac:dyDescent="0.35">
      <c r="A403" s="5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6"/>
      <c r="P403" s="23" t="e">
        <f>TRIM(Tabla1[[#This Row],[Articulo]])</f>
        <v>#VALUE!</v>
      </c>
      <c r="Q403" s="23" t="e">
        <f>_xlfn.XLOOKUP(Tabla1[[#This Row],[Ean Normalizado]],Consumos!A:A,Consumos!E:E)</f>
        <v>#VALUE!</v>
      </c>
      <c r="R403" s="22" t="e">
        <f>_xlfn.XLOOKUP(Tabla1[[#This Row],[Ean Normalizado]],tabla_consumos[EAN],tabla_consumos[UM])</f>
        <v>#VALUE!</v>
      </c>
      <c r="S403" s="22" t="e">
        <f>Tabla1[[#This Row],[StockDisp]]*Tabla1[[#This Row],[UM producto]]</f>
        <v>#VALUE!</v>
      </c>
    </row>
    <row r="404" spans="1:19" x14ac:dyDescent="0.35">
      <c r="A404" s="5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6"/>
      <c r="P404" s="23" t="e">
        <f>TRIM(Tabla1[[#This Row],[Articulo]])</f>
        <v>#VALUE!</v>
      </c>
      <c r="Q404" s="23" t="e">
        <f>_xlfn.XLOOKUP(Tabla1[[#This Row],[Ean Normalizado]],Consumos!A:A,Consumos!E:E)</f>
        <v>#VALUE!</v>
      </c>
      <c r="R404" s="22" t="e">
        <f>_xlfn.XLOOKUP(Tabla1[[#This Row],[Ean Normalizado]],tabla_consumos[EAN],tabla_consumos[UM])</f>
        <v>#VALUE!</v>
      </c>
      <c r="S404" s="22" t="e">
        <f>Tabla1[[#This Row],[StockDisp]]*Tabla1[[#This Row],[UM producto]]</f>
        <v>#VALUE!</v>
      </c>
    </row>
    <row r="405" spans="1:19" x14ac:dyDescent="0.35">
      <c r="A405" s="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6"/>
      <c r="P405" s="23" t="e">
        <f>TRIM(Tabla1[[#This Row],[Articulo]])</f>
        <v>#VALUE!</v>
      </c>
      <c r="Q405" s="23" t="e">
        <f>_xlfn.XLOOKUP(Tabla1[[#This Row],[Ean Normalizado]],Consumos!A:A,Consumos!E:E)</f>
        <v>#VALUE!</v>
      </c>
      <c r="R405" s="22" t="e">
        <f>_xlfn.XLOOKUP(Tabla1[[#This Row],[Ean Normalizado]],tabla_consumos[EAN],tabla_consumos[UM])</f>
        <v>#VALUE!</v>
      </c>
      <c r="S405" s="22" t="e">
        <f>Tabla1[[#This Row],[StockDisp]]*Tabla1[[#This Row],[UM producto]]</f>
        <v>#VALUE!</v>
      </c>
    </row>
    <row r="406" spans="1:19" x14ac:dyDescent="0.35">
      <c r="A406" s="5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6"/>
      <c r="P406" s="23" t="e">
        <f>TRIM(Tabla1[[#This Row],[Articulo]])</f>
        <v>#VALUE!</v>
      </c>
      <c r="Q406" s="23" t="e">
        <f>_xlfn.XLOOKUP(Tabla1[[#This Row],[Ean Normalizado]],Consumos!A:A,Consumos!E:E)</f>
        <v>#VALUE!</v>
      </c>
      <c r="R406" s="22" t="e">
        <f>_xlfn.XLOOKUP(Tabla1[[#This Row],[Ean Normalizado]],tabla_consumos[EAN],tabla_consumos[UM])</f>
        <v>#VALUE!</v>
      </c>
      <c r="S406" s="22" t="e">
        <f>Tabla1[[#This Row],[StockDisp]]*Tabla1[[#This Row],[UM producto]]</f>
        <v>#VALUE!</v>
      </c>
    </row>
    <row r="407" spans="1:19" x14ac:dyDescent="0.35">
      <c r="A407" s="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6"/>
      <c r="P407" s="23" t="e">
        <f>TRIM(Tabla1[[#This Row],[Articulo]])</f>
        <v>#VALUE!</v>
      </c>
      <c r="Q407" s="23" t="e">
        <f>_xlfn.XLOOKUP(Tabla1[[#This Row],[Ean Normalizado]],Consumos!A:A,Consumos!E:E)</f>
        <v>#VALUE!</v>
      </c>
      <c r="R407" s="22" t="e">
        <f>_xlfn.XLOOKUP(Tabla1[[#This Row],[Ean Normalizado]],tabla_consumos[EAN],tabla_consumos[UM])</f>
        <v>#VALUE!</v>
      </c>
      <c r="S407" s="22" t="e">
        <f>Tabla1[[#This Row],[StockDisp]]*Tabla1[[#This Row],[UM producto]]</f>
        <v>#VALUE!</v>
      </c>
    </row>
    <row r="408" spans="1:19" x14ac:dyDescent="0.35">
      <c r="A408" s="5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6"/>
      <c r="P408" s="23" t="e">
        <f>TRIM(Tabla1[[#This Row],[Articulo]])</f>
        <v>#VALUE!</v>
      </c>
      <c r="Q408" s="23" t="e">
        <f>_xlfn.XLOOKUP(Tabla1[[#This Row],[Ean Normalizado]],Consumos!A:A,Consumos!E:E)</f>
        <v>#VALUE!</v>
      </c>
      <c r="R408" s="22" t="e">
        <f>_xlfn.XLOOKUP(Tabla1[[#This Row],[Ean Normalizado]],tabla_consumos[EAN],tabla_consumos[UM])</f>
        <v>#VALUE!</v>
      </c>
      <c r="S408" s="22" t="e">
        <f>Tabla1[[#This Row],[StockDisp]]*Tabla1[[#This Row],[UM producto]]</f>
        <v>#VALUE!</v>
      </c>
    </row>
    <row r="409" spans="1:19" x14ac:dyDescent="0.35">
      <c r="A409" s="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6"/>
      <c r="P409" s="23" t="e">
        <f>TRIM(Tabla1[[#This Row],[Articulo]])</f>
        <v>#VALUE!</v>
      </c>
      <c r="Q409" s="23" t="e">
        <f>_xlfn.XLOOKUP(Tabla1[[#This Row],[Ean Normalizado]],Consumos!A:A,Consumos!E:E)</f>
        <v>#VALUE!</v>
      </c>
      <c r="R409" s="22" t="e">
        <f>_xlfn.XLOOKUP(Tabla1[[#This Row],[Ean Normalizado]],tabla_consumos[EAN],tabla_consumos[UM])</f>
        <v>#VALUE!</v>
      </c>
      <c r="S409" s="22" t="e">
        <f>Tabla1[[#This Row],[StockDisp]]*Tabla1[[#This Row],[UM producto]]</f>
        <v>#VALUE!</v>
      </c>
    </row>
    <row r="410" spans="1:19" x14ac:dyDescent="0.35">
      <c r="A410" s="5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6"/>
      <c r="P410" s="23" t="e">
        <f>TRIM(Tabla1[[#This Row],[Articulo]])</f>
        <v>#VALUE!</v>
      </c>
      <c r="Q410" s="23" t="e">
        <f>_xlfn.XLOOKUP(Tabla1[[#This Row],[Ean Normalizado]],Consumos!A:A,Consumos!E:E)</f>
        <v>#VALUE!</v>
      </c>
      <c r="R410" s="22" t="e">
        <f>_xlfn.XLOOKUP(Tabla1[[#This Row],[Ean Normalizado]],tabla_consumos[EAN],tabla_consumos[UM])</f>
        <v>#VALUE!</v>
      </c>
      <c r="S410" s="22" t="e">
        <f>Tabla1[[#This Row],[StockDisp]]*Tabla1[[#This Row],[UM producto]]</f>
        <v>#VALUE!</v>
      </c>
    </row>
    <row r="411" spans="1:19" x14ac:dyDescent="0.35">
      <c r="A411" s="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6"/>
      <c r="P411" s="23" t="e">
        <f>TRIM(Tabla1[[#This Row],[Articulo]])</f>
        <v>#VALUE!</v>
      </c>
      <c r="Q411" s="23" t="e">
        <f>_xlfn.XLOOKUP(Tabla1[[#This Row],[Ean Normalizado]],Consumos!A:A,Consumos!E:E)</f>
        <v>#VALUE!</v>
      </c>
      <c r="R411" s="22" t="e">
        <f>_xlfn.XLOOKUP(Tabla1[[#This Row],[Ean Normalizado]],tabla_consumos[EAN],tabla_consumos[UM])</f>
        <v>#VALUE!</v>
      </c>
      <c r="S411" s="22" t="e">
        <f>Tabla1[[#This Row],[StockDisp]]*Tabla1[[#This Row],[UM producto]]</f>
        <v>#VALUE!</v>
      </c>
    </row>
    <row r="412" spans="1:19" x14ac:dyDescent="0.35">
      <c r="A412" s="5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6"/>
      <c r="P412" s="23" t="e">
        <f>TRIM(Tabla1[[#This Row],[Articulo]])</f>
        <v>#VALUE!</v>
      </c>
      <c r="Q412" s="23" t="e">
        <f>_xlfn.XLOOKUP(Tabla1[[#This Row],[Ean Normalizado]],Consumos!A:A,Consumos!E:E)</f>
        <v>#VALUE!</v>
      </c>
      <c r="R412" s="22" t="e">
        <f>_xlfn.XLOOKUP(Tabla1[[#This Row],[Ean Normalizado]],tabla_consumos[EAN],tabla_consumos[UM])</f>
        <v>#VALUE!</v>
      </c>
      <c r="S412" s="22" t="e">
        <f>Tabla1[[#This Row],[StockDisp]]*Tabla1[[#This Row],[UM producto]]</f>
        <v>#VALUE!</v>
      </c>
    </row>
    <row r="413" spans="1:19" x14ac:dyDescent="0.35">
      <c r="A413" s="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6"/>
      <c r="P413" s="23" t="e">
        <f>TRIM(Tabla1[[#This Row],[Articulo]])</f>
        <v>#VALUE!</v>
      </c>
      <c r="Q413" s="23" t="e">
        <f>_xlfn.XLOOKUP(Tabla1[[#This Row],[Ean Normalizado]],Consumos!A:A,Consumos!E:E)</f>
        <v>#VALUE!</v>
      </c>
      <c r="R413" s="22" t="e">
        <f>_xlfn.XLOOKUP(Tabla1[[#This Row],[Ean Normalizado]],tabla_consumos[EAN],tabla_consumos[UM])</f>
        <v>#VALUE!</v>
      </c>
      <c r="S413" s="22" t="e">
        <f>Tabla1[[#This Row],[StockDisp]]*Tabla1[[#This Row],[UM producto]]</f>
        <v>#VALUE!</v>
      </c>
    </row>
    <row r="414" spans="1:19" x14ac:dyDescent="0.35">
      <c r="A414" s="5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6"/>
      <c r="P414" s="23" t="e">
        <f>TRIM(Tabla1[[#This Row],[Articulo]])</f>
        <v>#VALUE!</v>
      </c>
      <c r="Q414" s="23" t="e">
        <f>_xlfn.XLOOKUP(Tabla1[[#This Row],[Ean Normalizado]],Consumos!A:A,Consumos!E:E)</f>
        <v>#VALUE!</v>
      </c>
      <c r="R414" s="22" t="e">
        <f>_xlfn.XLOOKUP(Tabla1[[#This Row],[Ean Normalizado]],tabla_consumos[EAN],tabla_consumos[UM])</f>
        <v>#VALUE!</v>
      </c>
      <c r="S414" s="22" t="e">
        <f>Tabla1[[#This Row],[StockDisp]]*Tabla1[[#This Row],[UM producto]]</f>
        <v>#VALUE!</v>
      </c>
    </row>
    <row r="415" spans="1:19" x14ac:dyDescent="0.35">
      <c r="A415" s="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6"/>
      <c r="P415" s="23" t="e">
        <f>TRIM(Tabla1[[#This Row],[Articulo]])</f>
        <v>#VALUE!</v>
      </c>
      <c r="Q415" s="23" t="e">
        <f>_xlfn.XLOOKUP(Tabla1[[#This Row],[Ean Normalizado]],Consumos!A:A,Consumos!E:E)</f>
        <v>#VALUE!</v>
      </c>
      <c r="R415" s="22" t="e">
        <f>_xlfn.XLOOKUP(Tabla1[[#This Row],[Ean Normalizado]],tabla_consumos[EAN],tabla_consumos[UM])</f>
        <v>#VALUE!</v>
      </c>
      <c r="S415" s="22" t="e">
        <f>Tabla1[[#This Row],[StockDisp]]*Tabla1[[#This Row],[UM producto]]</f>
        <v>#VALUE!</v>
      </c>
    </row>
    <row r="416" spans="1:19" x14ac:dyDescent="0.35">
      <c r="A416" s="5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6"/>
      <c r="P416" s="23" t="e">
        <f>TRIM(Tabla1[[#This Row],[Articulo]])</f>
        <v>#VALUE!</v>
      </c>
      <c r="Q416" s="23" t="e">
        <f>_xlfn.XLOOKUP(Tabla1[[#This Row],[Ean Normalizado]],Consumos!A:A,Consumos!E:E)</f>
        <v>#VALUE!</v>
      </c>
      <c r="R416" s="22" t="e">
        <f>_xlfn.XLOOKUP(Tabla1[[#This Row],[Ean Normalizado]],tabla_consumos[EAN],tabla_consumos[UM])</f>
        <v>#VALUE!</v>
      </c>
      <c r="S416" s="22" t="e">
        <f>Tabla1[[#This Row],[StockDisp]]*Tabla1[[#This Row],[UM producto]]</f>
        <v>#VALUE!</v>
      </c>
    </row>
    <row r="417" spans="1:19" x14ac:dyDescent="0.35">
      <c r="A417" s="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6"/>
      <c r="P417" s="23" t="e">
        <f>TRIM(Tabla1[[#This Row],[Articulo]])</f>
        <v>#VALUE!</v>
      </c>
      <c r="Q417" s="23" t="e">
        <f>_xlfn.XLOOKUP(Tabla1[[#This Row],[Ean Normalizado]],Consumos!A:A,Consumos!E:E)</f>
        <v>#VALUE!</v>
      </c>
      <c r="R417" s="22" t="e">
        <f>_xlfn.XLOOKUP(Tabla1[[#This Row],[Ean Normalizado]],tabla_consumos[EAN],tabla_consumos[UM])</f>
        <v>#VALUE!</v>
      </c>
      <c r="S417" s="22" t="e">
        <f>Tabla1[[#This Row],[StockDisp]]*Tabla1[[#This Row],[UM producto]]</f>
        <v>#VALUE!</v>
      </c>
    </row>
    <row r="418" spans="1:19" x14ac:dyDescent="0.35">
      <c r="A418" s="5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6"/>
      <c r="P418" s="23" t="e">
        <f>TRIM(Tabla1[[#This Row],[Articulo]])</f>
        <v>#VALUE!</v>
      </c>
      <c r="Q418" s="23" t="e">
        <f>_xlfn.XLOOKUP(Tabla1[[#This Row],[Ean Normalizado]],Consumos!A:A,Consumos!E:E)</f>
        <v>#VALUE!</v>
      </c>
      <c r="R418" s="22" t="e">
        <f>_xlfn.XLOOKUP(Tabla1[[#This Row],[Ean Normalizado]],tabla_consumos[EAN],tabla_consumos[UM])</f>
        <v>#VALUE!</v>
      </c>
      <c r="S418" s="22" t="e">
        <f>Tabla1[[#This Row],[StockDisp]]*Tabla1[[#This Row],[UM producto]]</f>
        <v>#VALUE!</v>
      </c>
    </row>
    <row r="419" spans="1:19" x14ac:dyDescent="0.35">
      <c r="A419" s="5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6"/>
      <c r="P419" s="23" t="e">
        <f>TRIM(Tabla1[[#This Row],[Articulo]])</f>
        <v>#VALUE!</v>
      </c>
      <c r="Q419" s="23" t="e">
        <f>_xlfn.XLOOKUP(Tabla1[[#This Row],[Ean Normalizado]],Consumos!A:A,Consumos!E:E)</f>
        <v>#VALUE!</v>
      </c>
      <c r="R419" s="22" t="e">
        <f>_xlfn.XLOOKUP(Tabla1[[#This Row],[Ean Normalizado]],tabla_consumos[EAN],tabla_consumos[UM])</f>
        <v>#VALUE!</v>
      </c>
      <c r="S419" s="22" t="e">
        <f>Tabla1[[#This Row],[StockDisp]]*Tabla1[[#This Row],[UM producto]]</f>
        <v>#VALUE!</v>
      </c>
    </row>
    <row r="420" spans="1:19" x14ac:dyDescent="0.35">
      <c r="A420" s="5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6"/>
      <c r="P420" s="23" t="e">
        <f>TRIM(Tabla1[[#This Row],[Articulo]])</f>
        <v>#VALUE!</v>
      </c>
      <c r="Q420" s="23" t="e">
        <f>_xlfn.XLOOKUP(Tabla1[[#This Row],[Ean Normalizado]],Consumos!A:A,Consumos!E:E)</f>
        <v>#VALUE!</v>
      </c>
      <c r="R420" s="22" t="e">
        <f>_xlfn.XLOOKUP(Tabla1[[#This Row],[Ean Normalizado]],tabla_consumos[EAN],tabla_consumos[UM])</f>
        <v>#VALUE!</v>
      </c>
      <c r="S420" s="22" t="e">
        <f>Tabla1[[#This Row],[StockDisp]]*Tabla1[[#This Row],[UM producto]]</f>
        <v>#VALUE!</v>
      </c>
    </row>
    <row r="421" spans="1:19" x14ac:dyDescent="0.35">
      <c r="A421" s="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6"/>
      <c r="P421" s="23" t="e">
        <f>TRIM(Tabla1[[#This Row],[Articulo]])</f>
        <v>#VALUE!</v>
      </c>
      <c r="Q421" s="23" t="e">
        <f>_xlfn.XLOOKUP(Tabla1[[#This Row],[Ean Normalizado]],Consumos!A:A,Consumos!E:E)</f>
        <v>#VALUE!</v>
      </c>
      <c r="R421" s="22" t="e">
        <f>_xlfn.XLOOKUP(Tabla1[[#This Row],[Ean Normalizado]],tabla_consumos[EAN],tabla_consumos[UM])</f>
        <v>#VALUE!</v>
      </c>
      <c r="S421" s="22" t="e">
        <f>Tabla1[[#This Row],[StockDisp]]*Tabla1[[#This Row],[UM producto]]</f>
        <v>#VALUE!</v>
      </c>
    </row>
    <row r="422" spans="1:19" x14ac:dyDescent="0.35">
      <c r="A422" s="5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6"/>
      <c r="P422" s="23" t="e">
        <f>TRIM(Tabla1[[#This Row],[Articulo]])</f>
        <v>#VALUE!</v>
      </c>
      <c r="Q422" s="23" t="e">
        <f>_xlfn.XLOOKUP(Tabla1[[#This Row],[Ean Normalizado]],Consumos!A:A,Consumos!E:E)</f>
        <v>#VALUE!</v>
      </c>
      <c r="R422" s="22" t="e">
        <f>_xlfn.XLOOKUP(Tabla1[[#This Row],[Ean Normalizado]],tabla_consumos[EAN],tabla_consumos[UM])</f>
        <v>#VALUE!</v>
      </c>
      <c r="S422" s="22" t="e">
        <f>Tabla1[[#This Row],[StockDisp]]*Tabla1[[#This Row],[UM producto]]</f>
        <v>#VALUE!</v>
      </c>
    </row>
    <row r="423" spans="1:19" x14ac:dyDescent="0.35">
      <c r="A423" s="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6"/>
      <c r="P423" s="23" t="e">
        <f>TRIM(Tabla1[[#This Row],[Articulo]])</f>
        <v>#VALUE!</v>
      </c>
      <c r="Q423" s="23" t="e">
        <f>_xlfn.XLOOKUP(Tabla1[[#This Row],[Ean Normalizado]],Consumos!A:A,Consumos!E:E)</f>
        <v>#VALUE!</v>
      </c>
      <c r="R423" s="22" t="e">
        <f>_xlfn.XLOOKUP(Tabla1[[#This Row],[Ean Normalizado]],tabla_consumos[EAN],tabla_consumos[UM])</f>
        <v>#VALUE!</v>
      </c>
      <c r="S423" s="22" t="e">
        <f>Tabla1[[#This Row],[StockDisp]]*Tabla1[[#This Row],[UM producto]]</f>
        <v>#VALUE!</v>
      </c>
    </row>
    <row r="424" spans="1:19" x14ac:dyDescent="0.35">
      <c r="A424" s="5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6"/>
      <c r="P424" s="23" t="e">
        <f>TRIM(Tabla1[[#This Row],[Articulo]])</f>
        <v>#VALUE!</v>
      </c>
      <c r="Q424" s="23" t="e">
        <f>_xlfn.XLOOKUP(Tabla1[[#This Row],[Ean Normalizado]],Consumos!A:A,Consumos!E:E)</f>
        <v>#VALUE!</v>
      </c>
      <c r="R424" s="22" t="e">
        <f>_xlfn.XLOOKUP(Tabla1[[#This Row],[Ean Normalizado]],tabla_consumos[EAN],tabla_consumos[UM])</f>
        <v>#VALUE!</v>
      </c>
      <c r="S424" s="22" t="e">
        <f>Tabla1[[#This Row],[StockDisp]]*Tabla1[[#This Row],[UM producto]]</f>
        <v>#VALUE!</v>
      </c>
    </row>
    <row r="425" spans="1:19" x14ac:dyDescent="0.35">
      <c r="A425" s="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6"/>
      <c r="P425" s="23" t="e">
        <f>TRIM(Tabla1[[#This Row],[Articulo]])</f>
        <v>#VALUE!</v>
      </c>
      <c r="Q425" s="23" t="e">
        <f>_xlfn.XLOOKUP(Tabla1[[#This Row],[Ean Normalizado]],Consumos!A:A,Consumos!E:E)</f>
        <v>#VALUE!</v>
      </c>
      <c r="R425" s="22" t="e">
        <f>_xlfn.XLOOKUP(Tabla1[[#This Row],[Ean Normalizado]],tabla_consumos[EAN],tabla_consumos[UM])</f>
        <v>#VALUE!</v>
      </c>
      <c r="S425" s="22" t="e">
        <f>Tabla1[[#This Row],[StockDisp]]*Tabla1[[#This Row],[UM producto]]</f>
        <v>#VALUE!</v>
      </c>
    </row>
    <row r="426" spans="1:19" x14ac:dyDescent="0.35">
      <c r="A426" s="5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6"/>
      <c r="P426" s="23" t="e">
        <f>TRIM(Tabla1[[#This Row],[Articulo]])</f>
        <v>#VALUE!</v>
      </c>
      <c r="Q426" s="23" t="e">
        <f>_xlfn.XLOOKUP(Tabla1[[#This Row],[Ean Normalizado]],Consumos!A:A,Consumos!E:E)</f>
        <v>#VALUE!</v>
      </c>
      <c r="R426" s="22" t="e">
        <f>_xlfn.XLOOKUP(Tabla1[[#This Row],[Ean Normalizado]],tabla_consumos[EAN],tabla_consumos[UM])</f>
        <v>#VALUE!</v>
      </c>
      <c r="S426" s="22" t="e">
        <f>Tabla1[[#This Row],[StockDisp]]*Tabla1[[#This Row],[UM producto]]</f>
        <v>#VALUE!</v>
      </c>
    </row>
    <row r="427" spans="1:19" x14ac:dyDescent="0.35">
      <c r="A427" s="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6"/>
      <c r="P427" s="23" t="e">
        <f>TRIM(Tabla1[[#This Row],[Articulo]])</f>
        <v>#VALUE!</v>
      </c>
      <c r="Q427" s="23" t="e">
        <f>_xlfn.XLOOKUP(Tabla1[[#This Row],[Ean Normalizado]],Consumos!A:A,Consumos!E:E)</f>
        <v>#VALUE!</v>
      </c>
      <c r="R427" s="22" t="e">
        <f>_xlfn.XLOOKUP(Tabla1[[#This Row],[Ean Normalizado]],tabla_consumos[EAN],tabla_consumos[UM])</f>
        <v>#VALUE!</v>
      </c>
      <c r="S427" s="22" t="e">
        <f>Tabla1[[#This Row],[StockDisp]]*Tabla1[[#This Row],[UM producto]]</f>
        <v>#VALUE!</v>
      </c>
    </row>
    <row r="428" spans="1:19" x14ac:dyDescent="0.35">
      <c r="A428" s="5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6"/>
      <c r="P428" s="23" t="e">
        <f>TRIM(Tabla1[[#This Row],[Articulo]])</f>
        <v>#VALUE!</v>
      </c>
      <c r="Q428" s="23" t="e">
        <f>_xlfn.XLOOKUP(Tabla1[[#This Row],[Ean Normalizado]],Consumos!A:A,Consumos!E:E)</f>
        <v>#VALUE!</v>
      </c>
      <c r="R428" s="22" t="e">
        <f>_xlfn.XLOOKUP(Tabla1[[#This Row],[Ean Normalizado]],tabla_consumos[EAN],tabla_consumos[UM])</f>
        <v>#VALUE!</v>
      </c>
      <c r="S428" s="22" t="e">
        <f>Tabla1[[#This Row],[StockDisp]]*Tabla1[[#This Row],[UM producto]]</f>
        <v>#VALUE!</v>
      </c>
    </row>
    <row r="429" spans="1:19" x14ac:dyDescent="0.35">
      <c r="A429" s="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6"/>
      <c r="P429" s="23" t="e">
        <f>TRIM(Tabla1[[#This Row],[Articulo]])</f>
        <v>#VALUE!</v>
      </c>
      <c r="Q429" s="23" t="e">
        <f>_xlfn.XLOOKUP(Tabla1[[#This Row],[Ean Normalizado]],Consumos!A:A,Consumos!E:E)</f>
        <v>#VALUE!</v>
      </c>
      <c r="R429" s="22" t="e">
        <f>_xlfn.XLOOKUP(Tabla1[[#This Row],[Ean Normalizado]],tabla_consumos[EAN],tabla_consumos[UM])</f>
        <v>#VALUE!</v>
      </c>
      <c r="S429" s="22" t="e">
        <f>Tabla1[[#This Row],[StockDisp]]*Tabla1[[#This Row],[UM producto]]</f>
        <v>#VALUE!</v>
      </c>
    </row>
    <row r="430" spans="1:19" x14ac:dyDescent="0.35">
      <c r="A430" s="5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6"/>
      <c r="P430" s="23" t="e">
        <f>TRIM(Tabla1[[#This Row],[Articulo]])</f>
        <v>#VALUE!</v>
      </c>
      <c r="Q430" s="23" t="e">
        <f>_xlfn.XLOOKUP(Tabla1[[#This Row],[Ean Normalizado]],Consumos!A:A,Consumos!E:E)</f>
        <v>#VALUE!</v>
      </c>
      <c r="R430" s="22" t="e">
        <f>_xlfn.XLOOKUP(Tabla1[[#This Row],[Ean Normalizado]],tabla_consumos[EAN],tabla_consumos[UM])</f>
        <v>#VALUE!</v>
      </c>
      <c r="S430" s="22" t="e">
        <f>Tabla1[[#This Row],[StockDisp]]*Tabla1[[#This Row],[UM producto]]</f>
        <v>#VALUE!</v>
      </c>
    </row>
    <row r="431" spans="1:19" x14ac:dyDescent="0.35">
      <c r="A431" s="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6"/>
      <c r="P431" s="23" t="e">
        <f>TRIM(Tabla1[[#This Row],[Articulo]])</f>
        <v>#VALUE!</v>
      </c>
      <c r="Q431" s="23" t="e">
        <f>_xlfn.XLOOKUP(Tabla1[[#This Row],[Ean Normalizado]],Consumos!A:A,Consumos!E:E)</f>
        <v>#VALUE!</v>
      </c>
      <c r="R431" s="22" t="e">
        <f>_xlfn.XLOOKUP(Tabla1[[#This Row],[Ean Normalizado]],tabla_consumos[EAN],tabla_consumos[UM])</f>
        <v>#VALUE!</v>
      </c>
      <c r="S431" s="22" t="e">
        <f>Tabla1[[#This Row],[StockDisp]]*Tabla1[[#This Row],[UM producto]]</f>
        <v>#VALUE!</v>
      </c>
    </row>
    <row r="432" spans="1:19" x14ac:dyDescent="0.35">
      <c r="A432" s="5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6"/>
      <c r="P432" s="23" t="e">
        <f>TRIM(Tabla1[[#This Row],[Articulo]])</f>
        <v>#VALUE!</v>
      </c>
      <c r="Q432" s="23" t="e">
        <f>_xlfn.XLOOKUP(Tabla1[[#This Row],[Ean Normalizado]],Consumos!A:A,Consumos!E:E)</f>
        <v>#VALUE!</v>
      </c>
      <c r="R432" s="22" t="e">
        <f>_xlfn.XLOOKUP(Tabla1[[#This Row],[Ean Normalizado]],tabla_consumos[EAN],tabla_consumos[UM])</f>
        <v>#VALUE!</v>
      </c>
      <c r="S432" s="22" t="e">
        <f>Tabla1[[#This Row],[StockDisp]]*Tabla1[[#This Row],[UM producto]]</f>
        <v>#VALUE!</v>
      </c>
    </row>
    <row r="433" spans="1:19" x14ac:dyDescent="0.35">
      <c r="A433" s="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6"/>
      <c r="P433" s="23" t="e">
        <f>TRIM(Tabla1[[#This Row],[Articulo]])</f>
        <v>#VALUE!</v>
      </c>
      <c r="Q433" s="23" t="e">
        <f>_xlfn.XLOOKUP(Tabla1[[#This Row],[Ean Normalizado]],Consumos!A:A,Consumos!E:E)</f>
        <v>#VALUE!</v>
      </c>
      <c r="R433" s="22" t="e">
        <f>_xlfn.XLOOKUP(Tabla1[[#This Row],[Ean Normalizado]],tabla_consumos[EAN],tabla_consumos[UM])</f>
        <v>#VALUE!</v>
      </c>
      <c r="S433" s="22" t="e">
        <f>Tabla1[[#This Row],[StockDisp]]*Tabla1[[#This Row],[UM producto]]</f>
        <v>#VALUE!</v>
      </c>
    </row>
    <row r="434" spans="1:19" x14ac:dyDescent="0.35">
      <c r="A434" s="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6"/>
      <c r="P434" s="23" t="e">
        <f>TRIM(Tabla1[[#This Row],[Articulo]])</f>
        <v>#VALUE!</v>
      </c>
      <c r="Q434" s="23" t="e">
        <f>_xlfn.XLOOKUP(Tabla1[[#This Row],[Ean Normalizado]],Consumos!A:A,Consumos!E:E)</f>
        <v>#VALUE!</v>
      </c>
      <c r="R434" s="22" t="e">
        <f>_xlfn.XLOOKUP(Tabla1[[#This Row],[Ean Normalizado]],tabla_consumos[EAN],tabla_consumos[UM])</f>
        <v>#VALUE!</v>
      </c>
      <c r="S434" s="22" t="e">
        <f>Tabla1[[#This Row],[StockDisp]]*Tabla1[[#This Row],[UM producto]]</f>
        <v>#VALUE!</v>
      </c>
    </row>
    <row r="435" spans="1:19" x14ac:dyDescent="0.35">
      <c r="A435" s="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6"/>
      <c r="P435" s="23" t="e">
        <f>TRIM(Tabla1[[#This Row],[Articulo]])</f>
        <v>#VALUE!</v>
      </c>
      <c r="Q435" s="23" t="e">
        <f>_xlfn.XLOOKUP(Tabla1[[#This Row],[Ean Normalizado]],Consumos!A:A,Consumos!E:E)</f>
        <v>#VALUE!</v>
      </c>
      <c r="R435" s="22" t="e">
        <f>_xlfn.XLOOKUP(Tabla1[[#This Row],[Ean Normalizado]],tabla_consumos[EAN],tabla_consumos[UM])</f>
        <v>#VALUE!</v>
      </c>
      <c r="S435" s="22" t="e">
        <f>Tabla1[[#This Row],[StockDisp]]*Tabla1[[#This Row],[UM producto]]</f>
        <v>#VALUE!</v>
      </c>
    </row>
    <row r="436" spans="1:19" x14ac:dyDescent="0.35">
      <c r="A436" s="5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6"/>
      <c r="P436" s="23" t="e">
        <f>TRIM(Tabla1[[#This Row],[Articulo]])</f>
        <v>#VALUE!</v>
      </c>
      <c r="Q436" s="23" t="e">
        <f>_xlfn.XLOOKUP(Tabla1[[#This Row],[Ean Normalizado]],Consumos!A:A,Consumos!E:E)</f>
        <v>#VALUE!</v>
      </c>
      <c r="R436" s="22" t="e">
        <f>_xlfn.XLOOKUP(Tabla1[[#This Row],[Ean Normalizado]],tabla_consumos[EAN],tabla_consumos[UM])</f>
        <v>#VALUE!</v>
      </c>
      <c r="S436" s="22" t="e">
        <f>Tabla1[[#This Row],[StockDisp]]*Tabla1[[#This Row],[UM producto]]</f>
        <v>#VALUE!</v>
      </c>
    </row>
    <row r="437" spans="1:19" x14ac:dyDescent="0.35">
      <c r="A437" s="5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6"/>
      <c r="P437" s="23" t="e">
        <f>TRIM(Tabla1[[#This Row],[Articulo]])</f>
        <v>#VALUE!</v>
      </c>
      <c r="Q437" s="23" t="e">
        <f>_xlfn.XLOOKUP(Tabla1[[#This Row],[Ean Normalizado]],Consumos!A:A,Consumos!E:E)</f>
        <v>#VALUE!</v>
      </c>
      <c r="R437" s="22" t="e">
        <f>_xlfn.XLOOKUP(Tabla1[[#This Row],[Ean Normalizado]],tabla_consumos[EAN],tabla_consumos[UM])</f>
        <v>#VALUE!</v>
      </c>
      <c r="S437" s="22" t="e">
        <f>Tabla1[[#This Row],[StockDisp]]*Tabla1[[#This Row],[UM producto]]</f>
        <v>#VALUE!</v>
      </c>
    </row>
    <row r="438" spans="1:19" x14ac:dyDescent="0.35">
      <c r="A438" s="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6"/>
      <c r="P438" s="23" t="e">
        <f>TRIM(Tabla1[[#This Row],[Articulo]])</f>
        <v>#VALUE!</v>
      </c>
      <c r="Q438" s="23" t="e">
        <f>_xlfn.XLOOKUP(Tabla1[[#This Row],[Ean Normalizado]],Consumos!A:A,Consumos!E:E)</f>
        <v>#VALUE!</v>
      </c>
      <c r="R438" s="22" t="e">
        <f>_xlfn.XLOOKUP(Tabla1[[#This Row],[Ean Normalizado]],tabla_consumos[EAN],tabla_consumos[UM])</f>
        <v>#VALUE!</v>
      </c>
      <c r="S438" s="22" t="e">
        <f>Tabla1[[#This Row],[StockDisp]]*Tabla1[[#This Row],[UM producto]]</f>
        <v>#VALUE!</v>
      </c>
    </row>
    <row r="439" spans="1:19" x14ac:dyDescent="0.35">
      <c r="A439" s="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6"/>
      <c r="P439" s="23" t="e">
        <f>TRIM(Tabla1[[#This Row],[Articulo]])</f>
        <v>#VALUE!</v>
      </c>
      <c r="Q439" s="23" t="e">
        <f>_xlfn.XLOOKUP(Tabla1[[#This Row],[Ean Normalizado]],Consumos!A:A,Consumos!E:E)</f>
        <v>#VALUE!</v>
      </c>
      <c r="R439" s="22" t="e">
        <f>_xlfn.XLOOKUP(Tabla1[[#This Row],[Ean Normalizado]],tabla_consumos[EAN],tabla_consumos[UM])</f>
        <v>#VALUE!</v>
      </c>
      <c r="S439" s="22" t="e">
        <f>Tabla1[[#This Row],[StockDisp]]*Tabla1[[#This Row],[UM producto]]</f>
        <v>#VALUE!</v>
      </c>
    </row>
    <row r="440" spans="1:19" x14ac:dyDescent="0.35">
      <c r="A440" s="5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6"/>
      <c r="P440" s="23" t="e">
        <f>TRIM(Tabla1[[#This Row],[Articulo]])</f>
        <v>#VALUE!</v>
      </c>
      <c r="Q440" s="23" t="e">
        <f>_xlfn.XLOOKUP(Tabla1[[#This Row],[Ean Normalizado]],Consumos!A:A,Consumos!E:E)</f>
        <v>#VALUE!</v>
      </c>
      <c r="R440" s="22" t="e">
        <f>_xlfn.XLOOKUP(Tabla1[[#This Row],[Ean Normalizado]],tabla_consumos[EAN],tabla_consumos[UM])</f>
        <v>#VALUE!</v>
      </c>
      <c r="S440" s="22" t="e">
        <f>Tabla1[[#This Row],[StockDisp]]*Tabla1[[#This Row],[UM producto]]</f>
        <v>#VALUE!</v>
      </c>
    </row>
    <row r="441" spans="1:19" x14ac:dyDescent="0.35">
      <c r="A441" s="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6"/>
      <c r="P441" s="23" t="e">
        <f>TRIM(Tabla1[[#This Row],[Articulo]])</f>
        <v>#VALUE!</v>
      </c>
      <c r="Q441" s="23" t="e">
        <f>_xlfn.XLOOKUP(Tabla1[[#This Row],[Ean Normalizado]],Consumos!A:A,Consumos!E:E)</f>
        <v>#VALUE!</v>
      </c>
      <c r="R441" s="22" t="e">
        <f>_xlfn.XLOOKUP(Tabla1[[#This Row],[Ean Normalizado]],tabla_consumos[EAN],tabla_consumos[UM])</f>
        <v>#VALUE!</v>
      </c>
      <c r="S441" s="22" t="e">
        <f>Tabla1[[#This Row],[StockDisp]]*Tabla1[[#This Row],[UM producto]]</f>
        <v>#VALUE!</v>
      </c>
    </row>
    <row r="442" spans="1:19" x14ac:dyDescent="0.35">
      <c r="A442" s="5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6"/>
      <c r="P442" s="23" t="e">
        <f>TRIM(Tabla1[[#This Row],[Articulo]])</f>
        <v>#VALUE!</v>
      </c>
      <c r="Q442" s="23" t="e">
        <f>_xlfn.XLOOKUP(Tabla1[[#This Row],[Ean Normalizado]],Consumos!A:A,Consumos!E:E)</f>
        <v>#VALUE!</v>
      </c>
      <c r="R442" s="22" t="e">
        <f>_xlfn.XLOOKUP(Tabla1[[#This Row],[Ean Normalizado]],tabla_consumos[EAN],tabla_consumos[UM])</f>
        <v>#VALUE!</v>
      </c>
      <c r="S442" s="22" t="e">
        <f>Tabla1[[#This Row],[StockDisp]]*Tabla1[[#This Row],[UM producto]]</f>
        <v>#VALUE!</v>
      </c>
    </row>
    <row r="443" spans="1:19" x14ac:dyDescent="0.35">
      <c r="A443" s="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6"/>
      <c r="P443" s="23" t="e">
        <f>TRIM(Tabla1[[#This Row],[Articulo]])</f>
        <v>#VALUE!</v>
      </c>
      <c r="Q443" s="23" t="e">
        <f>_xlfn.XLOOKUP(Tabla1[[#This Row],[Ean Normalizado]],Consumos!A:A,Consumos!E:E)</f>
        <v>#VALUE!</v>
      </c>
      <c r="R443" s="22" t="e">
        <f>_xlfn.XLOOKUP(Tabla1[[#This Row],[Ean Normalizado]],tabla_consumos[EAN],tabla_consumos[UM])</f>
        <v>#VALUE!</v>
      </c>
      <c r="S443" s="22" t="e">
        <f>Tabla1[[#This Row],[StockDisp]]*Tabla1[[#This Row],[UM producto]]</f>
        <v>#VALUE!</v>
      </c>
    </row>
    <row r="444" spans="1:19" x14ac:dyDescent="0.35">
      <c r="A444" s="5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6"/>
      <c r="P444" s="23" t="e">
        <f>TRIM(Tabla1[[#This Row],[Articulo]])</f>
        <v>#VALUE!</v>
      </c>
      <c r="Q444" s="23" t="e">
        <f>_xlfn.XLOOKUP(Tabla1[[#This Row],[Ean Normalizado]],Consumos!A:A,Consumos!E:E)</f>
        <v>#VALUE!</v>
      </c>
      <c r="R444" s="22" t="e">
        <f>_xlfn.XLOOKUP(Tabla1[[#This Row],[Ean Normalizado]],tabla_consumos[EAN],tabla_consumos[UM])</f>
        <v>#VALUE!</v>
      </c>
      <c r="S444" s="22" t="e">
        <f>Tabla1[[#This Row],[StockDisp]]*Tabla1[[#This Row],[UM producto]]</f>
        <v>#VALUE!</v>
      </c>
    </row>
    <row r="445" spans="1:19" x14ac:dyDescent="0.35">
      <c r="A445" s="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6"/>
      <c r="P445" s="23" t="e">
        <f>TRIM(Tabla1[[#This Row],[Articulo]])</f>
        <v>#VALUE!</v>
      </c>
      <c r="Q445" s="23" t="e">
        <f>_xlfn.XLOOKUP(Tabla1[[#This Row],[Ean Normalizado]],Consumos!A:A,Consumos!E:E)</f>
        <v>#VALUE!</v>
      </c>
      <c r="R445" s="22" t="e">
        <f>_xlfn.XLOOKUP(Tabla1[[#This Row],[Ean Normalizado]],tabla_consumos[EAN],tabla_consumos[UM])</f>
        <v>#VALUE!</v>
      </c>
      <c r="S445" s="22" t="e">
        <f>Tabla1[[#This Row],[StockDisp]]*Tabla1[[#This Row],[UM producto]]</f>
        <v>#VALUE!</v>
      </c>
    </row>
    <row r="446" spans="1:19" x14ac:dyDescent="0.35">
      <c r="A446" s="5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6"/>
      <c r="P446" s="23" t="e">
        <f>TRIM(Tabla1[[#This Row],[Articulo]])</f>
        <v>#VALUE!</v>
      </c>
      <c r="Q446" s="23" t="e">
        <f>_xlfn.XLOOKUP(Tabla1[[#This Row],[Ean Normalizado]],Consumos!A:A,Consumos!E:E)</f>
        <v>#VALUE!</v>
      </c>
      <c r="R446" s="22" t="e">
        <f>_xlfn.XLOOKUP(Tabla1[[#This Row],[Ean Normalizado]],tabla_consumos[EAN],tabla_consumos[UM])</f>
        <v>#VALUE!</v>
      </c>
      <c r="S446" s="22" t="e">
        <f>Tabla1[[#This Row],[StockDisp]]*Tabla1[[#This Row],[UM producto]]</f>
        <v>#VALUE!</v>
      </c>
    </row>
    <row r="447" spans="1:19" x14ac:dyDescent="0.35">
      <c r="A447" s="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6"/>
      <c r="P447" s="23" t="e">
        <f>TRIM(Tabla1[[#This Row],[Articulo]])</f>
        <v>#VALUE!</v>
      </c>
      <c r="Q447" s="23" t="e">
        <f>_xlfn.XLOOKUP(Tabla1[[#This Row],[Ean Normalizado]],Consumos!A:A,Consumos!E:E)</f>
        <v>#VALUE!</v>
      </c>
      <c r="R447" s="22" t="e">
        <f>_xlfn.XLOOKUP(Tabla1[[#This Row],[Ean Normalizado]],tabla_consumos[EAN],tabla_consumos[UM])</f>
        <v>#VALUE!</v>
      </c>
      <c r="S447" s="22" t="e">
        <f>Tabla1[[#This Row],[StockDisp]]*Tabla1[[#This Row],[UM producto]]</f>
        <v>#VALUE!</v>
      </c>
    </row>
    <row r="448" spans="1:19" x14ac:dyDescent="0.35">
      <c r="A448" s="5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6"/>
      <c r="P448" s="23" t="e">
        <f>TRIM(Tabla1[[#This Row],[Articulo]])</f>
        <v>#VALUE!</v>
      </c>
      <c r="Q448" s="23" t="e">
        <f>_xlfn.XLOOKUP(Tabla1[[#This Row],[Ean Normalizado]],Consumos!A:A,Consumos!E:E)</f>
        <v>#VALUE!</v>
      </c>
      <c r="R448" s="22" t="e">
        <f>_xlfn.XLOOKUP(Tabla1[[#This Row],[Ean Normalizado]],tabla_consumos[EAN],tabla_consumos[UM])</f>
        <v>#VALUE!</v>
      </c>
      <c r="S448" s="22" t="e">
        <f>Tabla1[[#This Row],[StockDisp]]*Tabla1[[#This Row],[UM producto]]</f>
        <v>#VALUE!</v>
      </c>
    </row>
    <row r="449" spans="1:19" x14ac:dyDescent="0.35">
      <c r="A449" s="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6"/>
      <c r="P449" s="23" t="e">
        <f>TRIM(Tabla1[[#This Row],[Articulo]])</f>
        <v>#VALUE!</v>
      </c>
      <c r="Q449" s="23" t="e">
        <f>_xlfn.XLOOKUP(Tabla1[[#This Row],[Ean Normalizado]],Consumos!A:A,Consumos!E:E)</f>
        <v>#VALUE!</v>
      </c>
      <c r="R449" s="22" t="e">
        <f>_xlfn.XLOOKUP(Tabla1[[#This Row],[Ean Normalizado]],tabla_consumos[EAN],tabla_consumos[UM])</f>
        <v>#VALUE!</v>
      </c>
      <c r="S449" s="22" t="e">
        <f>Tabla1[[#This Row],[StockDisp]]*Tabla1[[#This Row],[UM producto]]</f>
        <v>#VALUE!</v>
      </c>
    </row>
    <row r="450" spans="1:19" x14ac:dyDescent="0.35">
      <c r="A450" s="5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6"/>
      <c r="P450" s="23" t="e">
        <f>TRIM(Tabla1[[#This Row],[Articulo]])</f>
        <v>#VALUE!</v>
      </c>
      <c r="Q450" s="23" t="e">
        <f>_xlfn.XLOOKUP(Tabla1[[#This Row],[Ean Normalizado]],Consumos!A:A,Consumos!E:E)</f>
        <v>#VALUE!</v>
      </c>
      <c r="R450" s="22" t="e">
        <f>_xlfn.XLOOKUP(Tabla1[[#This Row],[Ean Normalizado]],tabla_consumos[EAN],tabla_consumos[UM])</f>
        <v>#VALUE!</v>
      </c>
      <c r="S450" s="22" t="e">
        <f>Tabla1[[#This Row],[StockDisp]]*Tabla1[[#This Row],[UM producto]]</f>
        <v>#VALUE!</v>
      </c>
    </row>
    <row r="451" spans="1:19" x14ac:dyDescent="0.35">
      <c r="A451" s="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6"/>
      <c r="P451" s="23" t="e">
        <f>TRIM(Tabla1[[#This Row],[Articulo]])</f>
        <v>#VALUE!</v>
      </c>
      <c r="Q451" s="23" t="e">
        <f>_xlfn.XLOOKUP(Tabla1[[#This Row],[Ean Normalizado]],Consumos!A:A,Consumos!E:E)</f>
        <v>#VALUE!</v>
      </c>
      <c r="R451" s="22" t="e">
        <f>_xlfn.XLOOKUP(Tabla1[[#This Row],[Ean Normalizado]],tabla_consumos[EAN],tabla_consumos[UM])</f>
        <v>#VALUE!</v>
      </c>
      <c r="S451" s="22" t="e">
        <f>Tabla1[[#This Row],[StockDisp]]*Tabla1[[#This Row],[UM producto]]</f>
        <v>#VALUE!</v>
      </c>
    </row>
    <row r="452" spans="1:19" x14ac:dyDescent="0.35">
      <c r="A452" s="5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6"/>
      <c r="P452" s="23" t="e">
        <f>TRIM(Tabla1[[#This Row],[Articulo]])</f>
        <v>#VALUE!</v>
      </c>
      <c r="Q452" s="23" t="e">
        <f>_xlfn.XLOOKUP(Tabla1[[#This Row],[Ean Normalizado]],Consumos!A:A,Consumos!E:E)</f>
        <v>#VALUE!</v>
      </c>
      <c r="R452" s="22" t="e">
        <f>_xlfn.XLOOKUP(Tabla1[[#This Row],[Ean Normalizado]],tabla_consumos[EAN],tabla_consumos[UM])</f>
        <v>#VALUE!</v>
      </c>
      <c r="S452" s="22" t="e">
        <f>Tabla1[[#This Row],[StockDisp]]*Tabla1[[#This Row],[UM producto]]</f>
        <v>#VALUE!</v>
      </c>
    </row>
    <row r="453" spans="1:19" x14ac:dyDescent="0.35">
      <c r="A453" s="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6"/>
      <c r="P453" s="23" t="e">
        <f>TRIM(Tabla1[[#This Row],[Articulo]])</f>
        <v>#VALUE!</v>
      </c>
      <c r="Q453" s="23" t="e">
        <f>_xlfn.XLOOKUP(Tabla1[[#This Row],[Ean Normalizado]],Consumos!A:A,Consumos!E:E)</f>
        <v>#VALUE!</v>
      </c>
      <c r="R453" s="22" t="e">
        <f>_xlfn.XLOOKUP(Tabla1[[#This Row],[Ean Normalizado]],tabla_consumos[EAN],tabla_consumos[UM])</f>
        <v>#VALUE!</v>
      </c>
      <c r="S453" s="22" t="e">
        <f>Tabla1[[#This Row],[StockDisp]]*Tabla1[[#This Row],[UM producto]]</f>
        <v>#VALUE!</v>
      </c>
    </row>
    <row r="454" spans="1:19" x14ac:dyDescent="0.35">
      <c r="A454" s="5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6"/>
      <c r="P454" s="23" t="e">
        <f>TRIM(Tabla1[[#This Row],[Articulo]])</f>
        <v>#VALUE!</v>
      </c>
      <c r="Q454" s="23" t="e">
        <f>_xlfn.XLOOKUP(Tabla1[[#This Row],[Ean Normalizado]],Consumos!A:A,Consumos!E:E)</f>
        <v>#VALUE!</v>
      </c>
      <c r="R454" s="22" t="e">
        <f>_xlfn.XLOOKUP(Tabla1[[#This Row],[Ean Normalizado]],tabla_consumos[EAN],tabla_consumos[UM])</f>
        <v>#VALUE!</v>
      </c>
      <c r="S454" s="22" t="e">
        <f>Tabla1[[#This Row],[StockDisp]]*Tabla1[[#This Row],[UM producto]]</f>
        <v>#VALUE!</v>
      </c>
    </row>
    <row r="455" spans="1:19" x14ac:dyDescent="0.35">
      <c r="A455" s="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6"/>
      <c r="P455" s="23" t="e">
        <f>TRIM(Tabla1[[#This Row],[Articulo]])</f>
        <v>#VALUE!</v>
      </c>
      <c r="Q455" s="23" t="e">
        <f>_xlfn.XLOOKUP(Tabla1[[#This Row],[Ean Normalizado]],Consumos!A:A,Consumos!E:E)</f>
        <v>#VALUE!</v>
      </c>
      <c r="R455" s="22" t="e">
        <f>_xlfn.XLOOKUP(Tabla1[[#This Row],[Ean Normalizado]],tabla_consumos[EAN],tabla_consumos[UM])</f>
        <v>#VALUE!</v>
      </c>
      <c r="S455" s="22" t="e">
        <f>Tabla1[[#This Row],[StockDisp]]*Tabla1[[#This Row],[UM producto]]</f>
        <v>#VALUE!</v>
      </c>
    </row>
    <row r="456" spans="1:19" x14ac:dyDescent="0.35">
      <c r="A456" s="5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6"/>
      <c r="P456" s="23" t="e">
        <f>TRIM(Tabla1[[#This Row],[Articulo]])</f>
        <v>#VALUE!</v>
      </c>
      <c r="Q456" s="23" t="e">
        <f>_xlfn.XLOOKUP(Tabla1[[#This Row],[Ean Normalizado]],Consumos!A:A,Consumos!E:E)</f>
        <v>#VALUE!</v>
      </c>
      <c r="R456" s="22" t="e">
        <f>_xlfn.XLOOKUP(Tabla1[[#This Row],[Ean Normalizado]],tabla_consumos[EAN],tabla_consumos[UM])</f>
        <v>#VALUE!</v>
      </c>
      <c r="S456" s="22" t="e">
        <f>Tabla1[[#This Row],[StockDisp]]*Tabla1[[#This Row],[UM producto]]</f>
        <v>#VALUE!</v>
      </c>
    </row>
    <row r="457" spans="1:19" x14ac:dyDescent="0.35">
      <c r="A457" s="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6"/>
      <c r="P457" s="23" t="e">
        <f>TRIM(Tabla1[[#This Row],[Articulo]])</f>
        <v>#VALUE!</v>
      </c>
      <c r="Q457" s="23" t="e">
        <f>_xlfn.XLOOKUP(Tabla1[[#This Row],[Ean Normalizado]],Consumos!A:A,Consumos!E:E)</f>
        <v>#VALUE!</v>
      </c>
      <c r="R457" s="22" t="e">
        <f>_xlfn.XLOOKUP(Tabla1[[#This Row],[Ean Normalizado]],tabla_consumos[EAN],tabla_consumos[UM])</f>
        <v>#VALUE!</v>
      </c>
      <c r="S457" s="22" t="e">
        <f>Tabla1[[#This Row],[StockDisp]]*Tabla1[[#This Row],[UM producto]]</f>
        <v>#VALUE!</v>
      </c>
    </row>
    <row r="458" spans="1:19" x14ac:dyDescent="0.35">
      <c r="A458" s="5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6"/>
      <c r="P458" s="23" t="e">
        <f>TRIM(Tabla1[[#This Row],[Articulo]])</f>
        <v>#VALUE!</v>
      </c>
      <c r="Q458" s="23" t="e">
        <f>_xlfn.XLOOKUP(Tabla1[[#This Row],[Ean Normalizado]],Consumos!A:A,Consumos!E:E)</f>
        <v>#VALUE!</v>
      </c>
      <c r="R458" s="22" t="e">
        <f>_xlfn.XLOOKUP(Tabla1[[#This Row],[Ean Normalizado]],tabla_consumos[EAN],tabla_consumos[UM])</f>
        <v>#VALUE!</v>
      </c>
      <c r="S458" s="22" t="e">
        <f>Tabla1[[#This Row],[StockDisp]]*Tabla1[[#This Row],[UM producto]]</f>
        <v>#VALUE!</v>
      </c>
    </row>
    <row r="459" spans="1:19" x14ac:dyDescent="0.35">
      <c r="A459" s="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6"/>
      <c r="P459" s="23" t="e">
        <f>TRIM(Tabla1[[#This Row],[Articulo]])</f>
        <v>#VALUE!</v>
      </c>
      <c r="Q459" s="23" t="e">
        <f>_xlfn.XLOOKUP(Tabla1[[#This Row],[Ean Normalizado]],Consumos!A:A,Consumos!E:E)</f>
        <v>#VALUE!</v>
      </c>
      <c r="R459" s="22" t="e">
        <f>_xlfn.XLOOKUP(Tabla1[[#This Row],[Ean Normalizado]],tabla_consumos[EAN],tabla_consumos[UM])</f>
        <v>#VALUE!</v>
      </c>
      <c r="S459" s="22" t="e">
        <f>Tabla1[[#This Row],[StockDisp]]*Tabla1[[#This Row],[UM producto]]</f>
        <v>#VALUE!</v>
      </c>
    </row>
    <row r="460" spans="1:19" x14ac:dyDescent="0.35">
      <c r="A460" s="5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6"/>
      <c r="P460" s="23" t="e">
        <f>TRIM(Tabla1[[#This Row],[Articulo]])</f>
        <v>#VALUE!</v>
      </c>
      <c r="Q460" s="23" t="e">
        <f>_xlfn.XLOOKUP(Tabla1[[#This Row],[Ean Normalizado]],Consumos!A:A,Consumos!E:E)</f>
        <v>#VALUE!</v>
      </c>
      <c r="R460" s="22" t="e">
        <f>_xlfn.XLOOKUP(Tabla1[[#This Row],[Ean Normalizado]],tabla_consumos[EAN],tabla_consumos[UM])</f>
        <v>#VALUE!</v>
      </c>
      <c r="S460" s="22" t="e">
        <f>Tabla1[[#This Row],[StockDisp]]*Tabla1[[#This Row],[UM producto]]</f>
        <v>#VALUE!</v>
      </c>
    </row>
    <row r="461" spans="1:19" x14ac:dyDescent="0.35">
      <c r="A461" s="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6"/>
      <c r="P461" s="23" t="e">
        <f>TRIM(Tabla1[[#This Row],[Articulo]])</f>
        <v>#VALUE!</v>
      </c>
      <c r="Q461" s="23" t="e">
        <f>_xlfn.XLOOKUP(Tabla1[[#This Row],[Ean Normalizado]],Consumos!A:A,Consumos!E:E)</f>
        <v>#VALUE!</v>
      </c>
      <c r="R461" s="22" t="e">
        <f>_xlfn.XLOOKUP(Tabla1[[#This Row],[Ean Normalizado]],tabla_consumos[EAN],tabla_consumos[UM])</f>
        <v>#VALUE!</v>
      </c>
      <c r="S461" s="22" t="e">
        <f>Tabla1[[#This Row],[StockDisp]]*Tabla1[[#This Row],[UM producto]]</f>
        <v>#VALUE!</v>
      </c>
    </row>
    <row r="462" spans="1:19" x14ac:dyDescent="0.35">
      <c r="A462" s="5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6"/>
      <c r="P462" s="23" t="e">
        <f>TRIM(Tabla1[[#This Row],[Articulo]])</f>
        <v>#VALUE!</v>
      </c>
      <c r="Q462" s="23" t="e">
        <f>_xlfn.XLOOKUP(Tabla1[[#This Row],[Ean Normalizado]],Consumos!A:A,Consumos!E:E)</f>
        <v>#VALUE!</v>
      </c>
      <c r="R462" s="22" t="e">
        <f>_xlfn.XLOOKUP(Tabla1[[#This Row],[Ean Normalizado]],tabla_consumos[EAN],tabla_consumos[UM])</f>
        <v>#VALUE!</v>
      </c>
      <c r="S462" s="22" t="e">
        <f>Tabla1[[#This Row],[StockDisp]]*Tabla1[[#This Row],[UM producto]]</f>
        <v>#VALUE!</v>
      </c>
    </row>
    <row r="463" spans="1:19" x14ac:dyDescent="0.35">
      <c r="A463" s="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6"/>
      <c r="P463" s="23" t="e">
        <f>TRIM(Tabla1[[#This Row],[Articulo]])</f>
        <v>#VALUE!</v>
      </c>
      <c r="Q463" s="23" t="e">
        <f>_xlfn.XLOOKUP(Tabla1[[#This Row],[Ean Normalizado]],Consumos!A:A,Consumos!E:E)</f>
        <v>#VALUE!</v>
      </c>
      <c r="R463" s="22" t="e">
        <f>_xlfn.XLOOKUP(Tabla1[[#This Row],[Ean Normalizado]],tabla_consumos[EAN],tabla_consumos[UM])</f>
        <v>#VALUE!</v>
      </c>
      <c r="S463" s="22" t="e">
        <f>Tabla1[[#This Row],[StockDisp]]*Tabla1[[#This Row],[UM producto]]</f>
        <v>#VALUE!</v>
      </c>
    </row>
    <row r="464" spans="1:19" x14ac:dyDescent="0.35">
      <c r="A464" s="5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6"/>
      <c r="P464" s="23" t="e">
        <f>TRIM(Tabla1[[#This Row],[Articulo]])</f>
        <v>#VALUE!</v>
      </c>
      <c r="Q464" s="23" t="e">
        <f>_xlfn.XLOOKUP(Tabla1[[#This Row],[Ean Normalizado]],Consumos!A:A,Consumos!E:E)</f>
        <v>#VALUE!</v>
      </c>
      <c r="R464" s="22" t="e">
        <f>_xlfn.XLOOKUP(Tabla1[[#This Row],[Ean Normalizado]],tabla_consumos[EAN],tabla_consumos[UM])</f>
        <v>#VALUE!</v>
      </c>
      <c r="S464" s="22" t="e">
        <f>Tabla1[[#This Row],[StockDisp]]*Tabla1[[#This Row],[UM producto]]</f>
        <v>#VALUE!</v>
      </c>
    </row>
    <row r="465" spans="1:19" x14ac:dyDescent="0.35">
      <c r="A465" s="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6"/>
      <c r="P465" s="23" t="e">
        <f>TRIM(Tabla1[[#This Row],[Articulo]])</f>
        <v>#VALUE!</v>
      </c>
      <c r="Q465" s="23" t="e">
        <f>_xlfn.XLOOKUP(Tabla1[[#This Row],[Ean Normalizado]],Consumos!A:A,Consumos!E:E)</f>
        <v>#VALUE!</v>
      </c>
      <c r="R465" s="22" t="e">
        <f>_xlfn.XLOOKUP(Tabla1[[#This Row],[Ean Normalizado]],tabla_consumos[EAN],tabla_consumos[UM])</f>
        <v>#VALUE!</v>
      </c>
      <c r="S465" s="22" t="e">
        <f>Tabla1[[#This Row],[StockDisp]]*Tabla1[[#This Row],[UM producto]]</f>
        <v>#VALUE!</v>
      </c>
    </row>
    <row r="466" spans="1:19" x14ac:dyDescent="0.35">
      <c r="A466" s="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6"/>
      <c r="P466" s="23" t="e">
        <f>TRIM(Tabla1[[#This Row],[Articulo]])</f>
        <v>#VALUE!</v>
      </c>
      <c r="Q466" s="23" t="e">
        <f>_xlfn.XLOOKUP(Tabla1[[#This Row],[Ean Normalizado]],Consumos!A:A,Consumos!E:E)</f>
        <v>#VALUE!</v>
      </c>
      <c r="R466" s="22" t="e">
        <f>_xlfn.XLOOKUP(Tabla1[[#This Row],[Ean Normalizado]],tabla_consumos[EAN],tabla_consumos[UM])</f>
        <v>#VALUE!</v>
      </c>
      <c r="S466" s="22" t="e">
        <f>Tabla1[[#This Row],[StockDisp]]*Tabla1[[#This Row],[UM producto]]</f>
        <v>#VALUE!</v>
      </c>
    </row>
    <row r="467" spans="1:19" x14ac:dyDescent="0.35">
      <c r="A467" s="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6"/>
      <c r="P467" s="23" t="e">
        <f>TRIM(Tabla1[[#This Row],[Articulo]])</f>
        <v>#VALUE!</v>
      </c>
      <c r="Q467" s="23" t="e">
        <f>_xlfn.XLOOKUP(Tabla1[[#This Row],[Ean Normalizado]],Consumos!A:A,Consumos!E:E)</f>
        <v>#VALUE!</v>
      </c>
      <c r="R467" s="22" t="e">
        <f>_xlfn.XLOOKUP(Tabla1[[#This Row],[Ean Normalizado]],tabla_consumos[EAN],tabla_consumos[UM])</f>
        <v>#VALUE!</v>
      </c>
      <c r="S467" s="22" t="e">
        <f>Tabla1[[#This Row],[StockDisp]]*Tabla1[[#This Row],[UM producto]]</f>
        <v>#VALUE!</v>
      </c>
    </row>
    <row r="468" spans="1:19" x14ac:dyDescent="0.35">
      <c r="A468" s="5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6"/>
      <c r="P468" s="23" t="e">
        <f>TRIM(Tabla1[[#This Row],[Articulo]])</f>
        <v>#VALUE!</v>
      </c>
      <c r="Q468" s="23" t="e">
        <f>_xlfn.XLOOKUP(Tabla1[[#This Row],[Ean Normalizado]],Consumos!A:A,Consumos!E:E)</f>
        <v>#VALUE!</v>
      </c>
      <c r="R468" s="22" t="e">
        <f>_xlfn.XLOOKUP(Tabla1[[#This Row],[Ean Normalizado]],tabla_consumos[EAN],tabla_consumos[UM])</f>
        <v>#VALUE!</v>
      </c>
      <c r="S468" s="22" t="e">
        <f>Tabla1[[#This Row],[StockDisp]]*Tabla1[[#This Row],[UM producto]]</f>
        <v>#VALUE!</v>
      </c>
    </row>
    <row r="469" spans="1:19" x14ac:dyDescent="0.35">
      <c r="A469" s="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6"/>
      <c r="P469" s="23" t="e">
        <f>TRIM(Tabla1[[#This Row],[Articulo]])</f>
        <v>#VALUE!</v>
      </c>
      <c r="Q469" s="23" t="e">
        <f>_xlfn.XLOOKUP(Tabla1[[#This Row],[Ean Normalizado]],Consumos!A:A,Consumos!E:E)</f>
        <v>#VALUE!</v>
      </c>
      <c r="R469" s="22" t="e">
        <f>_xlfn.XLOOKUP(Tabla1[[#This Row],[Ean Normalizado]],tabla_consumos[EAN],tabla_consumos[UM])</f>
        <v>#VALUE!</v>
      </c>
      <c r="S469" s="22" t="e">
        <f>Tabla1[[#This Row],[StockDisp]]*Tabla1[[#This Row],[UM producto]]</f>
        <v>#VALUE!</v>
      </c>
    </row>
    <row r="470" spans="1:19" x14ac:dyDescent="0.35">
      <c r="A470" s="5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6"/>
      <c r="P470" s="23" t="e">
        <f>TRIM(Tabla1[[#This Row],[Articulo]])</f>
        <v>#VALUE!</v>
      </c>
      <c r="Q470" s="23" t="e">
        <f>_xlfn.XLOOKUP(Tabla1[[#This Row],[Ean Normalizado]],Consumos!A:A,Consumos!E:E)</f>
        <v>#VALUE!</v>
      </c>
      <c r="R470" s="22" t="e">
        <f>_xlfn.XLOOKUP(Tabla1[[#This Row],[Ean Normalizado]],tabla_consumos[EAN],tabla_consumos[UM])</f>
        <v>#VALUE!</v>
      </c>
      <c r="S470" s="22" t="e">
        <f>Tabla1[[#This Row],[StockDisp]]*Tabla1[[#This Row],[UM producto]]</f>
        <v>#VALUE!</v>
      </c>
    </row>
    <row r="471" spans="1:19" x14ac:dyDescent="0.35">
      <c r="A471" s="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6"/>
      <c r="P471" s="23" t="e">
        <f>TRIM(Tabla1[[#This Row],[Articulo]])</f>
        <v>#VALUE!</v>
      </c>
      <c r="Q471" s="23" t="e">
        <f>_xlfn.XLOOKUP(Tabla1[[#This Row],[Ean Normalizado]],Consumos!A:A,Consumos!E:E)</f>
        <v>#VALUE!</v>
      </c>
      <c r="R471" s="22" t="e">
        <f>_xlfn.XLOOKUP(Tabla1[[#This Row],[Ean Normalizado]],tabla_consumos[EAN],tabla_consumos[UM])</f>
        <v>#VALUE!</v>
      </c>
      <c r="S471" s="22" t="e">
        <f>Tabla1[[#This Row],[StockDisp]]*Tabla1[[#This Row],[UM producto]]</f>
        <v>#VALUE!</v>
      </c>
    </row>
    <row r="472" spans="1:19" x14ac:dyDescent="0.35">
      <c r="A472" s="5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6"/>
      <c r="P472" s="23" t="e">
        <f>TRIM(Tabla1[[#This Row],[Articulo]])</f>
        <v>#VALUE!</v>
      </c>
      <c r="Q472" s="23" t="e">
        <f>_xlfn.XLOOKUP(Tabla1[[#This Row],[Ean Normalizado]],Consumos!A:A,Consumos!E:E)</f>
        <v>#VALUE!</v>
      </c>
      <c r="R472" s="22" t="e">
        <f>_xlfn.XLOOKUP(Tabla1[[#This Row],[Ean Normalizado]],tabla_consumos[EAN],tabla_consumos[UM])</f>
        <v>#VALUE!</v>
      </c>
      <c r="S472" s="22" t="e">
        <f>Tabla1[[#This Row],[StockDisp]]*Tabla1[[#This Row],[UM producto]]</f>
        <v>#VALUE!</v>
      </c>
    </row>
    <row r="473" spans="1:19" x14ac:dyDescent="0.35">
      <c r="A473" s="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6"/>
      <c r="P473" s="23" t="e">
        <f>TRIM(Tabla1[[#This Row],[Articulo]])</f>
        <v>#VALUE!</v>
      </c>
      <c r="Q473" s="23" t="e">
        <f>_xlfn.XLOOKUP(Tabla1[[#This Row],[Ean Normalizado]],Consumos!A:A,Consumos!E:E)</f>
        <v>#VALUE!</v>
      </c>
      <c r="R473" s="22" t="e">
        <f>_xlfn.XLOOKUP(Tabla1[[#This Row],[Ean Normalizado]],tabla_consumos[EAN],tabla_consumos[UM])</f>
        <v>#VALUE!</v>
      </c>
      <c r="S473" s="22" t="e">
        <f>Tabla1[[#This Row],[StockDisp]]*Tabla1[[#This Row],[UM producto]]</f>
        <v>#VALUE!</v>
      </c>
    </row>
    <row r="474" spans="1:19" x14ac:dyDescent="0.35">
      <c r="A474" s="5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6"/>
      <c r="P474" s="23" t="e">
        <f>TRIM(Tabla1[[#This Row],[Articulo]])</f>
        <v>#VALUE!</v>
      </c>
      <c r="Q474" s="23" t="e">
        <f>_xlfn.XLOOKUP(Tabla1[[#This Row],[Ean Normalizado]],Consumos!A:A,Consumos!E:E)</f>
        <v>#VALUE!</v>
      </c>
      <c r="R474" s="22" t="e">
        <f>_xlfn.XLOOKUP(Tabla1[[#This Row],[Ean Normalizado]],tabla_consumos[EAN],tabla_consumos[UM])</f>
        <v>#VALUE!</v>
      </c>
      <c r="S474" s="22" t="e">
        <f>Tabla1[[#This Row],[StockDisp]]*Tabla1[[#This Row],[UM producto]]</f>
        <v>#VALUE!</v>
      </c>
    </row>
    <row r="475" spans="1:19" x14ac:dyDescent="0.35">
      <c r="A475" s="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6"/>
      <c r="P475" s="23" t="e">
        <f>TRIM(Tabla1[[#This Row],[Articulo]])</f>
        <v>#VALUE!</v>
      </c>
      <c r="Q475" s="23" t="e">
        <f>_xlfn.XLOOKUP(Tabla1[[#This Row],[Ean Normalizado]],Consumos!A:A,Consumos!E:E)</f>
        <v>#VALUE!</v>
      </c>
      <c r="R475" s="22" t="e">
        <f>_xlfn.XLOOKUP(Tabla1[[#This Row],[Ean Normalizado]],tabla_consumos[EAN],tabla_consumos[UM])</f>
        <v>#VALUE!</v>
      </c>
      <c r="S475" s="22" t="e">
        <f>Tabla1[[#This Row],[StockDisp]]*Tabla1[[#This Row],[UM producto]]</f>
        <v>#VALUE!</v>
      </c>
    </row>
    <row r="476" spans="1:19" x14ac:dyDescent="0.35">
      <c r="A476" s="5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6"/>
      <c r="P476" s="23" t="e">
        <f>TRIM(Tabla1[[#This Row],[Articulo]])</f>
        <v>#VALUE!</v>
      </c>
      <c r="Q476" s="23" t="e">
        <f>_xlfn.XLOOKUP(Tabla1[[#This Row],[Ean Normalizado]],Consumos!A:A,Consumos!E:E)</f>
        <v>#VALUE!</v>
      </c>
      <c r="R476" s="22" t="e">
        <f>_xlfn.XLOOKUP(Tabla1[[#This Row],[Ean Normalizado]],tabla_consumos[EAN],tabla_consumos[UM])</f>
        <v>#VALUE!</v>
      </c>
      <c r="S476" s="22" t="e">
        <f>Tabla1[[#This Row],[StockDisp]]*Tabla1[[#This Row],[UM producto]]</f>
        <v>#VALUE!</v>
      </c>
    </row>
    <row r="477" spans="1:19" x14ac:dyDescent="0.35">
      <c r="A477" s="5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6"/>
      <c r="P477" s="23" t="e">
        <f>TRIM(Tabla1[[#This Row],[Articulo]])</f>
        <v>#VALUE!</v>
      </c>
      <c r="Q477" s="23" t="e">
        <f>_xlfn.XLOOKUP(Tabla1[[#This Row],[Ean Normalizado]],Consumos!A:A,Consumos!E:E)</f>
        <v>#VALUE!</v>
      </c>
      <c r="R477" s="22" t="e">
        <f>_xlfn.XLOOKUP(Tabla1[[#This Row],[Ean Normalizado]],tabla_consumos[EAN],tabla_consumos[UM])</f>
        <v>#VALUE!</v>
      </c>
      <c r="S477" s="22" t="e">
        <f>Tabla1[[#This Row],[StockDisp]]*Tabla1[[#This Row],[UM producto]]</f>
        <v>#VALUE!</v>
      </c>
    </row>
    <row r="478" spans="1:19" x14ac:dyDescent="0.35">
      <c r="A478" s="5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6"/>
      <c r="P478" s="23" t="e">
        <f>TRIM(Tabla1[[#This Row],[Articulo]])</f>
        <v>#VALUE!</v>
      </c>
      <c r="Q478" s="23" t="e">
        <f>_xlfn.XLOOKUP(Tabla1[[#This Row],[Ean Normalizado]],Consumos!A:A,Consumos!E:E)</f>
        <v>#VALUE!</v>
      </c>
      <c r="R478" s="22" t="e">
        <f>_xlfn.XLOOKUP(Tabla1[[#This Row],[Ean Normalizado]],tabla_consumos[EAN],tabla_consumos[UM])</f>
        <v>#VALUE!</v>
      </c>
      <c r="S478" s="22" t="e">
        <f>Tabla1[[#This Row],[StockDisp]]*Tabla1[[#This Row],[UM producto]]</f>
        <v>#VALUE!</v>
      </c>
    </row>
    <row r="479" spans="1:19" x14ac:dyDescent="0.35">
      <c r="A479" s="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6"/>
      <c r="P479" s="23" t="e">
        <f>TRIM(Tabla1[[#This Row],[Articulo]])</f>
        <v>#VALUE!</v>
      </c>
      <c r="Q479" s="23" t="e">
        <f>_xlfn.XLOOKUP(Tabla1[[#This Row],[Ean Normalizado]],Consumos!A:A,Consumos!E:E)</f>
        <v>#VALUE!</v>
      </c>
      <c r="R479" s="22" t="e">
        <f>_xlfn.XLOOKUP(Tabla1[[#This Row],[Ean Normalizado]],tabla_consumos[EAN],tabla_consumos[UM])</f>
        <v>#VALUE!</v>
      </c>
      <c r="S479" s="22" t="e">
        <f>Tabla1[[#This Row],[StockDisp]]*Tabla1[[#This Row],[UM producto]]</f>
        <v>#VALUE!</v>
      </c>
    </row>
    <row r="480" spans="1:19" x14ac:dyDescent="0.35">
      <c r="A480" s="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6"/>
      <c r="P480" s="23" t="e">
        <f>TRIM(Tabla1[[#This Row],[Articulo]])</f>
        <v>#VALUE!</v>
      </c>
      <c r="Q480" s="23" t="e">
        <f>_xlfn.XLOOKUP(Tabla1[[#This Row],[Ean Normalizado]],Consumos!A:A,Consumos!E:E)</f>
        <v>#VALUE!</v>
      </c>
      <c r="R480" s="22" t="e">
        <f>_xlfn.XLOOKUP(Tabla1[[#This Row],[Ean Normalizado]],tabla_consumos[EAN],tabla_consumos[UM])</f>
        <v>#VALUE!</v>
      </c>
      <c r="S480" s="22" t="e">
        <f>Tabla1[[#This Row],[StockDisp]]*Tabla1[[#This Row],[UM producto]]</f>
        <v>#VALUE!</v>
      </c>
    </row>
    <row r="481" spans="1:19" x14ac:dyDescent="0.35">
      <c r="A481" s="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6"/>
      <c r="P481" s="23" t="e">
        <f>TRIM(Tabla1[[#This Row],[Articulo]])</f>
        <v>#VALUE!</v>
      </c>
      <c r="Q481" s="23" t="e">
        <f>_xlfn.XLOOKUP(Tabla1[[#This Row],[Ean Normalizado]],Consumos!A:A,Consumos!E:E)</f>
        <v>#VALUE!</v>
      </c>
      <c r="R481" s="22" t="e">
        <f>_xlfn.XLOOKUP(Tabla1[[#This Row],[Ean Normalizado]],tabla_consumos[EAN],tabla_consumos[UM])</f>
        <v>#VALUE!</v>
      </c>
      <c r="S481" s="22" t="e">
        <f>Tabla1[[#This Row],[StockDisp]]*Tabla1[[#This Row],[UM producto]]</f>
        <v>#VALUE!</v>
      </c>
    </row>
    <row r="482" spans="1:19" x14ac:dyDescent="0.35">
      <c r="A482" s="5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6"/>
      <c r="P482" s="23" t="e">
        <f>TRIM(Tabla1[[#This Row],[Articulo]])</f>
        <v>#VALUE!</v>
      </c>
      <c r="Q482" s="23" t="e">
        <f>_xlfn.XLOOKUP(Tabla1[[#This Row],[Ean Normalizado]],Consumos!A:A,Consumos!E:E)</f>
        <v>#VALUE!</v>
      </c>
      <c r="R482" s="22" t="e">
        <f>_xlfn.XLOOKUP(Tabla1[[#This Row],[Ean Normalizado]],tabla_consumos[EAN],tabla_consumos[UM])</f>
        <v>#VALUE!</v>
      </c>
      <c r="S482" s="22" t="e">
        <f>Tabla1[[#This Row],[StockDisp]]*Tabla1[[#This Row],[UM producto]]</f>
        <v>#VALUE!</v>
      </c>
    </row>
    <row r="483" spans="1:19" x14ac:dyDescent="0.35">
      <c r="A483" s="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6"/>
      <c r="P483" s="23" t="e">
        <f>TRIM(Tabla1[[#This Row],[Articulo]])</f>
        <v>#VALUE!</v>
      </c>
      <c r="Q483" s="23" t="e">
        <f>_xlfn.XLOOKUP(Tabla1[[#This Row],[Ean Normalizado]],Consumos!A:A,Consumos!E:E)</f>
        <v>#VALUE!</v>
      </c>
      <c r="R483" s="22" t="e">
        <f>_xlfn.XLOOKUP(Tabla1[[#This Row],[Ean Normalizado]],tabla_consumos[EAN],tabla_consumos[UM])</f>
        <v>#VALUE!</v>
      </c>
      <c r="S483" s="22" t="e">
        <f>Tabla1[[#This Row],[StockDisp]]*Tabla1[[#This Row],[UM producto]]</f>
        <v>#VALUE!</v>
      </c>
    </row>
    <row r="484" spans="1:19" x14ac:dyDescent="0.35">
      <c r="A484" s="5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6"/>
      <c r="P484" s="23" t="e">
        <f>TRIM(Tabla1[[#This Row],[Articulo]])</f>
        <v>#VALUE!</v>
      </c>
      <c r="Q484" s="23" t="e">
        <f>_xlfn.XLOOKUP(Tabla1[[#This Row],[Ean Normalizado]],Consumos!A:A,Consumos!E:E)</f>
        <v>#VALUE!</v>
      </c>
      <c r="R484" s="22" t="e">
        <f>_xlfn.XLOOKUP(Tabla1[[#This Row],[Ean Normalizado]],tabla_consumos[EAN],tabla_consumos[UM])</f>
        <v>#VALUE!</v>
      </c>
      <c r="S484" s="22" t="e">
        <f>Tabla1[[#This Row],[StockDisp]]*Tabla1[[#This Row],[UM producto]]</f>
        <v>#VALUE!</v>
      </c>
    </row>
    <row r="485" spans="1:19" x14ac:dyDescent="0.35">
      <c r="A485" s="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6"/>
      <c r="P485" s="23" t="e">
        <f>TRIM(Tabla1[[#This Row],[Articulo]])</f>
        <v>#VALUE!</v>
      </c>
      <c r="Q485" s="23" t="e">
        <f>_xlfn.XLOOKUP(Tabla1[[#This Row],[Ean Normalizado]],Consumos!A:A,Consumos!E:E)</f>
        <v>#VALUE!</v>
      </c>
      <c r="R485" s="22" t="e">
        <f>_xlfn.XLOOKUP(Tabla1[[#This Row],[Ean Normalizado]],tabla_consumos[EAN],tabla_consumos[UM])</f>
        <v>#VALUE!</v>
      </c>
      <c r="S485" s="22" t="e">
        <f>Tabla1[[#This Row],[StockDisp]]*Tabla1[[#This Row],[UM producto]]</f>
        <v>#VALUE!</v>
      </c>
    </row>
    <row r="486" spans="1:19" x14ac:dyDescent="0.35">
      <c r="A486" s="5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6"/>
      <c r="P486" s="23" t="e">
        <f>TRIM(Tabla1[[#This Row],[Articulo]])</f>
        <v>#VALUE!</v>
      </c>
      <c r="Q486" s="23" t="e">
        <f>_xlfn.XLOOKUP(Tabla1[[#This Row],[Ean Normalizado]],Consumos!A:A,Consumos!E:E)</f>
        <v>#VALUE!</v>
      </c>
      <c r="R486" s="22" t="e">
        <f>_xlfn.XLOOKUP(Tabla1[[#This Row],[Ean Normalizado]],tabla_consumos[EAN],tabla_consumos[UM])</f>
        <v>#VALUE!</v>
      </c>
      <c r="S486" s="22" t="e">
        <f>Tabla1[[#This Row],[StockDisp]]*Tabla1[[#This Row],[UM producto]]</f>
        <v>#VALUE!</v>
      </c>
    </row>
    <row r="487" spans="1:19" x14ac:dyDescent="0.35">
      <c r="A487" s="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6"/>
      <c r="P487" s="23" t="e">
        <f>TRIM(Tabla1[[#This Row],[Articulo]])</f>
        <v>#VALUE!</v>
      </c>
      <c r="Q487" s="23" t="e">
        <f>_xlfn.XLOOKUP(Tabla1[[#This Row],[Ean Normalizado]],Consumos!A:A,Consumos!E:E)</f>
        <v>#VALUE!</v>
      </c>
      <c r="R487" s="22" t="e">
        <f>_xlfn.XLOOKUP(Tabla1[[#This Row],[Ean Normalizado]],tabla_consumos[EAN],tabla_consumos[UM])</f>
        <v>#VALUE!</v>
      </c>
      <c r="S487" s="22" t="e">
        <f>Tabla1[[#This Row],[StockDisp]]*Tabla1[[#This Row],[UM producto]]</f>
        <v>#VALUE!</v>
      </c>
    </row>
    <row r="488" spans="1:19" x14ac:dyDescent="0.35">
      <c r="A488" s="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6"/>
      <c r="P488" s="23" t="e">
        <f>TRIM(Tabla1[[#This Row],[Articulo]])</f>
        <v>#VALUE!</v>
      </c>
      <c r="Q488" s="23" t="e">
        <f>_xlfn.XLOOKUP(Tabla1[[#This Row],[Ean Normalizado]],Consumos!A:A,Consumos!E:E)</f>
        <v>#VALUE!</v>
      </c>
      <c r="R488" s="22" t="e">
        <f>_xlfn.XLOOKUP(Tabla1[[#This Row],[Ean Normalizado]],tabla_consumos[EAN],tabla_consumos[UM])</f>
        <v>#VALUE!</v>
      </c>
      <c r="S488" s="22" t="e">
        <f>Tabla1[[#This Row],[StockDisp]]*Tabla1[[#This Row],[UM producto]]</f>
        <v>#VALUE!</v>
      </c>
    </row>
    <row r="489" spans="1:19" x14ac:dyDescent="0.35">
      <c r="A489" s="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6"/>
      <c r="P489" s="23" t="e">
        <f>TRIM(Tabla1[[#This Row],[Articulo]])</f>
        <v>#VALUE!</v>
      </c>
      <c r="Q489" s="23" t="e">
        <f>_xlfn.XLOOKUP(Tabla1[[#This Row],[Ean Normalizado]],Consumos!A:A,Consumos!E:E)</f>
        <v>#VALUE!</v>
      </c>
      <c r="R489" s="22" t="e">
        <f>_xlfn.XLOOKUP(Tabla1[[#This Row],[Ean Normalizado]],tabla_consumos[EAN],tabla_consumos[UM])</f>
        <v>#VALUE!</v>
      </c>
      <c r="S489" s="22" t="e">
        <f>Tabla1[[#This Row],[StockDisp]]*Tabla1[[#This Row],[UM producto]]</f>
        <v>#VALUE!</v>
      </c>
    </row>
    <row r="490" spans="1:19" x14ac:dyDescent="0.35">
      <c r="A490" s="5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6"/>
      <c r="P490" s="23" t="e">
        <f>TRIM(Tabla1[[#This Row],[Articulo]])</f>
        <v>#VALUE!</v>
      </c>
      <c r="Q490" s="23" t="e">
        <f>_xlfn.XLOOKUP(Tabla1[[#This Row],[Ean Normalizado]],Consumos!A:A,Consumos!E:E)</f>
        <v>#VALUE!</v>
      </c>
      <c r="R490" s="22" t="e">
        <f>_xlfn.XLOOKUP(Tabla1[[#This Row],[Ean Normalizado]],tabla_consumos[EAN],tabla_consumos[UM])</f>
        <v>#VALUE!</v>
      </c>
      <c r="S490" s="22" t="e">
        <f>Tabla1[[#This Row],[StockDisp]]*Tabla1[[#This Row],[UM producto]]</f>
        <v>#VALUE!</v>
      </c>
    </row>
    <row r="491" spans="1:19" x14ac:dyDescent="0.35">
      <c r="A491" s="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6"/>
      <c r="P491" s="23" t="e">
        <f>TRIM(Tabla1[[#This Row],[Articulo]])</f>
        <v>#VALUE!</v>
      </c>
      <c r="Q491" s="23" t="e">
        <f>_xlfn.XLOOKUP(Tabla1[[#This Row],[Ean Normalizado]],Consumos!A:A,Consumos!E:E)</f>
        <v>#VALUE!</v>
      </c>
      <c r="R491" s="22" t="e">
        <f>_xlfn.XLOOKUP(Tabla1[[#This Row],[Ean Normalizado]],tabla_consumos[EAN],tabla_consumos[UM])</f>
        <v>#VALUE!</v>
      </c>
      <c r="S491" s="22" t="e">
        <f>Tabla1[[#This Row],[StockDisp]]*Tabla1[[#This Row],[UM producto]]</f>
        <v>#VALUE!</v>
      </c>
    </row>
    <row r="492" spans="1:19" x14ac:dyDescent="0.35">
      <c r="A492" s="5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6"/>
      <c r="P492" s="23" t="e">
        <f>TRIM(Tabla1[[#This Row],[Articulo]])</f>
        <v>#VALUE!</v>
      </c>
      <c r="Q492" s="23" t="e">
        <f>_xlfn.XLOOKUP(Tabla1[[#This Row],[Ean Normalizado]],Consumos!A:A,Consumos!E:E)</f>
        <v>#VALUE!</v>
      </c>
      <c r="R492" s="22" t="e">
        <f>_xlfn.XLOOKUP(Tabla1[[#This Row],[Ean Normalizado]],tabla_consumos[EAN],tabla_consumos[UM])</f>
        <v>#VALUE!</v>
      </c>
      <c r="S492" s="22" t="e">
        <f>Tabla1[[#This Row],[StockDisp]]*Tabla1[[#This Row],[UM producto]]</f>
        <v>#VALUE!</v>
      </c>
    </row>
    <row r="493" spans="1:19" x14ac:dyDescent="0.35">
      <c r="A493" s="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6"/>
      <c r="P493" s="23" t="e">
        <f>TRIM(Tabla1[[#This Row],[Articulo]])</f>
        <v>#VALUE!</v>
      </c>
      <c r="Q493" s="23" t="e">
        <f>_xlfn.XLOOKUP(Tabla1[[#This Row],[Ean Normalizado]],Consumos!A:A,Consumos!E:E)</f>
        <v>#VALUE!</v>
      </c>
      <c r="R493" s="22" t="e">
        <f>_xlfn.XLOOKUP(Tabla1[[#This Row],[Ean Normalizado]],tabla_consumos[EAN],tabla_consumos[UM])</f>
        <v>#VALUE!</v>
      </c>
      <c r="S493" s="22" t="e">
        <f>Tabla1[[#This Row],[StockDisp]]*Tabla1[[#This Row],[UM producto]]</f>
        <v>#VALUE!</v>
      </c>
    </row>
    <row r="494" spans="1:19" x14ac:dyDescent="0.35">
      <c r="A494" s="5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6"/>
      <c r="P494" s="23" t="e">
        <f>TRIM(Tabla1[[#This Row],[Articulo]])</f>
        <v>#VALUE!</v>
      </c>
      <c r="Q494" s="23" t="e">
        <f>_xlfn.XLOOKUP(Tabla1[[#This Row],[Ean Normalizado]],Consumos!A:A,Consumos!E:E)</f>
        <v>#VALUE!</v>
      </c>
      <c r="R494" s="22" t="e">
        <f>_xlfn.XLOOKUP(Tabla1[[#This Row],[Ean Normalizado]],tabla_consumos[EAN],tabla_consumos[UM])</f>
        <v>#VALUE!</v>
      </c>
      <c r="S494" s="22" t="e">
        <f>Tabla1[[#This Row],[StockDisp]]*Tabla1[[#This Row],[UM producto]]</f>
        <v>#VALUE!</v>
      </c>
    </row>
    <row r="495" spans="1:19" x14ac:dyDescent="0.35">
      <c r="A495" s="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6"/>
      <c r="P495" s="23" t="e">
        <f>TRIM(Tabla1[[#This Row],[Articulo]])</f>
        <v>#VALUE!</v>
      </c>
      <c r="Q495" s="23" t="e">
        <f>_xlfn.XLOOKUP(Tabla1[[#This Row],[Ean Normalizado]],Consumos!A:A,Consumos!E:E)</f>
        <v>#VALUE!</v>
      </c>
      <c r="R495" s="22" t="e">
        <f>_xlfn.XLOOKUP(Tabla1[[#This Row],[Ean Normalizado]],tabla_consumos[EAN],tabla_consumos[UM])</f>
        <v>#VALUE!</v>
      </c>
      <c r="S495" s="22" t="e">
        <f>Tabla1[[#This Row],[StockDisp]]*Tabla1[[#This Row],[UM producto]]</f>
        <v>#VALUE!</v>
      </c>
    </row>
    <row r="496" spans="1:19" x14ac:dyDescent="0.35">
      <c r="A496" s="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6"/>
      <c r="P496" s="23" t="e">
        <f>TRIM(Tabla1[[#This Row],[Articulo]])</f>
        <v>#VALUE!</v>
      </c>
      <c r="Q496" s="23" t="e">
        <f>_xlfn.XLOOKUP(Tabla1[[#This Row],[Ean Normalizado]],Consumos!A:A,Consumos!E:E)</f>
        <v>#VALUE!</v>
      </c>
      <c r="R496" s="22" t="e">
        <f>_xlfn.XLOOKUP(Tabla1[[#This Row],[Ean Normalizado]],tabla_consumos[EAN],tabla_consumos[UM])</f>
        <v>#VALUE!</v>
      </c>
      <c r="S496" s="22" t="e">
        <f>Tabla1[[#This Row],[StockDisp]]*Tabla1[[#This Row],[UM producto]]</f>
        <v>#VALUE!</v>
      </c>
    </row>
    <row r="497" spans="1:19" x14ac:dyDescent="0.35">
      <c r="A497" s="5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6"/>
      <c r="P497" s="23" t="e">
        <f>TRIM(Tabla1[[#This Row],[Articulo]])</f>
        <v>#VALUE!</v>
      </c>
      <c r="Q497" s="23" t="e">
        <f>_xlfn.XLOOKUP(Tabla1[[#This Row],[Ean Normalizado]],Consumos!A:A,Consumos!E:E)</f>
        <v>#VALUE!</v>
      </c>
      <c r="R497" s="22" t="e">
        <f>_xlfn.XLOOKUP(Tabla1[[#This Row],[Ean Normalizado]],tabla_consumos[EAN],tabla_consumos[UM])</f>
        <v>#VALUE!</v>
      </c>
      <c r="S497" s="22" t="e">
        <f>Tabla1[[#This Row],[StockDisp]]*Tabla1[[#This Row],[UM producto]]</f>
        <v>#VALUE!</v>
      </c>
    </row>
    <row r="498" spans="1:19" x14ac:dyDescent="0.35">
      <c r="A498" s="5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6"/>
      <c r="P498" s="23" t="e">
        <f>TRIM(Tabla1[[#This Row],[Articulo]])</f>
        <v>#VALUE!</v>
      </c>
      <c r="Q498" s="23" t="e">
        <f>_xlfn.XLOOKUP(Tabla1[[#This Row],[Ean Normalizado]],Consumos!A:A,Consumos!E:E)</f>
        <v>#VALUE!</v>
      </c>
      <c r="R498" s="22" t="e">
        <f>_xlfn.XLOOKUP(Tabla1[[#This Row],[Ean Normalizado]],tabla_consumos[EAN],tabla_consumos[UM])</f>
        <v>#VALUE!</v>
      </c>
      <c r="S498" s="22" t="e">
        <f>Tabla1[[#This Row],[StockDisp]]*Tabla1[[#This Row],[UM producto]]</f>
        <v>#VALUE!</v>
      </c>
    </row>
    <row r="499" spans="1:19" x14ac:dyDescent="0.35">
      <c r="A499" s="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6"/>
      <c r="P499" s="23" t="e">
        <f>TRIM(Tabla1[[#This Row],[Articulo]])</f>
        <v>#VALUE!</v>
      </c>
      <c r="Q499" s="23" t="e">
        <f>_xlfn.XLOOKUP(Tabla1[[#This Row],[Ean Normalizado]],Consumos!A:A,Consumos!E:E)</f>
        <v>#VALUE!</v>
      </c>
      <c r="R499" s="22" t="e">
        <f>_xlfn.XLOOKUP(Tabla1[[#This Row],[Ean Normalizado]],tabla_consumos[EAN],tabla_consumos[UM])</f>
        <v>#VALUE!</v>
      </c>
      <c r="S499" s="22" t="e">
        <f>Tabla1[[#This Row],[StockDisp]]*Tabla1[[#This Row],[UM producto]]</f>
        <v>#VALUE!</v>
      </c>
    </row>
    <row r="500" spans="1:19" x14ac:dyDescent="0.35">
      <c r="A500" s="5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6"/>
      <c r="P500" s="23" t="e">
        <f>TRIM(Tabla1[[#This Row],[Articulo]])</f>
        <v>#VALUE!</v>
      </c>
      <c r="Q500" s="23" t="e">
        <f>_xlfn.XLOOKUP(Tabla1[[#This Row],[Ean Normalizado]],Consumos!A:A,Consumos!E:E)</f>
        <v>#VALUE!</v>
      </c>
      <c r="R500" s="22" t="e">
        <f>_xlfn.XLOOKUP(Tabla1[[#This Row],[Ean Normalizado]],tabla_consumos[EAN],tabla_consumos[UM])</f>
        <v>#VALUE!</v>
      </c>
      <c r="S500" s="22" t="e">
        <f>Tabla1[[#This Row],[StockDisp]]*Tabla1[[#This Row],[UM producto]]</f>
        <v>#VALUE!</v>
      </c>
    </row>
    <row r="501" spans="1:19" x14ac:dyDescent="0.35">
      <c r="A501" s="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6"/>
      <c r="P501" s="23" t="e">
        <f>TRIM(Tabla1[[#This Row],[Articulo]])</f>
        <v>#VALUE!</v>
      </c>
      <c r="Q501" s="23" t="e">
        <f>_xlfn.XLOOKUP(Tabla1[[#This Row],[Ean Normalizado]],Consumos!A:A,Consumos!E:E)</f>
        <v>#VALUE!</v>
      </c>
      <c r="R501" s="22" t="e">
        <f>_xlfn.XLOOKUP(Tabla1[[#This Row],[Ean Normalizado]],tabla_consumos[EAN],tabla_consumos[UM])</f>
        <v>#VALUE!</v>
      </c>
      <c r="S501" s="22" t="e">
        <f>Tabla1[[#This Row],[StockDisp]]*Tabla1[[#This Row],[UM producto]]</f>
        <v>#VALUE!</v>
      </c>
    </row>
    <row r="502" spans="1:19" x14ac:dyDescent="0.35">
      <c r="A502" s="5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6"/>
      <c r="P502" s="23" t="e">
        <f>TRIM(Tabla1[[#This Row],[Articulo]])</f>
        <v>#VALUE!</v>
      </c>
      <c r="Q502" s="23" t="e">
        <f>_xlfn.XLOOKUP(Tabla1[[#This Row],[Ean Normalizado]],Consumos!A:A,Consumos!E:E)</f>
        <v>#VALUE!</v>
      </c>
      <c r="R502" s="22" t="e">
        <f>_xlfn.XLOOKUP(Tabla1[[#This Row],[Ean Normalizado]],tabla_consumos[EAN],tabla_consumos[UM])</f>
        <v>#VALUE!</v>
      </c>
      <c r="S502" s="22" t="e">
        <f>Tabla1[[#This Row],[StockDisp]]*Tabla1[[#This Row],[UM producto]]</f>
        <v>#VALUE!</v>
      </c>
    </row>
    <row r="503" spans="1:19" x14ac:dyDescent="0.35">
      <c r="A503" s="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6"/>
      <c r="P503" s="23" t="e">
        <f>TRIM(Tabla1[[#This Row],[Articulo]])</f>
        <v>#VALUE!</v>
      </c>
      <c r="Q503" s="23" t="e">
        <f>_xlfn.XLOOKUP(Tabla1[[#This Row],[Ean Normalizado]],Consumos!A:A,Consumos!E:E)</f>
        <v>#VALUE!</v>
      </c>
      <c r="R503" s="22" t="e">
        <f>_xlfn.XLOOKUP(Tabla1[[#This Row],[Ean Normalizado]],tabla_consumos[EAN],tabla_consumos[UM])</f>
        <v>#VALUE!</v>
      </c>
      <c r="S503" s="22" t="e">
        <f>Tabla1[[#This Row],[StockDisp]]*Tabla1[[#This Row],[UM producto]]</f>
        <v>#VALUE!</v>
      </c>
    </row>
    <row r="504" spans="1:19" x14ac:dyDescent="0.35">
      <c r="A504" s="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6"/>
      <c r="P504" s="23" t="e">
        <f>TRIM(Tabla1[[#This Row],[Articulo]])</f>
        <v>#VALUE!</v>
      </c>
      <c r="Q504" s="23" t="e">
        <f>_xlfn.XLOOKUP(Tabla1[[#This Row],[Ean Normalizado]],Consumos!A:A,Consumos!E:E)</f>
        <v>#VALUE!</v>
      </c>
      <c r="R504" s="22" t="e">
        <f>_xlfn.XLOOKUP(Tabla1[[#This Row],[Ean Normalizado]],tabla_consumos[EAN],tabla_consumos[UM])</f>
        <v>#VALUE!</v>
      </c>
      <c r="S504" s="22" t="e">
        <f>Tabla1[[#This Row],[StockDisp]]*Tabla1[[#This Row],[UM producto]]</f>
        <v>#VALUE!</v>
      </c>
    </row>
    <row r="505" spans="1:19" x14ac:dyDescent="0.35">
      <c r="A505" s="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6"/>
      <c r="P505" s="23" t="e">
        <f>TRIM(Tabla1[[#This Row],[Articulo]])</f>
        <v>#VALUE!</v>
      </c>
      <c r="Q505" s="23" t="e">
        <f>_xlfn.XLOOKUP(Tabla1[[#This Row],[Ean Normalizado]],Consumos!A:A,Consumos!E:E)</f>
        <v>#VALUE!</v>
      </c>
      <c r="R505" s="22" t="e">
        <f>_xlfn.XLOOKUP(Tabla1[[#This Row],[Ean Normalizado]],tabla_consumos[EAN],tabla_consumos[UM])</f>
        <v>#VALUE!</v>
      </c>
      <c r="S505" s="22" t="e">
        <f>Tabla1[[#This Row],[StockDisp]]*Tabla1[[#This Row],[UM producto]]</f>
        <v>#VALUE!</v>
      </c>
    </row>
    <row r="506" spans="1:19" x14ac:dyDescent="0.35">
      <c r="A506" s="5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6"/>
      <c r="P506" s="23" t="e">
        <f>TRIM(Tabla1[[#This Row],[Articulo]])</f>
        <v>#VALUE!</v>
      </c>
      <c r="Q506" s="23" t="e">
        <f>_xlfn.XLOOKUP(Tabla1[[#This Row],[Ean Normalizado]],Consumos!A:A,Consumos!E:E)</f>
        <v>#VALUE!</v>
      </c>
      <c r="R506" s="22" t="e">
        <f>_xlfn.XLOOKUP(Tabla1[[#This Row],[Ean Normalizado]],tabla_consumos[EAN],tabla_consumos[UM])</f>
        <v>#VALUE!</v>
      </c>
      <c r="S506" s="22" t="e">
        <f>Tabla1[[#This Row],[StockDisp]]*Tabla1[[#This Row],[UM producto]]</f>
        <v>#VALUE!</v>
      </c>
    </row>
    <row r="507" spans="1:19" x14ac:dyDescent="0.35">
      <c r="A507" s="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6"/>
      <c r="P507" s="23" t="e">
        <f>TRIM(Tabla1[[#This Row],[Articulo]])</f>
        <v>#VALUE!</v>
      </c>
      <c r="Q507" s="23" t="e">
        <f>_xlfn.XLOOKUP(Tabla1[[#This Row],[Ean Normalizado]],Consumos!A:A,Consumos!E:E)</f>
        <v>#VALUE!</v>
      </c>
      <c r="R507" s="22" t="e">
        <f>_xlfn.XLOOKUP(Tabla1[[#This Row],[Ean Normalizado]],tabla_consumos[EAN],tabla_consumos[UM])</f>
        <v>#VALUE!</v>
      </c>
      <c r="S507" s="22" t="e">
        <f>Tabla1[[#This Row],[StockDisp]]*Tabla1[[#This Row],[UM producto]]</f>
        <v>#VALUE!</v>
      </c>
    </row>
    <row r="508" spans="1:19" x14ac:dyDescent="0.35">
      <c r="A508" s="5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6"/>
      <c r="P508" s="23" t="e">
        <f>TRIM(Tabla1[[#This Row],[Articulo]])</f>
        <v>#VALUE!</v>
      </c>
      <c r="Q508" s="23" t="e">
        <f>_xlfn.XLOOKUP(Tabla1[[#This Row],[Ean Normalizado]],Consumos!A:A,Consumos!E:E)</f>
        <v>#VALUE!</v>
      </c>
      <c r="R508" s="22" t="e">
        <f>_xlfn.XLOOKUP(Tabla1[[#This Row],[Ean Normalizado]],tabla_consumos[EAN],tabla_consumos[UM])</f>
        <v>#VALUE!</v>
      </c>
      <c r="S508" s="22" t="e">
        <f>Tabla1[[#This Row],[StockDisp]]*Tabla1[[#This Row],[UM producto]]</f>
        <v>#VALUE!</v>
      </c>
    </row>
    <row r="509" spans="1:19" x14ac:dyDescent="0.35">
      <c r="A509" s="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6"/>
      <c r="P509" s="23" t="e">
        <f>TRIM(Tabla1[[#This Row],[Articulo]])</f>
        <v>#VALUE!</v>
      </c>
      <c r="Q509" s="23" t="e">
        <f>_xlfn.XLOOKUP(Tabla1[[#This Row],[Ean Normalizado]],Consumos!A:A,Consumos!E:E)</f>
        <v>#VALUE!</v>
      </c>
      <c r="R509" s="22" t="e">
        <f>_xlfn.XLOOKUP(Tabla1[[#This Row],[Ean Normalizado]],tabla_consumos[EAN],tabla_consumos[UM])</f>
        <v>#VALUE!</v>
      </c>
      <c r="S509" s="22" t="e">
        <f>Tabla1[[#This Row],[StockDisp]]*Tabla1[[#This Row],[UM producto]]</f>
        <v>#VALUE!</v>
      </c>
    </row>
    <row r="510" spans="1:19" x14ac:dyDescent="0.35">
      <c r="A510" s="5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6"/>
      <c r="P510" s="23" t="e">
        <f>TRIM(Tabla1[[#This Row],[Articulo]])</f>
        <v>#VALUE!</v>
      </c>
      <c r="Q510" s="23" t="e">
        <f>_xlfn.XLOOKUP(Tabla1[[#This Row],[Ean Normalizado]],Consumos!A:A,Consumos!E:E)</f>
        <v>#VALUE!</v>
      </c>
      <c r="R510" s="22" t="e">
        <f>_xlfn.XLOOKUP(Tabla1[[#This Row],[Ean Normalizado]],tabla_consumos[EAN],tabla_consumos[UM])</f>
        <v>#VALUE!</v>
      </c>
      <c r="S510" s="22" t="e">
        <f>Tabla1[[#This Row],[StockDisp]]*Tabla1[[#This Row],[UM producto]]</f>
        <v>#VALUE!</v>
      </c>
    </row>
    <row r="511" spans="1:19" x14ac:dyDescent="0.35">
      <c r="A511" s="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6"/>
      <c r="P511" s="23" t="e">
        <f>TRIM(Tabla1[[#This Row],[Articulo]])</f>
        <v>#VALUE!</v>
      </c>
      <c r="Q511" s="23" t="e">
        <f>_xlfn.XLOOKUP(Tabla1[[#This Row],[Ean Normalizado]],Consumos!A:A,Consumos!E:E)</f>
        <v>#VALUE!</v>
      </c>
      <c r="R511" s="22" t="e">
        <f>_xlfn.XLOOKUP(Tabla1[[#This Row],[Ean Normalizado]],tabla_consumos[EAN],tabla_consumos[UM])</f>
        <v>#VALUE!</v>
      </c>
      <c r="S511" s="22" t="e">
        <f>Tabla1[[#This Row],[StockDisp]]*Tabla1[[#This Row],[UM producto]]</f>
        <v>#VALUE!</v>
      </c>
    </row>
    <row r="512" spans="1:19" x14ac:dyDescent="0.35">
      <c r="A512" s="5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6"/>
      <c r="P512" s="23" t="e">
        <f>TRIM(Tabla1[[#This Row],[Articulo]])</f>
        <v>#VALUE!</v>
      </c>
      <c r="Q512" s="23" t="e">
        <f>_xlfn.XLOOKUP(Tabla1[[#This Row],[Ean Normalizado]],Consumos!A:A,Consumos!E:E)</f>
        <v>#VALUE!</v>
      </c>
      <c r="R512" s="22" t="e">
        <f>_xlfn.XLOOKUP(Tabla1[[#This Row],[Ean Normalizado]],tabla_consumos[EAN],tabla_consumos[UM])</f>
        <v>#VALUE!</v>
      </c>
      <c r="S512" s="22" t="e">
        <f>Tabla1[[#This Row],[StockDisp]]*Tabla1[[#This Row],[UM producto]]</f>
        <v>#VALUE!</v>
      </c>
    </row>
    <row r="513" spans="1:19" x14ac:dyDescent="0.35">
      <c r="A513" s="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6"/>
      <c r="P513" s="23" t="e">
        <f>TRIM(Tabla1[[#This Row],[Articulo]])</f>
        <v>#VALUE!</v>
      </c>
      <c r="Q513" s="23" t="e">
        <f>_xlfn.XLOOKUP(Tabla1[[#This Row],[Ean Normalizado]],Consumos!A:A,Consumos!E:E)</f>
        <v>#VALUE!</v>
      </c>
      <c r="R513" s="22" t="e">
        <f>_xlfn.XLOOKUP(Tabla1[[#This Row],[Ean Normalizado]],tabla_consumos[EAN],tabla_consumos[UM])</f>
        <v>#VALUE!</v>
      </c>
      <c r="S513" s="22" t="e">
        <f>Tabla1[[#This Row],[StockDisp]]*Tabla1[[#This Row],[UM producto]]</f>
        <v>#VALUE!</v>
      </c>
    </row>
    <row r="514" spans="1:19" x14ac:dyDescent="0.35">
      <c r="A514" s="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6"/>
      <c r="P514" s="23" t="e">
        <f>TRIM(Tabla1[[#This Row],[Articulo]])</f>
        <v>#VALUE!</v>
      </c>
      <c r="Q514" s="23" t="e">
        <f>_xlfn.XLOOKUP(Tabla1[[#This Row],[Ean Normalizado]],Consumos!A:A,Consumos!E:E)</f>
        <v>#VALUE!</v>
      </c>
      <c r="R514" s="22" t="e">
        <f>_xlfn.XLOOKUP(Tabla1[[#This Row],[Ean Normalizado]],tabla_consumos[EAN],tabla_consumos[UM])</f>
        <v>#VALUE!</v>
      </c>
      <c r="S514" s="22" t="e">
        <f>Tabla1[[#This Row],[StockDisp]]*Tabla1[[#This Row],[UM producto]]</f>
        <v>#VALUE!</v>
      </c>
    </row>
    <row r="515" spans="1:19" x14ac:dyDescent="0.35">
      <c r="A515" s="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6"/>
      <c r="P515" s="23" t="e">
        <f>TRIM(Tabla1[[#This Row],[Articulo]])</f>
        <v>#VALUE!</v>
      </c>
      <c r="Q515" s="23" t="e">
        <f>_xlfn.XLOOKUP(Tabla1[[#This Row],[Ean Normalizado]],Consumos!A:A,Consumos!E:E)</f>
        <v>#VALUE!</v>
      </c>
      <c r="R515" s="22" t="e">
        <f>_xlfn.XLOOKUP(Tabla1[[#This Row],[Ean Normalizado]],tabla_consumos[EAN],tabla_consumos[UM])</f>
        <v>#VALUE!</v>
      </c>
      <c r="S515" s="22" t="e">
        <f>Tabla1[[#This Row],[StockDisp]]*Tabla1[[#This Row],[UM producto]]</f>
        <v>#VALUE!</v>
      </c>
    </row>
    <row r="516" spans="1:19" x14ac:dyDescent="0.35">
      <c r="A516" s="5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6"/>
      <c r="P516" s="23" t="e">
        <f>TRIM(Tabla1[[#This Row],[Articulo]])</f>
        <v>#VALUE!</v>
      </c>
      <c r="Q516" s="23" t="e">
        <f>_xlfn.XLOOKUP(Tabla1[[#This Row],[Ean Normalizado]],Consumos!A:A,Consumos!E:E)</f>
        <v>#VALUE!</v>
      </c>
      <c r="R516" s="22" t="e">
        <f>_xlfn.XLOOKUP(Tabla1[[#This Row],[Ean Normalizado]],tabla_consumos[EAN],tabla_consumos[UM])</f>
        <v>#VALUE!</v>
      </c>
      <c r="S516" s="22" t="e">
        <f>Tabla1[[#This Row],[StockDisp]]*Tabla1[[#This Row],[UM producto]]</f>
        <v>#VALUE!</v>
      </c>
    </row>
    <row r="517" spans="1:19" x14ac:dyDescent="0.35">
      <c r="A517" s="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6"/>
      <c r="P517" s="23" t="e">
        <f>TRIM(Tabla1[[#This Row],[Articulo]])</f>
        <v>#VALUE!</v>
      </c>
      <c r="Q517" s="23" t="e">
        <f>_xlfn.XLOOKUP(Tabla1[[#This Row],[Ean Normalizado]],Consumos!A:A,Consumos!E:E)</f>
        <v>#VALUE!</v>
      </c>
      <c r="R517" s="22" t="e">
        <f>_xlfn.XLOOKUP(Tabla1[[#This Row],[Ean Normalizado]],tabla_consumos[EAN],tabla_consumos[UM])</f>
        <v>#VALUE!</v>
      </c>
      <c r="S517" s="22" t="e">
        <f>Tabla1[[#This Row],[StockDisp]]*Tabla1[[#This Row],[UM producto]]</f>
        <v>#VALUE!</v>
      </c>
    </row>
    <row r="518" spans="1:19" x14ac:dyDescent="0.35">
      <c r="A518" s="5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6"/>
      <c r="P518" s="23" t="e">
        <f>TRIM(Tabla1[[#This Row],[Articulo]])</f>
        <v>#VALUE!</v>
      </c>
      <c r="Q518" s="23" t="e">
        <f>_xlfn.XLOOKUP(Tabla1[[#This Row],[Ean Normalizado]],Consumos!A:A,Consumos!E:E)</f>
        <v>#VALUE!</v>
      </c>
      <c r="R518" s="22" t="e">
        <f>_xlfn.XLOOKUP(Tabla1[[#This Row],[Ean Normalizado]],tabla_consumos[EAN],tabla_consumos[UM])</f>
        <v>#VALUE!</v>
      </c>
      <c r="S518" s="22" t="e">
        <f>Tabla1[[#This Row],[StockDisp]]*Tabla1[[#This Row],[UM producto]]</f>
        <v>#VALUE!</v>
      </c>
    </row>
    <row r="519" spans="1:19" x14ac:dyDescent="0.35">
      <c r="A519" s="5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6"/>
      <c r="P519" s="23" t="e">
        <f>TRIM(Tabla1[[#This Row],[Articulo]])</f>
        <v>#VALUE!</v>
      </c>
      <c r="Q519" s="23" t="e">
        <f>_xlfn.XLOOKUP(Tabla1[[#This Row],[Ean Normalizado]],Consumos!A:A,Consumos!E:E)</f>
        <v>#VALUE!</v>
      </c>
      <c r="R519" s="22" t="e">
        <f>_xlfn.XLOOKUP(Tabla1[[#This Row],[Ean Normalizado]],tabla_consumos[EAN],tabla_consumos[UM])</f>
        <v>#VALUE!</v>
      </c>
      <c r="S519" s="22" t="e">
        <f>Tabla1[[#This Row],[StockDisp]]*Tabla1[[#This Row],[UM producto]]</f>
        <v>#VALUE!</v>
      </c>
    </row>
    <row r="520" spans="1:19" x14ac:dyDescent="0.35">
      <c r="A520" s="5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6"/>
      <c r="P520" s="23" t="e">
        <f>TRIM(Tabla1[[#This Row],[Articulo]])</f>
        <v>#VALUE!</v>
      </c>
      <c r="Q520" s="23" t="e">
        <f>_xlfn.XLOOKUP(Tabla1[[#This Row],[Ean Normalizado]],Consumos!A:A,Consumos!E:E)</f>
        <v>#VALUE!</v>
      </c>
      <c r="R520" s="22" t="e">
        <f>_xlfn.XLOOKUP(Tabla1[[#This Row],[Ean Normalizado]],tabla_consumos[EAN],tabla_consumos[UM])</f>
        <v>#VALUE!</v>
      </c>
      <c r="S520" s="22" t="e">
        <f>Tabla1[[#This Row],[StockDisp]]*Tabla1[[#This Row],[UM producto]]</f>
        <v>#VALUE!</v>
      </c>
    </row>
    <row r="521" spans="1:19" x14ac:dyDescent="0.35">
      <c r="A521" s="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6"/>
      <c r="P521" s="23" t="e">
        <f>TRIM(Tabla1[[#This Row],[Articulo]])</f>
        <v>#VALUE!</v>
      </c>
      <c r="Q521" s="23" t="e">
        <f>_xlfn.XLOOKUP(Tabla1[[#This Row],[Ean Normalizado]],Consumos!A:A,Consumos!E:E)</f>
        <v>#VALUE!</v>
      </c>
      <c r="R521" s="22" t="e">
        <f>_xlfn.XLOOKUP(Tabla1[[#This Row],[Ean Normalizado]],tabla_consumos[EAN],tabla_consumos[UM])</f>
        <v>#VALUE!</v>
      </c>
      <c r="S521" s="22" t="e">
        <f>Tabla1[[#This Row],[StockDisp]]*Tabla1[[#This Row],[UM producto]]</f>
        <v>#VALUE!</v>
      </c>
    </row>
    <row r="522" spans="1:19" x14ac:dyDescent="0.35">
      <c r="A522" s="5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6"/>
      <c r="P522" s="23" t="e">
        <f>TRIM(Tabla1[[#This Row],[Articulo]])</f>
        <v>#VALUE!</v>
      </c>
      <c r="Q522" s="23" t="e">
        <f>_xlfn.XLOOKUP(Tabla1[[#This Row],[Ean Normalizado]],Consumos!A:A,Consumos!E:E)</f>
        <v>#VALUE!</v>
      </c>
      <c r="R522" s="22" t="e">
        <f>_xlfn.XLOOKUP(Tabla1[[#This Row],[Ean Normalizado]],tabla_consumos[EAN],tabla_consumos[UM])</f>
        <v>#VALUE!</v>
      </c>
      <c r="S522" s="22" t="e">
        <f>Tabla1[[#This Row],[StockDisp]]*Tabla1[[#This Row],[UM producto]]</f>
        <v>#VALUE!</v>
      </c>
    </row>
    <row r="523" spans="1:19" x14ac:dyDescent="0.35">
      <c r="A523" s="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6"/>
      <c r="P523" s="23" t="e">
        <f>TRIM(Tabla1[[#This Row],[Articulo]])</f>
        <v>#VALUE!</v>
      </c>
      <c r="Q523" s="23" t="e">
        <f>_xlfn.XLOOKUP(Tabla1[[#This Row],[Ean Normalizado]],Consumos!A:A,Consumos!E:E)</f>
        <v>#VALUE!</v>
      </c>
      <c r="R523" s="22" t="e">
        <f>_xlfn.XLOOKUP(Tabla1[[#This Row],[Ean Normalizado]],tabla_consumos[EAN],tabla_consumos[UM])</f>
        <v>#VALUE!</v>
      </c>
      <c r="S523" s="22" t="e">
        <f>Tabla1[[#This Row],[StockDisp]]*Tabla1[[#This Row],[UM producto]]</f>
        <v>#VALUE!</v>
      </c>
    </row>
    <row r="524" spans="1:19" x14ac:dyDescent="0.35">
      <c r="A524" s="5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6"/>
      <c r="P524" s="23" t="e">
        <f>TRIM(Tabla1[[#This Row],[Articulo]])</f>
        <v>#VALUE!</v>
      </c>
      <c r="Q524" s="23" t="e">
        <f>_xlfn.XLOOKUP(Tabla1[[#This Row],[Ean Normalizado]],Consumos!A:A,Consumos!E:E)</f>
        <v>#VALUE!</v>
      </c>
      <c r="R524" s="22" t="e">
        <f>_xlfn.XLOOKUP(Tabla1[[#This Row],[Ean Normalizado]],tabla_consumos[EAN],tabla_consumos[UM])</f>
        <v>#VALUE!</v>
      </c>
      <c r="S524" s="22" t="e">
        <f>Tabla1[[#This Row],[StockDisp]]*Tabla1[[#This Row],[UM producto]]</f>
        <v>#VALUE!</v>
      </c>
    </row>
    <row r="525" spans="1:19" x14ac:dyDescent="0.35">
      <c r="A525" s="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6"/>
      <c r="P525" s="23" t="e">
        <f>TRIM(Tabla1[[#This Row],[Articulo]])</f>
        <v>#VALUE!</v>
      </c>
      <c r="Q525" s="23" t="e">
        <f>_xlfn.XLOOKUP(Tabla1[[#This Row],[Ean Normalizado]],Consumos!A:A,Consumos!E:E)</f>
        <v>#VALUE!</v>
      </c>
      <c r="R525" s="22" t="e">
        <f>_xlfn.XLOOKUP(Tabla1[[#This Row],[Ean Normalizado]],tabla_consumos[EAN],tabla_consumos[UM])</f>
        <v>#VALUE!</v>
      </c>
      <c r="S525" s="22" t="e">
        <f>Tabla1[[#This Row],[StockDisp]]*Tabla1[[#This Row],[UM producto]]</f>
        <v>#VALUE!</v>
      </c>
    </row>
    <row r="526" spans="1:19" x14ac:dyDescent="0.35">
      <c r="A526" s="5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6"/>
      <c r="P526" s="23" t="e">
        <f>TRIM(Tabla1[[#This Row],[Articulo]])</f>
        <v>#VALUE!</v>
      </c>
      <c r="Q526" s="23" t="e">
        <f>_xlfn.XLOOKUP(Tabla1[[#This Row],[Ean Normalizado]],Consumos!A:A,Consumos!E:E)</f>
        <v>#VALUE!</v>
      </c>
      <c r="R526" s="22" t="e">
        <f>_xlfn.XLOOKUP(Tabla1[[#This Row],[Ean Normalizado]],tabla_consumos[EAN],tabla_consumos[UM])</f>
        <v>#VALUE!</v>
      </c>
      <c r="S526" s="22" t="e">
        <f>Tabla1[[#This Row],[StockDisp]]*Tabla1[[#This Row],[UM producto]]</f>
        <v>#VALUE!</v>
      </c>
    </row>
    <row r="527" spans="1:19" x14ac:dyDescent="0.35">
      <c r="A527" s="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6"/>
      <c r="P527" s="23" t="e">
        <f>TRIM(Tabla1[[#This Row],[Articulo]])</f>
        <v>#VALUE!</v>
      </c>
      <c r="Q527" s="23" t="e">
        <f>_xlfn.XLOOKUP(Tabla1[[#This Row],[Ean Normalizado]],Consumos!A:A,Consumos!E:E)</f>
        <v>#VALUE!</v>
      </c>
      <c r="R527" s="22" t="e">
        <f>_xlfn.XLOOKUP(Tabla1[[#This Row],[Ean Normalizado]],tabla_consumos[EAN],tabla_consumos[UM])</f>
        <v>#VALUE!</v>
      </c>
      <c r="S527" s="22" t="e">
        <f>Tabla1[[#This Row],[StockDisp]]*Tabla1[[#This Row],[UM producto]]</f>
        <v>#VALUE!</v>
      </c>
    </row>
    <row r="528" spans="1:19" x14ac:dyDescent="0.35">
      <c r="A528" s="5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6"/>
      <c r="P528" s="23" t="e">
        <f>TRIM(Tabla1[[#This Row],[Articulo]])</f>
        <v>#VALUE!</v>
      </c>
      <c r="Q528" s="23" t="e">
        <f>_xlfn.XLOOKUP(Tabla1[[#This Row],[Ean Normalizado]],Consumos!A:A,Consumos!E:E)</f>
        <v>#VALUE!</v>
      </c>
      <c r="R528" s="22" t="e">
        <f>_xlfn.XLOOKUP(Tabla1[[#This Row],[Ean Normalizado]],tabla_consumos[EAN],tabla_consumos[UM])</f>
        <v>#VALUE!</v>
      </c>
      <c r="S528" s="22" t="e">
        <f>Tabla1[[#This Row],[StockDisp]]*Tabla1[[#This Row],[UM producto]]</f>
        <v>#VALUE!</v>
      </c>
    </row>
    <row r="529" spans="1:19" x14ac:dyDescent="0.35">
      <c r="A529" s="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6"/>
      <c r="P529" s="23" t="e">
        <f>TRIM(Tabla1[[#This Row],[Articulo]])</f>
        <v>#VALUE!</v>
      </c>
      <c r="Q529" s="23" t="e">
        <f>_xlfn.XLOOKUP(Tabla1[[#This Row],[Ean Normalizado]],Consumos!A:A,Consumos!E:E)</f>
        <v>#VALUE!</v>
      </c>
      <c r="R529" s="22" t="e">
        <f>_xlfn.XLOOKUP(Tabla1[[#This Row],[Ean Normalizado]],tabla_consumos[EAN],tabla_consumos[UM])</f>
        <v>#VALUE!</v>
      </c>
      <c r="S529" s="22" t="e">
        <f>Tabla1[[#This Row],[StockDisp]]*Tabla1[[#This Row],[UM producto]]</f>
        <v>#VALUE!</v>
      </c>
    </row>
    <row r="530" spans="1:19" x14ac:dyDescent="0.35">
      <c r="A530" s="5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6"/>
      <c r="P530" s="23" t="e">
        <f>TRIM(Tabla1[[#This Row],[Articulo]])</f>
        <v>#VALUE!</v>
      </c>
      <c r="Q530" s="23" t="e">
        <f>_xlfn.XLOOKUP(Tabla1[[#This Row],[Ean Normalizado]],Consumos!A:A,Consumos!E:E)</f>
        <v>#VALUE!</v>
      </c>
      <c r="R530" s="22" t="e">
        <f>_xlfn.XLOOKUP(Tabla1[[#This Row],[Ean Normalizado]],tabla_consumos[EAN],tabla_consumos[UM])</f>
        <v>#VALUE!</v>
      </c>
      <c r="S530" s="22" t="e">
        <f>Tabla1[[#This Row],[StockDisp]]*Tabla1[[#This Row],[UM producto]]</f>
        <v>#VALUE!</v>
      </c>
    </row>
    <row r="531" spans="1:19" x14ac:dyDescent="0.35">
      <c r="A531" s="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6"/>
      <c r="P531" s="23" t="e">
        <f>TRIM(Tabla1[[#This Row],[Articulo]])</f>
        <v>#VALUE!</v>
      </c>
      <c r="Q531" s="23" t="e">
        <f>_xlfn.XLOOKUP(Tabla1[[#This Row],[Ean Normalizado]],Consumos!A:A,Consumos!E:E)</f>
        <v>#VALUE!</v>
      </c>
      <c r="R531" s="22" t="e">
        <f>_xlfn.XLOOKUP(Tabla1[[#This Row],[Ean Normalizado]],tabla_consumos[EAN],tabla_consumos[UM])</f>
        <v>#VALUE!</v>
      </c>
      <c r="S531" s="22" t="e">
        <f>Tabla1[[#This Row],[StockDisp]]*Tabla1[[#This Row],[UM producto]]</f>
        <v>#VALUE!</v>
      </c>
    </row>
    <row r="532" spans="1:19" x14ac:dyDescent="0.35">
      <c r="A532" s="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6"/>
      <c r="P532" s="23" t="e">
        <f>TRIM(Tabla1[[#This Row],[Articulo]])</f>
        <v>#VALUE!</v>
      </c>
      <c r="Q532" s="23" t="e">
        <f>_xlfn.XLOOKUP(Tabla1[[#This Row],[Ean Normalizado]],Consumos!A:A,Consumos!E:E)</f>
        <v>#VALUE!</v>
      </c>
      <c r="R532" s="22" t="e">
        <f>_xlfn.XLOOKUP(Tabla1[[#This Row],[Ean Normalizado]],tabla_consumos[EAN],tabla_consumos[UM])</f>
        <v>#VALUE!</v>
      </c>
      <c r="S532" s="22" t="e">
        <f>Tabla1[[#This Row],[StockDisp]]*Tabla1[[#This Row],[UM producto]]</f>
        <v>#VALUE!</v>
      </c>
    </row>
    <row r="533" spans="1:19" x14ac:dyDescent="0.35">
      <c r="A533" s="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6"/>
      <c r="P533" s="23" t="e">
        <f>TRIM(Tabla1[[#This Row],[Articulo]])</f>
        <v>#VALUE!</v>
      </c>
      <c r="Q533" s="23" t="e">
        <f>_xlfn.XLOOKUP(Tabla1[[#This Row],[Ean Normalizado]],Consumos!A:A,Consumos!E:E)</f>
        <v>#VALUE!</v>
      </c>
      <c r="R533" s="22" t="e">
        <f>_xlfn.XLOOKUP(Tabla1[[#This Row],[Ean Normalizado]],tabla_consumos[EAN],tabla_consumos[UM])</f>
        <v>#VALUE!</v>
      </c>
      <c r="S533" s="22" t="e">
        <f>Tabla1[[#This Row],[StockDisp]]*Tabla1[[#This Row],[UM producto]]</f>
        <v>#VALUE!</v>
      </c>
    </row>
    <row r="534" spans="1:19" x14ac:dyDescent="0.35">
      <c r="A534" s="5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6"/>
      <c r="P534" s="23" t="e">
        <f>TRIM(Tabla1[[#This Row],[Articulo]])</f>
        <v>#VALUE!</v>
      </c>
      <c r="Q534" s="23" t="e">
        <f>_xlfn.XLOOKUP(Tabla1[[#This Row],[Ean Normalizado]],Consumos!A:A,Consumos!E:E)</f>
        <v>#VALUE!</v>
      </c>
      <c r="R534" s="22" t="e">
        <f>_xlfn.XLOOKUP(Tabla1[[#This Row],[Ean Normalizado]],tabla_consumos[EAN],tabla_consumos[UM])</f>
        <v>#VALUE!</v>
      </c>
      <c r="S534" s="22" t="e">
        <f>Tabla1[[#This Row],[StockDisp]]*Tabla1[[#This Row],[UM producto]]</f>
        <v>#VALUE!</v>
      </c>
    </row>
    <row r="535" spans="1:19" x14ac:dyDescent="0.35">
      <c r="A535" s="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6"/>
      <c r="P535" s="23" t="e">
        <f>TRIM(Tabla1[[#This Row],[Articulo]])</f>
        <v>#VALUE!</v>
      </c>
      <c r="Q535" s="23" t="e">
        <f>_xlfn.XLOOKUP(Tabla1[[#This Row],[Ean Normalizado]],Consumos!A:A,Consumos!E:E)</f>
        <v>#VALUE!</v>
      </c>
      <c r="R535" s="22" t="e">
        <f>_xlfn.XLOOKUP(Tabla1[[#This Row],[Ean Normalizado]],tabla_consumos[EAN],tabla_consumos[UM])</f>
        <v>#VALUE!</v>
      </c>
      <c r="S535" s="22" t="e">
        <f>Tabla1[[#This Row],[StockDisp]]*Tabla1[[#This Row],[UM producto]]</f>
        <v>#VALUE!</v>
      </c>
    </row>
    <row r="536" spans="1:19" x14ac:dyDescent="0.35">
      <c r="A536" s="5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6"/>
      <c r="P536" s="23" t="e">
        <f>TRIM(Tabla1[[#This Row],[Articulo]])</f>
        <v>#VALUE!</v>
      </c>
      <c r="Q536" s="23" t="e">
        <f>_xlfn.XLOOKUP(Tabla1[[#This Row],[Ean Normalizado]],Consumos!A:A,Consumos!E:E)</f>
        <v>#VALUE!</v>
      </c>
      <c r="R536" s="22" t="e">
        <f>_xlfn.XLOOKUP(Tabla1[[#This Row],[Ean Normalizado]],tabla_consumos[EAN],tabla_consumos[UM])</f>
        <v>#VALUE!</v>
      </c>
      <c r="S536" s="22" t="e">
        <f>Tabla1[[#This Row],[StockDisp]]*Tabla1[[#This Row],[UM producto]]</f>
        <v>#VALUE!</v>
      </c>
    </row>
    <row r="537" spans="1:19" x14ac:dyDescent="0.35">
      <c r="A537" s="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6"/>
      <c r="P537" s="23" t="e">
        <f>TRIM(Tabla1[[#This Row],[Articulo]])</f>
        <v>#VALUE!</v>
      </c>
      <c r="Q537" s="23" t="e">
        <f>_xlfn.XLOOKUP(Tabla1[[#This Row],[Ean Normalizado]],Consumos!A:A,Consumos!E:E)</f>
        <v>#VALUE!</v>
      </c>
      <c r="R537" s="22" t="e">
        <f>_xlfn.XLOOKUP(Tabla1[[#This Row],[Ean Normalizado]],tabla_consumos[EAN],tabla_consumos[UM])</f>
        <v>#VALUE!</v>
      </c>
      <c r="S537" s="22" t="e">
        <f>Tabla1[[#This Row],[StockDisp]]*Tabla1[[#This Row],[UM producto]]</f>
        <v>#VALUE!</v>
      </c>
    </row>
    <row r="538" spans="1:19" x14ac:dyDescent="0.35">
      <c r="A538" s="5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6"/>
      <c r="P538" s="23" t="e">
        <f>TRIM(Tabla1[[#This Row],[Articulo]])</f>
        <v>#VALUE!</v>
      </c>
      <c r="Q538" s="23" t="e">
        <f>_xlfn.XLOOKUP(Tabla1[[#This Row],[Ean Normalizado]],Consumos!A:A,Consumos!E:E)</f>
        <v>#VALUE!</v>
      </c>
      <c r="R538" s="22" t="e">
        <f>_xlfn.XLOOKUP(Tabla1[[#This Row],[Ean Normalizado]],tabla_consumos[EAN],tabla_consumos[UM])</f>
        <v>#VALUE!</v>
      </c>
      <c r="S538" s="22" t="e">
        <f>Tabla1[[#This Row],[StockDisp]]*Tabla1[[#This Row],[UM producto]]</f>
        <v>#VALUE!</v>
      </c>
    </row>
    <row r="539" spans="1:19" x14ac:dyDescent="0.35">
      <c r="A539" s="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6"/>
      <c r="P539" s="23" t="e">
        <f>TRIM(Tabla1[[#This Row],[Articulo]])</f>
        <v>#VALUE!</v>
      </c>
      <c r="Q539" s="23" t="e">
        <f>_xlfn.XLOOKUP(Tabla1[[#This Row],[Ean Normalizado]],Consumos!A:A,Consumos!E:E)</f>
        <v>#VALUE!</v>
      </c>
      <c r="R539" s="22" t="e">
        <f>_xlfn.XLOOKUP(Tabla1[[#This Row],[Ean Normalizado]],tabla_consumos[EAN],tabla_consumos[UM])</f>
        <v>#VALUE!</v>
      </c>
      <c r="S539" s="22" t="e">
        <f>Tabla1[[#This Row],[StockDisp]]*Tabla1[[#This Row],[UM producto]]</f>
        <v>#VALUE!</v>
      </c>
    </row>
    <row r="540" spans="1:19" x14ac:dyDescent="0.35">
      <c r="A540" s="5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6"/>
      <c r="P540" s="23" t="e">
        <f>TRIM(Tabla1[[#This Row],[Articulo]])</f>
        <v>#VALUE!</v>
      </c>
      <c r="Q540" s="23" t="e">
        <f>_xlfn.XLOOKUP(Tabla1[[#This Row],[Ean Normalizado]],Consumos!A:A,Consumos!E:E)</f>
        <v>#VALUE!</v>
      </c>
      <c r="R540" s="22" t="e">
        <f>_xlfn.XLOOKUP(Tabla1[[#This Row],[Ean Normalizado]],tabla_consumos[EAN],tabla_consumos[UM])</f>
        <v>#VALUE!</v>
      </c>
      <c r="S540" s="22" t="e">
        <f>Tabla1[[#This Row],[StockDisp]]*Tabla1[[#This Row],[UM producto]]</f>
        <v>#VALUE!</v>
      </c>
    </row>
    <row r="541" spans="1:19" x14ac:dyDescent="0.35">
      <c r="A541" s="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6"/>
      <c r="P541" s="23" t="e">
        <f>TRIM(Tabla1[[#This Row],[Articulo]])</f>
        <v>#VALUE!</v>
      </c>
      <c r="Q541" s="23" t="e">
        <f>_xlfn.XLOOKUP(Tabla1[[#This Row],[Ean Normalizado]],Consumos!A:A,Consumos!E:E)</f>
        <v>#VALUE!</v>
      </c>
      <c r="R541" s="22" t="e">
        <f>_xlfn.XLOOKUP(Tabla1[[#This Row],[Ean Normalizado]],tabla_consumos[EAN],tabla_consumos[UM])</f>
        <v>#VALUE!</v>
      </c>
      <c r="S541" s="22" t="e">
        <f>Tabla1[[#This Row],[StockDisp]]*Tabla1[[#This Row],[UM producto]]</f>
        <v>#VALUE!</v>
      </c>
    </row>
    <row r="542" spans="1:19" x14ac:dyDescent="0.35">
      <c r="A542" s="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6"/>
      <c r="P542" s="23" t="e">
        <f>TRIM(Tabla1[[#This Row],[Articulo]])</f>
        <v>#VALUE!</v>
      </c>
      <c r="Q542" s="23" t="e">
        <f>_xlfn.XLOOKUP(Tabla1[[#This Row],[Ean Normalizado]],Consumos!A:A,Consumos!E:E)</f>
        <v>#VALUE!</v>
      </c>
      <c r="R542" s="22" t="e">
        <f>_xlfn.XLOOKUP(Tabla1[[#This Row],[Ean Normalizado]],tabla_consumos[EAN],tabla_consumos[UM])</f>
        <v>#VALUE!</v>
      </c>
      <c r="S542" s="22" t="e">
        <f>Tabla1[[#This Row],[StockDisp]]*Tabla1[[#This Row],[UM producto]]</f>
        <v>#VALUE!</v>
      </c>
    </row>
    <row r="543" spans="1:19" x14ac:dyDescent="0.35">
      <c r="A543" s="5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6"/>
      <c r="P543" s="23" t="e">
        <f>TRIM(Tabla1[[#This Row],[Articulo]])</f>
        <v>#VALUE!</v>
      </c>
      <c r="Q543" s="23" t="e">
        <f>_xlfn.XLOOKUP(Tabla1[[#This Row],[Ean Normalizado]],Consumos!A:A,Consumos!E:E)</f>
        <v>#VALUE!</v>
      </c>
      <c r="R543" s="22" t="e">
        <f>_xlfn.XLOOKUP(Tabla1[[#This Row],[Ean Normalizado]],tabla_consumos[EAN],tabla_consumos[UM])</f>
        <v>#VALUE!</v>
      </c>
      <c r="S543" s="22" t="e">
        <f>Tabla1[[#This Row],[StockDisp]]*Tabla1[[#This Row],[UM producto]]</f>
        <v>#VALUE!</v>
      </c>
    </row>
    <row r="544" spans="1:19" x14ac:dyDescent="0.35">
      <c r="A544" s="5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6"/>
      <c r="P544" s="23" t="e">
        <f>TRIM(Tabla1[[#This Row],[Articulo]])</f>
        <v>#VALUE!</v>
      </c>
      <c r="Q544" s="23" t="e">
        <f>_xlfn.XLOOKUP(Tabla1[[#This Row],[Ean Normalizado]],Consumos!A:A,Consumos!E:E)</f>
        <v>#VALUE!</v>
      </c>
      <c r="R544" s="22" t="e">
        <f>_xlfn.XLOOKUP(Tabla1[[#This Row],[Ean Normalizado]],tabla_consumos[EAN],tabla_consumos[UM])</f>
        <v>#VALUE!</v>
      </c>
      <c r="S544" s="22" t="e">
        <f>Tabla1[[#This Row],[StockDisp]]*Tabla1[[#This Row],[UM producto]]</f>
        <v>#VALUE!</v>
      </c>
    </row>
    <row r="545" spans="1:19" x14ac:dyDescent="0.35">
      <c r="A545" s="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6"/>
      <c r="P545" s="23" t="e">
        <f>TRIM(Tabla1[[#This Row],[Articulo]])</f>
        <v>#VALUE!</v>
      </c>
      <c r="Q545" s="23" t="e">
        <f>_xlfn.XLOOKUP(Tabla1[[#This Row],[Ean Normalizado]],Consumos!A:A,Consumos!E:E)</f>
        <v>#VALUE!</v>
      </c>
      <c r="R545" s="22" t="e">
        <f>_xlfn.XLOOKUP(Tabla1[[#This Row],[Ean Normalizado]],tabla_consumos[EAN],tabla_consumos[UM])</f>
        <v>#VALUE!</v>
      </c>
      <c r="S545" s="22" t="e">
        <f>Tabla1[[#This Row],[StockDisp]]*Tabla1[[#This Row],[UM producto]]</f>
        <v>#VALUE!</v>
      </c>
    </row>
    <row r="546" spans="1:19" x14ac:dyDescent="0.35">
      <c r="A546" s="5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6"/>
      <c r="P546" s="23" t="e">
        <f>TRIM(Tabla1[[#This Row],[Articulo]])</f>
        <v>#VALUE!</v>
      </c>
      <c r="Q546" s="23" t="e">
        <f>_xlfn.XLOOKUP(Tabla1[[#This Row],[Ean Normalizado]],Consumos!A:A,Consumos!E:E)</f>
        <v>#VALUE!</v>
      </c>
      <c r="R546" s="22" t="e">
        <f>_xlfn.XLOOKUP(Tabla1[[#This Row],[Ean Normalizado]],tabla_consumos[EAN],tabla_consumos[UM])</f>
        <v>#VALUE!</v>
      </c>
      <c r="S546" s="22" t="e">
        <f>Tabla1[[#This Row],[StockDisp]]*Tabla1[[#This Row],[UM producto]]</f>
        <v>#VALUE!</v>
      </c>
    </row>
    <row r="547" spans="1:19" x14ac:dyDescent="0.35">
      <c r="A547" s="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6"/>
      <c r="P547" s="23" t="e">
        <f>TRIM(Tabla1[[#This Row],[Articulo]])</f>
        <v>#VALUE!</v>
      </c>
      <c r="Q547" s="23" t="e">
        <f>_xlfn.XLOOKUP(Tabla1[[#This Row],[Ean Normalizado]],Consumos!A:A,Consumos!E:E)</f>
        <v>#VALUE!</v>
      </c>
      <c r="R547" s="22" t="e">
        <f>_xlfn.XLOOKUP(Tabla1[[#This Row],[Ean Normalizado]],tabla_consumos[EAN],tabla_consumos[UM])</f>
        <v>#VALUE!</v>
      </c>
      <c r="S547" s="22" t="e">
        <f>Tabla1[[#This Row],[StockDisp]]*Tabla1[[#This Row],[UM producto]]</f>
        <v>#VALUE!</v>
      </c>
    </row>
    <row r="548" spans="1:19" x14ac:dyDescent="0.35">
      <c r="A548" s="5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6"/>
      <c r="P548" s="23" t="e">
        <f>TRIM(Tabla1[[#This Row],[Articulo]])</f>
        <v>#VALUE!</v>
      </c>
      <c r="Q548" s="23" t="e">
        <f>_xlfn.XLOOKUP(Tabla1[[#This Row],[Ean Normalizado]],Consumos!A:A,Consumos!E:E)</f>
        <v>#VALUE!</v>
      </c>
      <c r="R548" s="22" t="e">
        <f>_xlfn.XLOOKUP(Tabla1[[#This Row],[Ean Normalizado]],tabla_consumos[EAN],tabla_consumos[UM])</f>
        <v>#VALUE!</v>
      </c>
      <c r="S548" s="22" t="e">
        <f>Tabla1[[#This Row],[StockDisp]]*Tabla1[[#This Row],[UM producto]]</f>
        <v>#VALUE!</v>
      </c>
    </row>
    <row r="549" spans="1:19" x14ac:dyDescent="0.35">
      <c r="A549" s="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6"/>
      <c r="P549" s="23" t="e">
        <f>TRIM(Tabla1[[#This Row],[Articulo]])</f>
        <v>#VALUE!</v>
      </c>
      <c r="Q549" s="23" t="e">
        <f>_xlfn.XLOOKUP(Tabla1[[#This Row],[Ean Normalizado]],Consumos!A:A,Consumos!E:E)</f>
        <v>#VALUE!</v>
      </c>
      <c r="R549" s="22" t="e">
        <f>_xlfn.XLOOKUP(Tabla1[[#This Row],[Ean Normalizado]],tabla_consumos[EAN],tabla_consumos[UM])</f>
        <v>#VALUE!</v>
      </c>
      <c r="S549" s="22" t="e">
        <f>Tabla1[[#This Row],[StockDisp]]*Tabla1[[#This Row],[UM producto]]</f>
        <v>#VALUE!</v>
      </c>
    </row>
    <row r="550" spans="1:19" x14ac:dyDescent="0.35">
      <c r="A550" s="5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6"/>
      <c r="P550" s="23" t="e">
        <f>TRIM(Tabla1[[#This Row],[Articulo]])</f>
        <v>#VALUE!</v>
      </c>
      <c r="Q550" s="23" t="e">
        <f>_xlfn.XLOOKUP(Tabla1[[#This Row],[Ean Normalizado]],Consumos!A:A,Consumos!E:E)</f>
        <v>#VALUE!</v>
      </c>
      <c r="R550" s="22" t="e">
        <f>_xlfn.XLOOKUP(Tabla1[[#This Row],[Ean Normalizado]],tabla_consumos[EAN],tabla_consumos[UM])</f>
        <v>#VALUE!</v>
      </c>
      <c r="S550" s="22" t="e">
        <f>Tabla1[[#This Row],[StockDisp]]*Tabla1[[#This Row],[UM producto]]</f>
        <v>#VALUE!</v>
      </c>
    </row>
    <row r="551" spans="1:19" x14ac:dyDescent="0.35">
      <c r="A551" s="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6"/>
      <c r="P551" s="23" t="e">
        <f>TRIM(Tabla1[[#This Row],[Articulo]])</f>
        <v>#VALUE!</v>
      </c>
      <c r="Q551" s="23" t="e">
        <f>_xlfn.XLOOKUP(Tabla1[[#This Row],[Ean Normalizado]],Consumos!A:A,Consumos!E:E)</f>
        <v>#VALUE!</v>
      </c>
      <c r="R551" s="22" t="e">
        <f>_xlfn.XLOOKUP(Tabla1[[#This Row],[Ean Normalizado]],tabla_consumos[EAN],tabla_consumos[UM])</f>
        <v>#VALUE!</v>
      </c>
      <c r="S551" s="22" t="e">
        <f>Tabla1[[#This Row],[StockDisp]]*Tabla1[[#This Row],[UM producto]]</f>
        <v>#VALUE!</v>
      </c>
    </row>
    <row r="552" spans="1:19" x14ac:dyDescent="0.35">
      <c r="A552" s="5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6"/>
      <c r="P552" s="23" t="e">
        <f>TRIM(Tabla1[[#This Row],[Articulo]])</f>
        <v>#VALUE!</v>
      </c>
      <c r="Q552" s="23" t="e">
        <f>_xlfn.XLOOKUP(Tabla1[[#This Row],[Ean Normalizado]],Consumos!A:A,Consumos!E:E)</f>
        <v>#VALUE!</v>
      </c>
      <c r="R552" s="22" t="e">
        <f>_xlfn.XLOOKUP(Tabla1[[#This Row],[Ean Normalizado]],tabla_consumos[EAN],tabla_consumos[UM])</f>
        <v>#VALUE!</v>
      </c>
      <c r="S552" s="22" t="e">
        <f>Tabla1[[#This Row],[StockDisp]]*Tabla1[[#This Row],[UM producto]]</f>
        <v>#VALUE!</v>
      </c>
    </row>
    <row r="553" spans="1:19" x14ac:dyDescent="0.35">
      <c r="A553" s="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6"/>
      <c r="P553" s="23" t="e">
        <f>TRIM(Tabla1[[#This Row],[Articulo]])</f>
        <v>#VALUE!</v>
      </c>
      <c r="Q553" s="23" t="e">
        <f>_xlfn.XLOOKUP(Tabla1[[#This Row],[Ean Normalizado]],Consumos!A:A,Consumos!E:E)</f>
        <v>#VALUE!</v>
      </c>
      <c r="R553" s="22" t="e">
        <f>_xlfn.XLOOKUP(Tabla1[[#This Row],[Ean Normalizado]],tabla_consumos[EAN],tabla_consumos[UM])</f>
        <v>#VALUE!</v>
      </c>
      <c r="S553" s="22" t="e">
        <f>Tabla1[[#This Row],[StockDisp]]*Tabla1[[#This Row],[UM producto]]</f>
        <v>#VALUE!</v>
      </c>
    </row>
    <row r="554" spans="1:19" x14ac:dyDescent="0.35">
      <c r="A554" s="5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6"/>
      <c r="P554" s="23" t="e">
        <f>TRIM(Tabla1[[#This Row],[Articulo]])</f>
        <v>#VALUE!</v>
      </c>
      <c r="Q554" s="23" t="e">
        <f>_xlfn.XLOOKUP(Tabla1[[#This Row],[Ean Normalizado]],Consumos!A:A,Consumos!E:E)</f>
        <v>#VALUE!</v>
      </c>
      <c r="R554" s="22" t="e">
        <f>_xlfn.XLOOKUP(Tabla1[[#This Row],[Ean Normalizado]],tabla_consumos[EAN],tabla_consumos[UM])</f>
        <v>#VALUE!</v>
      </c>
      <c r="S554" s="22" t="e">
        <f>Tabla1[[#This Row],[StockDisp]]*Tabla1[[#This Row],[UM producto]]</f>
        <v>#VALUE!</v>
      </c>
    </row>
    <row r="555" spans="1:19" x14ac:dyDescent="0.35">
      <c r="A555" s="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6"/>
      <c r="P555" s="23" t="e">
        <f>TRIM(Tabla1[[#This Row],[Articulo]])</f>
        <v>#VALUE!</v>
      </c>
      <c r="Q555" s="23" t="e">
        <f>_xlfn.XLOOKUP(Tabla1[[#This Row],[Ean Normalizado]],Consumos!A:A,Consumos!E:E)</f>
        <v>#VALUE!</v>
      </c>
      <c r="R555" s="22" t="e">
        <f>_xlfn.XLOOKUP(Tabla1[[#This Row],[Ean Normalizado]],tabla_consumos[EAN],tabla_consumos[UM])</f>
        <v>#VALUE!</v>
      </c>
      <c r="S555" s="22" t="e">
        <f>Tabla1[[#This Row],[StockDisp]]*Tabla1[[#This Row],[UM producto]]</f>
        <v>#VALUE!</v>
      </c>
    </row>
    <row r="556" spans="1:19" x14ac:dyDescent="0.35">
      <c r="A556" s="5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6"/>
      <c r="P556" s="23" t="e">
        <f>TRIM(Tabla1[[#This Row],[Articulo]])</f>
        <v>#VALUE!</v>
      </c>
      <c r="Q556" s="23" t="e">
        <f>_xlfn.XLOOKUP(Tabla1[[#This Row],[Ean Normalizado]],Consumos!A:A,Consumos!E:E)</f>
        <v>#VALUE!</v>
      </c>
      <c r="R556" s="22" t="e">
        <f>_xlfn.XLOOKUP(Tabla1[[#This Row],[Ean Normalizado]],tabla_consumos[EAN],tabla_consumos[UM])</f>
        <v>#VALUE!</v>
      </c>
      <c r="S556" s="22" t="e">
        <f>Tabla1[[#This Row],[StockDisp]]*Tabla1[[#This Row],[UM producto]]</f>
        <v>#VALUE!</v>
      </c>
    </row>
    <row r="557" spans="1:19" x14ac:dyDescent="0.35">
      <c r="A557" s="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6"/>
      <c r="P557" s="23" t="e">
        <f>TRIM(Tabla1[[#This Row],[Articulo]])</f>
        <v>#VALUE!</v>
      </c>
      <c r="Q557" s="23" t="e">
        <f>_xlfn.XLOOKUP(Tabla1[[#This Row],[Ean Normalizado]],Consumos!A:A,Consumos!E:E)</f>
        <v>#VALUE!</v>
      </c>
      <c r="R557" s="22" t="e">
        <f>_xlfn.XLOOKUP(Tabla1[[#This Row],[Ean Normalizado]],tabla_consumos[EAN],tabla_consumos[UM])</f>
        <v>#VALUE!</v>
      </c>
      <c r="S557" s="22" t="e">
        <f>Tabla1[[#This Row],[StockDisp]]*Tabla1[[#This Row],[UM producto]]</f>
        <v>#VALUE!</v>
      </c>
    </row>
    <row r="558" spans="1:19" x14ac:dyDescent="0.35">
      <c r="A558" s="5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6"/>
      <c r="P558" s="23" t="e">
        <f>TRIM(Tabla1[[#This Row],[Articulo]])</f>
        <v>#VALUE!</v>
      </c>
      <c r="Q558" s="23" t="e">
        <f>_xlfn.XLOOKUP(Tabla1[[#This Row],[Ean Normalizado]],Consumos!A:A,Consumos!E:E)</f>
        <v>#VALUE!</v>
      </c>
      <c r="R558" s="22" t="e">
        <f>_xlfn.XLOOKUP(Tabla1[[#This Row],[Ean Normalizado]],tabla_consumos[EAN],tabla_consumos[UM])</f>
        <v>#VALUE!</v>
      </c>
      <c r="S558" s="22" t="e">
        <f>Tabla1[[#This Row],[StockDisp]]*Tabla1[[#This Row],[UM producto]]</f>
        <v>#VALUE!</v>
      </c>
    </row>
    <row r="559" spans="1:19" x14ac:dyDescent="0.35">
      <c r="A559" s="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6"/>
      <c r="P559" s="23" t="e">
        <f>TRIM(Tabla1[[#This Row],[Articulo]])</f>
        <v>#VALUE!</v>
      </c>
      <c r="Q559" s="23" t="e">
        <f>_xlfn.XLOOKUP(Tabla1[[#This Row],[Ean Normalizado]],Consumos!A:A,Consumos!E:E)</f>
        <v>#VALUE!</v>
      </c>
      <c r="R559" s="22" t="e">
        <f>_xlfn.XLOOKUP(Tabla1[[#This Row],[Ean Normalizado]],tabla_consumos[EAN],tabla_consumos[UM])</f>
        <v>#VALUE!</v>
      </c>
      <c r="S559" s="22" t="e">
        <f>Tabla1[[#This Row],[StockDisp]]*Tabla1[[#This Row],[UM producto]]</f>
        <v>#VALUE!</v>
      </c>
    </row>
    <row r="560" spans="1:19" x14ac:dyDescent="0.35">
      <c r="A560" s="5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6"/>
      <c r="P560" s="23" t="e">
        <f>TRIM(Tabla1[[#This Row],[Articulo]])</f>
        <v>#VALUE!</v>
      </c>
      <c r="Q560" s="23" t="e">
        <f>_xlfn.XLOOKUP(Tabla1[[#This Row],[Ean Normalizado]],Consumos!A:A,Consumos!E:E)</f>
        <v>#VALUE!</v>
      </c>
      <c r="R560" s="22" t="e">
        <f>_xlfn.XLOOKUP(Tabla1[[#This Row],[Ean Normalizado]],tabla_consumos[EAN],tabla_consumos[UM])</f>
        <v>#VALUE!</v>
      </c>
      <c r="S560" s="22" t="e">
        <f>Tabla1[[#This Row],[StockDisp]]*Tabla1[[#This Row],[UM producto]]</f>
        <v>#VALUE!</v>
      </c>
    </row>
    <row r="561" spans="1:19" x14ac:dyDescent="0.35">
      <c r="A561" s="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6"/>
      <c r="P561" s="23" t="e">
        <f>TRIM(Tabla1[[#This Row],[Articulo]])</f>
        <v>#VALUE!</v>
      </c>
      <c r="Q561" s="23" t="e">
        <f>_xlfn.XLOOKUP(Tabla1[[#This Row],[Ean Normalizado]],Consumos!A:A,Consumos!E:E)</f>
        <v>#VALUE!</v>
      </c>
      <c r="R561" s="22" t="e">
        <f>_xlfn.XLOOKUP(Tabla1[[#This Row],[Ean Normalizado]],tabla_consumos[EAN],tabla_consumos[UM])</f>
        <v>#VALUE!</v>
      </c>
      <c r="S561" s="22" t="e">
        <f>Tabla1[[#This Row],[StockDisp]]*Tabla1[[#This Row],[UM producto]]</f>
        <v>#VALUE!</v>
      </c>
    </row>
    <row r="562" spans="1:19" x14ac:dyDescent="0.35">
      <c r="A562" s="5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6"/>
      <c r="P562" s="23" t="e">
        <f>TRIM(Tabla1[[#This Row],[Articulo]])</f>
        <v>#VALUE!</v>
      </c>
      <c r="Q562" s="23" t="e">
        <f>_xlfn.XLOOKUP(Tabla1[[#This Row],[Ean Normalizado]],Consumos!A:A,Consumos!E:E)</f>
        <v>#VALUE!</v>
      </c>
      <c r="R562" s="22" t="e">
        <f>_xlfn.XLOOKUP(Tabla1[[#This Row],[Ean Normalizado]],tabla_consumos[EAN],tabla_consumos[UM])</f>
        <v>#VALUE!</v>
      </c>
      <c r="S562" s="22" t="e">
        <f>Tabla1[[#This Row],[StockDisp]]*Tabla1[[#This Row],[UM producto]]</f>
        <v>#VALUE!</v>
      </c>
    </row>
    <row r="563" spans="1:19" x14ac:dyDescent="0.35">
      <c r="A563" s="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6"/>
      <c r="P563" s="23" t="e">
        <f>TRIM(Tabla1[[#This Row],[Articulo]])</f>
        <v>#VALUE!</v>
      </c>
      <c r="Q563" s="23" t="e">
        <f>_xlfn.XLOOKUP(Tabla1[[#This Row],[Ean Normalizado]],Consumos!A:A,Consumos!E:E)</f>
        <v>#VALUE!</v>
      </c>
      <c r="R563" s="22" t="e">
        <f>_xlfn.XLOOKUP(Tabla1[[#This Row],[Ean Normalizado]],tabla_consumos[EAN],tabla_consumos[UM])</f>
        <v>#VALUE!</v>
      </c>
      <c r="S563" s="22" t="e">
        <f>Tabla1[[#This Row],[StockDisp]]*Tabla1[[#This Row],[UM producto]]</f>
        <v>#VALUE!</v>
      </c>
    </row>
    <row r="564" spans="1:19" x14ac:dyDescent="0.35">
      <c r="A564" s="5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6"/>
      <c r="P564" s="23" t="e">
        <f>TRIM(Tabla1[[#This Row],[Articulo]])</f>
        <v>#VALUE!</v>
      </c>
      <c r="Q564" s="23" t="e">
        <f>_xlfn.XLOOKUP(Tabla1[[#This Row],[Ean Normalizado]],Consumos!A:A,Consumos!E:E)</f>
        <v>#VALUE!</v>
      </c>
      <c r="R564" s="22" t="e">
        <f>_xlfn.XLOOKUP(Tabla1[[#This Row],[Ean Normalizado]],tabla_consumos[EAN],tabla_consumos[UM])</f>
        <v>#VALUE!</v>
      </c>
      <c r="S564" s="22" t="e">
        <f>Tabla1[[#This Row],[StockDisp]]*Tabla1[[#This Row],[UM producto]]</f>
        <v>#VALUE!</v>
      </c>
    </row>
    <row r="565" spans="1:19" x14ac:dyDescent="0.35">
      <c r="A565" s="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6"/>
      <c r="P565" s="23" t="e">
        <f>TRIM(Tabla1[[#This Row],[Articulo]])</f>
        <v>#VALUE!</v>
      </c>
      <c r="Q565" s="23" t="e">
        <f>_xlfn.XLOOKUP(Tabla1[[#This Row],[Ean Normalizado]],Consumos!A:A,Consumos!E:E)</f>
        <v>#VALUE!</v>
      </c>
      <c r="R565" s="22" t="e">
        <f>_xlfn.XLOOKUP(Tabla1[[#This Row],[Ean Normalizado]],tabla_consumos[EAN],tabla_consumos[UM])</f>
        <v>#VALUE!</v>
      </c>
      <c r="S565" s="22" t="e">
        <f>Tabla1[[#This Row],[StockDisp]]*Tabla1[[#This Row],[UM producto]]</f>
        <v>#VALUE!</v>
      </c>
    </row>
    <row r="566" spans="1:19" x14ac:dyDescent="0.35">
      <c r="A566" s="5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6"/>
      <c r="P566" s="23" t="e">
        <f>TRIM(Tabla1[[#This Row],[Articulo]])</f>
        <v>#VALUE!</v>
      </c>
      <c r="Q566" s="23" t="e">
        <f>_xlfn.XLOOKUP(Tabla1[[#This Row],[Ean Normalizado]],Consumos!A:A,Consumos!E:E)</f>
        <v>#VALUE!</v>
      </c>
      <c r="R566" s="22" t="e">
        <f>_xlfn.XLOOKUP(Tabla1[[#This Row],[Ean Normalizado]],tabla_consumos[EAN],tabla_consumos[UM])</f>
        <v>#VALUE!</v>
      </c>
      <c r="S566" s="22" t="e">
        <f>Tabla1[[#This Row],[StockDisp]]*Tabla1[[#This Row],[UM producto]]</f>
        <v>#VALUE!</v>
      </c>
    </row>
    <row r="567" spans="1:19" x14ac:dyDescent="0.35">
      <c r="A567" s="5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6"/>
      <c r="P567" s="23" t="e">
        <f>TRIM(Tabla1[[#This Row],[Articulo]])</f>
        <v>#VALUE!</v>
      </c>
      <c r="Q567" s="23" t="e">
        <f>_xlfn.XLOOKUP(Tabla1[[#This Row],[Ean Normalizado]],Consumos!A:A,Consumos!E:E)</f>
        <v>#VALUE!</v>
      </c>
      <c r="R567" s="22" t="e">
        <f>_xlfn.XLOOKUP(Tabla1[[#This Row],[Ean Normalizado]],tabla_consumos[EAN],tabla_consumos[UM])</f>
        <v>#VALUE!</v>
      </c>
      <c r="S567" s="22" t="e">
        <f>Tabla1[[#This Row],[StockDisp]]*Tabla1[[#This Row],[UM producto]]</f>
        <v>#VALUE!</v>
      </c>
    </row>
    <row r="568" spans="1:19" x14ac:dyDescent="0.35">
      <c r="A568" s="5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6"/>
      <c r="P568" s="23" t="e">
        <f>TRIM(Tabla1[[#This Row],[Articulo]])</f>
        <v>#VALUE!</v>
      </c>
      <c r="Q568" s="23" t="e">
        <f>_xlfn.XLOOKUP(Tabla1[[#This Row],[Ean Normalizado]],Consumos!A:A,Consumos!E:E)</f>
        <v>#VALUE!</v>
      </c>
      <c r="R568" s="22" t="e">
        <f>_xlfn.XLOOKUP(Tabla1[[#This Row],[Ean Normalizado]],tabla_consumos[EAN],tabla_consumos[UM])</f>
        <v>#VALUE!</v>
      </c>
      <c r="S568" s="22" t="e">
        <f>Tabla1[[#This Row],[StockDisp]]*Tabla1[[#This Row],[UM producto]]</f>
        <v>#VALUE!</v>
      </c>
    </row>
    <row r="569" spans="1:19" x14ac:dyDescent="0.35">
      <c r="A569" s="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6"/>
      <c r="P569" s="23" t="e">
        <f>TRIM(Tabla1[[#This Row],[Articulo]])</f>
        <v>#VALUE!</v>
      </c>
      <c r="Q569" s="23" t="e">
        <f>_xlfn.XLOOKUP(Tabla1[[#This Row],[Ean Normalizado]],Consumos!A:A,Consumos!E:E)</f>
        <v>#VALUE!</v>
      </c>
      <c r="R569" s="22" t="e">
        <f>_xlfn.XLOOKUP(Tabla1[[#This Row],[Ean Normalizado]],tabla_consumos[EAN],tabla_consumos[UM])</f>
        <v>#VALUE!</v>
      </c>
      <c r="S569" s="22" t="e">
        <f>Tabla1[[#This Row],[StockDisp]]*Tabla1[[#This Row],[UM producto]]</f>
        <v>#VALUE!</v>
      </c>
    </row>
    <row r="570" spans="1:19" x14ac:dyDescent="0.35">
      <c r="A570" s="5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6"/>
      <c r="P570" s="23" t="e">
        <f>TRIM(Tabla1[[#This Row],[Articulo]])</f>
        <v>#VALUE!</v>
      </c>
      <c r="Q570" s="23" t="e">
        <f>_xlfn.XLOOKUP(Tabla1[[#This Row],[Ean Normalizado]],Consumos!A:A,Consumos!E:E)</f>
        <v>#VALUE!</v>
      </c>
      <c r="R570" s="22" t="e">
        <f>_xlfn.XLOOKUP(Tabla1[[#This Row],[Ean Normalizado]],tabla_consumos[EAN],tabla_consumos[UM])</f>
        <v>#VALUE!</v>
      </c>
      <c r="S570" s="22" t="e">
        <f>Tabla1[[#This Row],[StockDisp]]*Tabla1[[#This Row],[UM producto]]</f>
        <v>#VALUE!</v>
      </c>
    </row>
    <row r="571" spans="1:19" x14ac:dyDescent="0.35">
      <c r="A571" s="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6"/>
      <c r="P571" s="23" t="e">
        <f>TRIM(Tabla1[[#This Row],[Articulo]])</f>
        <v>#VALUE!</v>
      </c>
      <c r="Q571" s="23" t="e">
        <f>_xlfn.XLOOKUP(Tabla1[[#This Row],[Ean Normalizado]],Consumos!A:A,Consumos!E:E)</f>
        <v>#VALUE!</v>
      </c>
      <c r="R571" s="22" t="e">
        <f>_xlfn.XLOOKUP(Tabla1[[#This Row],[Ean Normalizado]],tabla_consumos[EAN],tabla_consumos[UM])</f>
        <v>#VALUE!</v>
      </c>
      <c r="S571" s="22" t="e">
        <f>Tabla1[[#This Row],[StockDisp]]*Tabla1[[#This Row],[UM producto]]</f>
        <v>#VALUE!</v>
      </c>
    </row>
    <row r="572" spans="1:19" x14ac:dyDescent="0.35">
      <c r="A572" s="5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6"/>
      <c r="P572" s="23" t="e">
        <f>TRIM(Tabla1[[#This Row],[Articulo]])</f>
        <v>#VALUE!</v>
      </c>
      <c r="Q572" s="23" t="e">
        <f>_xlfn.XLOOKUP(Tabla1[[#This Row],[Ean Normalizado]],Consumos!A:A,Consumos!E:E)</f>
        <v>#VALUE!</v>
      </c>
      <c r="R572" s="22" t="e">
        <f>_xlfn.XLOOKUP(Tabla1[[#This Row],[Ean Normalizado]],tabla_consumos[EAN],tabla_consumos[UM])</f>
        <v>#VALUE!</v>
      </c>
      <c r="S572" s="22" t="e">
        <f>Tabla1[[#This Row],[StockDisp]]*Tabla1[[#This Row],[UM producto]]</f>
        <v>#VALUE!</v>
      </c>
    </row>
    <row r="573" spans="1:19" x14ac:dyDescent="0.35">
      <c r="A573" s="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6"/>
      <c r="P573" s="23" t="e">
        <f>TRIM(Tabla1[[#This Row],[Articulo]])</f>
        <v>#VALUE!</v>
      </c>
      <c r="Q573" s="23" t="e">
        <f>_xlfn.XLOOKUP(Tabla1[[#This Row],[Ean Normalizado]],Consumos!A:A,Consumos!E:E)</f>
        <v>#VALUE!</v>
      </c>
      <c r="R573" s="22" t="e">
        <f>_xlfn.XLOOKUP(Tabla1[[#This Row],[Ean Normalizado]],tabla_consumos[EAN],tabla_consumos[UM])</f>
        <v>#VALUE!</v>
      </c>
      <c r="S573" s="22" t="e">
        <f>Tabla1[[#This Row],[StockDisp]]*Tabla1[[#This Row],[UM producto]]</f>
        <v>#VALUE!</v>
      </c>
    </row>
    <row r="574" spans="1:19" x14ac:dyDescent="0.35">
      <c r="A574" s="5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6"/>
      <c r="P574" s="23" t="e">
        <f>TRIM(Tabla1[[#This Row],[Articulo]])</f>
        <v>#VALUE!</v>
      </c>
      <c r="Q574" s="23" t="e">
        <f>_xlfn.XLOOKUP(Tabla1[[#This Row],[Ean Normalizado]],Consumos!A:A,Consumos!E:E)</f>
        <v>#VALUE!</v>
      </c>
      <c r="R574" s="22" t="e">
        <f>_xlfn.XLOOKUP(Tabla1[[#This Row],[Ean Normalizado]],tabla_consumos[EAN],tabla_consumos[UM])</f>
        <v>#VALUE!</v>
      </c>
      <c r="S574" s="22" t="e">
        <f>Tabla1[[#This Row],[StockDisp]]*Tabla1[[#This Row],[UM producto]]</f>
        <v>#VALUE!</v>
      </c>
    </row>
    <row r="575" spans="1:19" x14ac:dyDescent="0.35">
      <c r="A575" s="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6"/>
      <c r="P575" s="23" t="e">
        <f>TRIM(Tabla1[[#This Row],[Articulo]])</f>
        <v>#VALUE!</v>
      </c>
      <c r="Q575" s="23" t="e">
        <f>_xlfn.XLOOKUP(Tabla1[[#This Row],[Ean Normalizado]],Consumos!A:A,Consumos!E:E)</f>
        <v>#VALUE!</v>
      </c>
      <c r="R575" s="22" t="e">
        <f>_xlfn.XLOOKUP(Tabla1[[#This Row],[Ean Normalizado]],tabla_consumos[EAN],tabla_consumos[UM])</f>
        <v>#VALUE!</v>
      </c>
      <c r="S575" s="22" t="e">
        <f>Tabla1[[#This Row],[StockDisp]]*Tabla1[[#This Row],[UM producto]]</f>
        <v>#VALUE!</v>
      </c>
    </row>
    <row r="576" spans="1:19" x14ac:dyDescent="0.35">
      <c r="A576" s="5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6"/>
      <c r="P576" s="23" t="e">
        <f>TRIM(Tabla1[[#This Row],[Articulo]])</f>
        <v>#VALUE!</v>
      </c>
      <c r="Q576" s="23" t="e">
        <f>_xlfn.XLOOKUP(Tabla1[[#This Row],[Ean Normalizado]],Consumos!A:A,Consumos!E:E)</f>
        <v>#VALUE!</v>
      </c>
      <c r="R576" s="22" t="e">
        <f>_xlfn.XLOOKUP(Tabla1[[#This Row],[Ean Normalizado]],tabla_consumos[EAN],tabla_consumos[UM])</f>
        <v>#VALUE!</v>
      </c>
      <c r="S576" s="22" t="e">
        <f>Tabla1[[#This Row],[StockDisp]]*Tabla1[[#This Row],[UM producto]]</f>
        <v>#VALUE!</v>
      </c>
    </row>
    <row r="577" spans="1:19" x14ac:dyDescent="0.35">
      <c r="A577" s="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6"/>
      <c r="P577" s="23" t="e">
        <f>TRIM(Tabla1[[#This Row],[Articulo]])</f>
        <v>#VALUE!</v>
      </c>
      <c r="Q577" s="23" t="e">
        <f>_xlfn.XLOOKUP(Tabla1[[#This Row],[Ean Normalizado]],Consumos!A:A,Consumos!E:E)</f>
        <v>#VALUE!</v>
      </c>
      <c r="R577" s="22" t="e">
        <f>_xlfn.XLOOKUP(Tabla1[[#This Row],[Ean Normalizado]],tabla_consumos[EAN],tabla_consumos[UM])</f>
        <v>#VALUE!</v>
      </c>
      <c r="S577" s="22" t="e">
        <f>Tabla1[[#This Row],[StockDisp]]*Tabla1[[#This Row],[UM producto]]</f>
        <v>#VALUE!</v>
      </c>
    </row>
    <row r="578" spans="1:19" x14ac:dyDescent="0.35">
      <c r="A578" s="5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6"/>
      <c r="P578" s="23" t="e">
        <f>TRIM(Tabla1[[#This Row],[Articulo]])</f>
        <v>#VALUE!</v>
      </c>
      <c r="Q578" s="23" t="e">
        <f>_xlfn.XLOOKUP(Tabla1[[#This Row],[Ean Normalizado]],Consumos!A:A,Consumos!E:E)</f>
        <v>#VALUE!</v>
      </c>
      <c r="R578" s="22" t="e">
        <f>_xlfn.XLOOKUP(Tabla1[[#This Row],[Ean Normalizado]],tabla_consumos[EAN],tabla_consumos[UM])</f>
        <v>#VALUE!</v>
      </c>
      <c r="S578" s="22" t="e">
        <f>Tabla1[[#This Row],[StockDisp]]*Tabla1[[#This Row],[UM producto]]</f>
        <v>#VALUE!</v>
      </c>
    </row>
    <row r="579" spans="1:19" x14ac:dyDescent="0.35">
      <c r="A579" s="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6"/>
      <c r="P579" s="23" t="e">
        <f>TRIM(Tabla1[[#This Row],[Articulo]])</f>
        <v>#VALUE!</v>
      </c>
      <c r="Q579" s="23" t="e">
        <f>_xlfn.XLOOKUP(Tabla1[[#This Row],[Ean Normalizado]],Consumos!A:A,Consumos!E:E)</f>
        <v>#VALUE!</v>
      </c>
      <c r="R579" s="22" t="e">
        <f>_xlfn.XLOOKUP(Tabla1[[#This Row],[Ean Normalizado]],tabla_consumos[EAN],tabla_consumos[UM])</f>
        <v>#VALUE!</v>
      </c>
      <c r="S579" s="22" t="e">
        <f>Tabla1[[#This Row],[StockDisp]]*Tabla1[[#This Row],[UM producto]]</f>
        <v>#VALUE!</v>
      </c>
    </row>
    <row r="580" spans="1:19" x14ac:dyDescent="0.35">
      <c r="A580" s="5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6"/>
      <c r="P580" s="23" t="e">
        <f>TRIM(Tabla1[[#This Row],[Articulo]])</f>
        <v>#VALUE!</v>
      </c>
      <c r="Q580" s="23" t="e">
        <f>_xlfn.XLOOKUP(Tabla1[[#This Row],[Ean Normalizado]],Consumos!A:A,Consumos!E:E)</f>
        <v>#VALUE!</v>
      </c>
      <c r="R580" s="22" t="e">
        <f>_xlfn.XLOOKUP(Tabla1[[#This Row],[Ean Normalizado]],tabla_consumos[EAN],tabla_consumos[UM])</f>
        <v>#VALUE!</v>
      </c>
      <c r="S580" s="22" t="e">
        <f>Tabla1[[#This Row],[StockDisp]]*Tabla1[[#This Row],[UM producto]]</f>
        <v>#VALUE!</v>
      </c>
    </row>
    <row r="581" spans="1:19" x14ac:dyDescent="0.35">
      <c r="A581" s="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6"/>
      <c r="P581" s="23" t="e">
        <f>TRIM(Tabla1[[#This Row],[Articulo]])</f>
        <v>#VALUE!</v>
      </c>
      <c r="Q581" s="23" t="e">
        <f>_xlfn.XLOOKUP(Tabla1[[#This Row],[Ean Normalizado]],Consumos!A:A,Consumos!E:E)</f>
        <v>#VALUE!</v>
      </c>
      <c r="R581" s="22" t="e">
        <f>_xlfn.XLOOKUP(Tabla1[[#This Row],[Ean Normalizado]],tabla_consumos[EAN],tabla_consumos[UM])</f>
        <v>#VALUE!</v>
      </c>
      <c r="S581" s="22" t="e">
        <f>Tabla1[[#This Row],[StockDisp]]*Tabla1[[#This Row],[UM producto]]</f>
        <v>#VALUE!</v>
      </c>
    </row>
    <row r="582" spans="1:19" x14ac:dyDescent="0.35">
      <c r="A582" s="5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6"/>
      <c r="P582" s="23" t="e">
        <f>TRIM(Tabla1[[#This Row],[Articulo]])</f>
        <v>#VALUE!</v>
      </c>
      <c r="Q582" s="23" t="e">
        <f>_xlfn.XLOOKUP(Tabla1[[#This Row],[Ean Normalizado]],Consumos!A:A,Consumos!E:E)</f>
        <v>#VALUE!</v>
      </c>
      <c r="R582" s="22" t="e">
        <f>_xlfn.XLOOKUP(Tabla1[[#This Row],[Ean Normalizado]],tabla_consumos[EAN],tabla_consumos[UM])</f>
        <v>#VALUE!</v>
      </c>
      <c r="S582" s="22" t="e">
        <f>Tabla1[[#This Row],[StockDisp]]*Tabla1[[#This Row],[UM producto]]</f>
        <v>#VALUE!</v>
      </c>
    </row>
    <row r="583" spans="1:19" x14ac:dyDescent="0.35">
      <c r="A583" s="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6"/>
      <c r="P583" s="23" t="e">
        <f>TRIM(Tabla1[[#This Row],[Articulo]])</f>
        <v>#VALUE!</v>
      </c>
      <c r="Q583" s="23" t="e">
        <f>_xlfn.XLOOKUP(Tabla1[[#This Row],[Ean Normalizado]],Consumos!A:A,Consumos!E:E)</f>
        <v>#VALUE!</v>
      </c>
      <c r="R583" s="22" t="e">
        <f>_xlfn.XLOOKUP(Tabla1[[#This Row],[Ean Normalizado]],tabla_consumos[EAN],tabla_consumos[UM])</f>
        <v>#VALUE!</v>
      </c>
      <c r="S583" s="22" t="e">
        <f>Tabla1[[#This Row],[StockDisp]]*Tabla1[[#This Row],[UM producto]]</f>
        <v>#VALUE!</v>
      </c>
    </row>
    <row r="584" spans="1:19" x14ac:dyDescent="0.35">
      <c r="A584" s="5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6"/>
      <c r="P584" s="23" t="e">
        <f>TRIM(Tabla1[[#This Row],[Articulo]])</f>
        <v>#VALUE!</v>
      </c>
      <c r="Q584" s="23" t="e">
        <f>_xlfn.XLOOKUP(Tabla1[[#This Row],[Ean Normalizado]],Consumos!A:A,Consumos!E:E)</f>
        <v>#VALUE!</v>
      </c>
      <c r="R584" s="22" t="e">
        <f>_xlfn.XLOOKUP(Tabla1[[#This Row],[Ean Normalizado]],tabla_consumos[EAN],tabla_consumos[UM])</f>
        <v>#VALUE!</v>
      </c>
      <c r="S584" s="22" t="e">
        <f>Tabla1[[#This Row],[StockDisp]]*Tabla1[[#This Row],[UM producto]]</f>
        <v>#VALUE!</v>
      </c>
    </row>
    <row r="585" spans="1:19" x14ac:dyDescent="0.35">
      <c r="A585" s="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6"/>
      <c r="P585" s="23" t="e">
        <f>TRIM(Tabla1[[#This Row],[Articulo]])</f>
        <v>#VALUE!</v>
      </c>
      <c r="Q585" s="23" t="e">
        <f>_xlfn.XLOOKUP(Tabla1[[#This Row],[Ean Normalizado]],Consumos!A:A,Consumos!E:E)</f>
        <v>#VALUE!</v>
      </c>
      <c r="R585" s="22" t="e">
        <f>_xlfn.XLOOKUP(Tabla1[[#This Row],[Ean Normalizado]],tabla_consumos[EAN],tabla_consumos[UM])</f>
        <v>#VALUE!</v>
      </c>
      <c r="S585" s="22" t="e">
        <f>Tabla1[[#This Row],[StockDisp]]*Tabla1[[#This Row],[UM producto]]</f>
        <v>#VALUE!</v>
      </c>
    </row>
    <row r="586" spans="1:19" x14ac:dyDescent="0.35">
      <c r="A586" s="5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6"/>
      <c r="P586" s="23" t="e">
        <f>TRIM(Tabla1[[#This Row],[Articulo]])</f>
        <v>#VALUE!</v>
      </c>
      <c r="Q586" s="23" t="e">
        <f>_xlfn.XLOOKUP(Tabla1[[#This Row],[Ean Normalizado]],Consumos!A:A,Consumos!E:E)</f>
        <v>#VALUE!</v>
      </c>
      <c r="R586" s="22" t="e">
        <f>_xlfn.XLOOKUP(Tabla1[[#This Row],[Ean Normalizado]],tabla_consumos[EAN],tabla_consumos[UM])</f>
        <v>#VALUE!</v>
      </c>
      <c r="S586" s="22" t="e">
        <f>Tabla1[[#This Row],[StockDisp]]*Tabla1[[#This Row],[UM producto]]</f>
        <v>#VALUE!</v>
      </c>
    </row>
    <row r="587" spans="1:19" x14ac:dyDescent="0.35">
      <c r="A587" s="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6"/>
      <c r="P587" s="23" t="e">
        <f>TRIM(Tabla1[[#This Row],[Articulo]])</f>
        <v>#VALUE!</v>
      </c>
      <c r="Q587" s="23" t="e">
        <f>_xlfn.XLOOKUP(Tabla1[[#This Row],[Ean Normalizado]],Consumos!A:A,Consumos!E:E)</f>
        <v>#VALUE!</v>
      </c>
      <c r="R587" s="22" t="e">
        <f>_xlfn.XLOOKUP(Tabla1[[#This Row],[Ean Normalizado]],tabla_consumos[EAN],tabla_consumos[UM])</f>
        <v>#VALUE!</v>
      </c>
      <c r="S587" s="22" t="e">
        <f>Tabla1[[#This Row],[StockDisp]]*Tabla1[[#This Row],[UM producto]]</f>
        <v>#VALUE!</v>
      </c>
    </row>
    <row r="588" spans="1:19" x14ac:dyDescent="0.35">
      <c r="A588" s="5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6"/>
      <c r="P588" s="23" t="e">
        <f>TRIM(Tabla1[[#This Row],[Articulo]])</f>
        <v>#VALUE!</v>
      </c>
      <c r="Q588" s="23" t="e">
        <f>_xlfn.XLOOKUP(Tabla1[[#This Row],[Ean Normalizado]],Consumos!A:A,Consumos!E:E)</f>
        <v>#VALUE!</v>
      </c>
      <c r="R588" s="22" t="e">
        <f>_xlfn.XLOOKUP(Tabla1[[#This Row],[Ean Normalizado]],tabla_consumos[EAN],tabla_consumos[UM])</f>
        <v>#VALUE!</v>
      </c>
      <c r="S588" s="22" t="e">
        <f>Tabla1[[#This Row],[StockDisp]]*Tabla1[[#This Row],[UM producto]]</f>
        <v>#VALUE!</v>
      </c>
    </row>
    <row r="589" spans="1:19" x14ac:dyDescent="0.35">
      <c r="A589" s="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6"/>
      <c r="P589" s="23" t="e">
        <f>TRIM(Tabla1[[#This Row],[Articulo]])</f>
        <v>#VALUE!</v>
      </c>
      <c r="Q589" s="23" t="e">
        <f>_xlfn.XLOOKUP(Tabla1[[#This Row],[Ean Normalizado]],Consumos!A:A,Consumos!E:E)</f>
        <v>#VALUE!</v>
      </c>
      <c r="R589" s="22" t="e">
        <f>_xlfn.XLOOKUP(Tabla1[[#This Row],[Ean Normalizado]],tabla_consumos[EAN],tabla_consumos[UM])</f>
        <v>#VALUE!</v>
      </c>
      <c r="S589" s="22" t="e">
        <f>Tabla1[[#This Row],[StockDisp]]*Tabla1[[#This Row],[UM producto]]</f>
        <v>#VALUE!</v>
      </c>
    </row>
    <row r="590" spans="1:19" x14ac:dyDescent="0.35">
      <c r="A590" s="5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6"/>
      <c r="P590" s="23" t="e">
        <f>TRIM(Tabla1[[#This Row],[Articulo]])</f>
        <v>#VALUE!</v>
      </c>
      <c r="Q590" s="23" t="e">
        <f>_xlfn.XLOOKUP(Tabla1[[#This Row],[Ean Normalizado]],Consumos!A:A,Consumos!E:E)</f>
        <v>#VALUE!</v>
      </c>
      <c r="R590" s="22" t="e">
        <f>_xlfn.XLOOKUP(Tabla1[[#This Row],[Ean Normalizado]],tabla_consumos[EAN],tabla_consumos[UM])</f>
        <v>#VALUE!</v>
      </c>
      <c r="S590" s="22" t="e">
        <f>Tabla1[[#This Row],[StockDisp]]*Tabla1[[#This Row],[UM producto]]</f>
        <v>#VALUE!</v>
      </c>
    </row>
    <row r="591" spans="1:19" x14ac:dyDescent="0.35">
      <c r="A591" s="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6"/>
      <c r="P591" s="23" t="e">
        <f>TRIM(Tabla1[[#This Row],[Articulo]])</f>
        <v>#VALUE!</v>
      </c>
      <c r="Q591" s="23" t="e">
        <f>_xlfn.XLOOKUP(Tabla1[[#This Row],[Ean Normalizado]],Consumos!A:A,Consumos!E:E)</f>
        <v>#VALUE!</v>
      </c>
      <c r="R591" s="22" t="e">
        <f>_xlfn.XLOOKUP(Tabla1[[#This Row],[Ean Normalizado]],tabla_consumos[EAN],tabla_consumos[UM])</f>
        <v>#VALUE!</v>
      </c>
      <c r="S591" s="22" t="e">
        <f>Tabla1[[#This Row],[StockDisp]]*Tabla1[[#This Row],[UM producto]]</f>
        <v>#VALUE!</v>
      </c>
    </row>
    <row r="592" spans="1:19" x14ac:dyDescent="0.35">
      <c r="A592" s="5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6"/>
      <c r="P592" s="23" t="e">
        <f>TRIM(Tabla1[[#This Row],[Articulo]])</f>
        <v>#VALUE!</v>
      </c>
      <c r="Q592" s="23" t="e">
        <f>_xlfn.XLOOKUP(Tabla1[[#This Row],[Ean Normalizado]],Consumos!A:A,Consumos!E:E)</f>
        <v>#VALUE!</v>
      </c>
      <c r="R592" s="22" t="e">
        <f>_xlfn.XLOOKUP(Tabla1[[#This Row],[Ean Normalizado]],tabla_consumos[EAN],tabla_consumos[UM])</f>
        <v>#VALUE!</v>
      </c>
      <c r="S592" s="22" t="e">
        <f>Tabla1[[#This Row],[StockDisp]]*Tabla1[[#This Row],[UM producto]]</f>
        <v>#VALUE!</v>
      </c>
    </row>
    <row r="593" spans="1:19" x14ac:dyDescent="0.35">
      <c r="A593" s="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6"/>
      <c r="P593" s="23" t="e">
        <f>TRIM(Tabla1[[#This Row],[Articulo]])</f>
        <v>#VALUE!</v>
      </c>
      <c r="Q593" s="23" t="e">
        <f>_xlfn.XLOOKUP(Tabla1[[#This Row],[Ean Normalizado]],Consumos!A:A,Consumos!E:E)</f>
        <v>#VALUE!</v>
      </c>
      <c r="R593" s="22" t="e">
        <f>_xlfn.XLOOKUP(Tabla1[[#This Row],[Ean Normalizado]],tabla_consumos[EAN],tabla_consumos[UM])</f>
        <v>#VALUE!</v>
      </c>
      <c r="S593" s="22" t="e">
        <f>Tabla1[[#This Row],[StockDisp]]*Tabla1[[#This Row],[UM producto]]</f>
        <v>#VALUE!</v>
      </c>
    </row>
    <row r="594" spans="1:19" x14ac:dyDescent="0.35">
      <c r="A594" s="5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6"/>
      <c r="P594" s="23" t="e">
        <f>TRIM(Tabla1[[#This Row],[Articulo]])</f>
        <v>#VALUE!</v>
      </c>
      <c r="Q594" s="23" t="e">
        <f>_xlfn.XLOOKUP(Tabla1[[#This Row],[Ean Normalizado]],Consumos!A:A,Consumos!E:E)</f>
        <v>#VALUE!</v>
      </c>
      <c r="R594" s="22" t="e">
        <f>_xlfn.XLOOKUP(Tabla1[[#This Row],[Ean Normalizado]],tabla_consumos[EAN],tabla_consumos[UM])</f>
        <v>#VALUE!</v>
      </c>
      <c r="S594" s="22" t="e">
        <f>Tabla1[[#This Row],[StockDisp]]*Tabla1[[#This Row],[UM producto]]</f>
        <v>#VALUE!</v>
      </c>
    </row>
    <row r="595" spans="1:19" x14ac:dyDescent="0.35">
      <c r="A595" s="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6"/>
      <c r="P595" s="23" t="e">
        <f>TRIM(Tabla1[[#This Row],[Articulo]])</f>
        <v>#VALUE!</v>
      </c>
      <c r="Q595" s="23" t="e">
        <f>_xlfn.XLOOKUP(Tabla1[[#This Row],[Ean Normalizado]],Consumos!A:A,Consumos!E:E)</f>
        <v>#VALUE!</v>
      </c>
      <c r="R595" s="22" t="e">
        <f>_xlfn.XLOOKUP(Tabla1[[#This Row],[Ean Normalizado]],tabla_consumos[EAN],tabla_consumos[UM])</f>
        <v>#VALUE!</v>
      </c>
      <c r="S595" s="22" t="e">
        <f>Tabla1[[#This Row],[StockDisp]]*Tabla1[[#This Row],[UM producto]]</f>
        <v>#VALUE!</v>
      </c>
    </row>
    <row r="596" spans="1:19" x14ac:dyDescent="0.35">
      <c r="A596" s="5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6"/>
      <c r="P596" s="23" t="e">
        <f>TRIM(Tabla1[[#This Row],[Articulo]])</f>
        <v>#VALUE!</v>
      </c>
      <c r="Q596" s="23" t="e">
        <f>_xlfn.XLOOKUP(Tabla1[[#This Row],[Ean Normalizado]],Consumos!A:A,Consumos!E:E)</f>
        <v>#VALUE!</v>
      </c>
      <c r="R596" s="22" t="e">
        <f>_xlfn.XLOOKUP(Tabla1[[#This Row],[Ean Normalizado]],tabla_consumos[EAN],tabla_consumos[UM])</f>
        <v>#VALUE!</v>
      </c>
      <c r="S596" s="22" t="e">
        <f>Tabla1[[#This Row],[StockDisp]]*Tabla1[[#This Row],[UM producto]]</f>
        <v>#VALUE!</v>
      </c>
    </row>
    <row r="597" spans="1:19" x14ac:dyDescent="0.35">
      <c r="A597" s="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6"/>
      <c r="P597" s="23" t="e">
        <f>TRIM(Tabla1[[#This Row],[Articulo]])</f>
        <v>#VALUE!</v>
      </c>
      <c r="Q597" s="23" t="e">
        <f>_xlfn.XLOOKUP(Tabla1[[#This Row],[Ean Normalizado]],Consumos!A:A,Consumos!E:E)</f>
        <v>#VALUE!</v>
      </c>
      <c r="R597" s="22" t="e">
        <f>_xlfn.XLOOKUP(Tabla1[[#This Row],[Ean Normalizado]],tabla_consumos[EAN],tabla_consumos[UM])</f>
        <v>#VALUE!</v>
      </c>
      <c r="S597" s="22" t="e">
        <f>Tabla1[[#This Row],[StockDisp]]*Tabla1[[#This Row],[UM producto]]</f>
        <v>#VALUE!</v>
      </c>
    </row>
    <row r="598" spans="1:19" x14ac:dyDescent="0.35">
      <c r="A598" s="5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6"/>
      <c r="P598" s="23" t="e">
        <f>TRIM(Tabla1[[#This Row],[Articulo]])</f>
        <v>#VALUE!</v>
      </c>
      <c r="Q598" s="23" t="e">
        <f>_xlfn.XLOOKUP(Tabla1[[#This Row],[Ean Normalizado]],Consumos!A:A,Consumos!E:E)</f>
        <v>#VALUE!</v>
      </c>
      <c r="R598" s="22" t="e">
        <f>_xlfn.XLOOKUP(Tabla1[[#This Row],[Ean Normalizado]],tabla_consumos[EAN],tabla_consumos[UM])</f>
        <v>#VALUE!</v>
      </c>
      <c r="S598" s="22" t="e">
        <f>Tabla1[[#This Row],[StockDisp]]*Tabla1[[#This Row],[UM producto]]</f>
        <v>#VALUE!</v>
      </c>
    </row>
    <row r="599" spans="1:19" x14ac:dyDescent="0.35">
      <c r="A599" s="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6"/>
      <c r="P599" s="23" t="e">
        <f>TRIM(Tabla1[[#This Row],[Articulo]])</f>
        <v>#VALUE!</v>
      </c>
      <c r="Q599" s="23" t="e">
        <f>_xlfn.XLOOKUP(Tabla1[[#This Row],[Ean Normalizado]],Consumos!A:A,Consumos!E:E)</f>
        <v>#VALUE!</v>
      </c>
      <c r="R599" s="22" t="e">
        <f>_xlfn.XLOOKUP(Tabla1[[#This Row],[Ean Normalizado]],tabla_consumos[EAN],tabla_consumos[UM])</f>
        <v>#VALUE!</v>
      </c>
      <c r="S599" s="22" t="e">
        <f>Tabla1[[#This Row],[StockDisp]]*Tabla1[[#This Row],[UM producto]]</f>
        <v>#VALUE!</v>
      </c>
    </row>
    <row r="600" spans="1:19" x14ac:dyDescent="0.35">
      <c r="A600" s="5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6"/>
      <c r="P600" s="23" t="e">
        <f>TRIM(Tabla1[[#This Row],[Articulo]])</f>
        <v>#VALUE!</v>
      </c>
      <c r="Q600" s="23" t="e">
        <f>_xlfn.XLOOKUP(Tabla1[[#This Row],[Ean Normalizado]],Consumos!A:A,Consumos!E:E)</f>
        <v>#VALUE!</v>
      </c>
      <c r="R600" s="22" t="e">
        <f>_xlfn.XLOOKUP(Tabla1[[#This Row],[Ean Normalizado]],tabla_consumos[EAN],tabla_consumos[UM])</f>
        <v>#VALUE!</v>
      </c>
      <c r="S600" s="22" t="e">
        <f>Tabla1[[#This Row],[StockDisp]]*Tabla1[[#This Row],[UM producto]]</f>
        <v>#VALUE!</v>
      </c>
    </row>
    <row r="601" spans="1:19" x14ac:dyDescent="0.35">
      <c r="A601" s="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6"/>
      <c r="P601" s="23" t="e">
        <f>TRIM(Tabla1[[#This Row],[Articulo]])</f>
        <v>#VALUE!</v>
      </c>
      <c r="Q601" s="23" t="e">
        <f>_xlfn.XLOOKUP(Tabla1[[#This Row],[Ean Normalizado]],Consumos!A:A,Consumos!E:E)</f>
        <v>#VALUE!</v>
      </c>
      <c r="R601" s="22" t="e">
        <f>_xlfn.XLOOKUP(Tabla1[[#This Row],[Ean Normalizado]],tabla_consumos[EAN],tabla_consumos[UM])</f>
        <v>#VALUE!</v>
      </c>
      <c r="S601" s="22" t="e">
        <f>Tabla1[[#This Row],[StockDisp]]*Tabla1[[#This Row],[UM producto]]</f>
        <v>#VALUE!</v>
      </c>
    </row>
    <row r="602" spans="1:19" x14ac:dyDescent="0.35">
      <c r="A602" s="5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6"/>
      <c r="P602" s="23" t="e">
        <f>TRIM(Tabla1[[#This Row],[Articulo]])</f>
        <v>#VALUE!</v>
      </c>
      <c r="Q602" s="23" t="e">
        <f>_xlfn.XLOOKUP(Tabla1[[#This Row],[Ean Normalizado]],Consumos!A:A,Consumos!E:E)</f>
        <v>#VALUE!</v>
      </c>
      <c r="R602" s="22" t="e">
        <f>_xlfn.XLOOKUP(Tabla1[[#This Row],[Ean Normalizado]],tabla_consumos[EAN],tabla_consumos[UM])</f>
        <v>#VALUE!</v>
      </c>
      <c r="S602" s="22" t="e">
        <f>Tabla1[[#This Row],[StockDisp]]*Tabla1[[#This Row],[UM producto]]</f>
        <v>#VALUE!</v>
      </c>
    </row>
    <row r="603" spans="1:19" x14ac:dyDescent="0.35">
      <c r="A603" s="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6"/>
      <c r="P603" s="23" t="e">
        <f>TRIM(Tabla1[[#This Row],[Articulo]])</f>
        <v>#VALUE!</v>
      </c>
      <c r="Q603" s="23" t="e">
        <f>_xlfn.XLOOKUP(Tabla1[[#This Row],[Ean Normalizado]],Consumos!A:A,Consumos!E:E)</f>
        <v>#VALUE!</v>
      </c>
      <c r="R603" s="22" t="e">
        <f>_xlfn.XLOOKUP(Tabla1[[#This Row],[Ean Normalizado]],tabla_consumos[EAN],tabla_consumos[UM])</f>
        <v>#VALUE!</v>
      </c>
      <c r="S603" s="22" t="e">
        <f>Tabla1[[#This Row],[StockDisp]]*Tabla1[[#This Row],[UM producto]]</f>
        <v>#VALUE!</v>
      </c>
    </row>
    <row r="604" spans="1:19" x14ac:dyDescent="0.35">
      <c r="A604" s="5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6"/>
      <c r="P604" s="23" t="e">
        <f>TRIM(Tabla1[[#This Row],[Articulo]])</f>
        <v>#VALUE!</v>
      </c>
      <c r="Q604" s="23" t="e">
        <f>_xlfn.XLOOKUP(Tabla1[[#This Row],[Ean Normalizado]],Consumos!A:A,Consumos!E:E)</f>
        <v>#VALUE!</v>
      </c>
      <c r="R604" s="22" t="e">
        <f>_xlfn.XLOOKUP(Tabla1[[#This Row],[Ean Normalizado]],tabla_consumos[EAN],tabla_consumos[UM])</f>
        <v>#VALUE!</v>
      </c>
      <c r="S604" s="22" t="e">
        <f>Tabla1[[#This Row],[StockDisp]]*Tabla1[[#This Row],[UM producto]]</f>
        <v>#VALUE!</v>
      </c>
    </row>
    <row r="605" spans="1:19" x14ac:dyDescent="0.35">
      <c r="A605" s="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6"/>
      <c r="P605" s="23" t="e">
        <f>TRIM(Tabla1[[#This Row],[Articulo]])</f>
        <v>#VALUE!</v>
      </c>
      <c r="Q605" s="23" t="e">
        <f>_xlfn.XLOOKUP(Tabla1[[#This Row],[Ean Normalizado]],Consumos!A:A,Consumos!E:E)</f>
        <v>#VALUE!</v>
      </c>
      <c r="R605" s="22" t="e">
        <f>_xlfn.XLOOKUP(Tabla1[[#This Row],[Ean Normalizado]],tabla_consumos[EAN],tabla_consumos[UM])</f>
        <v>#VALUE!</v>
      </c>
      <c r="S605" s="22" t="e">
        <f>Tabla1[[#This Row],[StockDisp]]*Tabla1[[#This Row],[UM producto]]</f>
        <v>#VALUE!</v>
      </c>
    </row>
    <row r="606" spans="1:19" x14ac:dyDescent="0.35">
      <c r="A606" s="5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6"/>
      <c r="P606" s="23" t="e">
        <f>TRIM(Tabla1[[#This Row],[Articulo]])</f>
        <v>#VALUE!</v>
      </c>
      <c r="Q606" s="23" t="e">
        <f>_xlfn.XLOOKUP(Tabla1[[#This Row],[Ean Normalizado]],Consumos!A:A,Consumos!E:E)</f>
        <v>#VALUE!</v>
      </c>
      <c r="R606" s="22" t="e">
        <f>_xlfn.XLOOKUP(Tabla1[[#This Row],[Ean Normalizado]],tabla_consumos[EAN],tabla_consumos[UM])</f>
        <v>#VALUE!</v>
      </c>
      <c r="S606" s="22" t="e">
        <f>Tabla1[[#This Row],[StockDisp]]*Tabla1[[#This Row],[UM producto]]</f>
        <v>#VALUE!</v>
      </c>
    </row>
    <row r="607" spans="1:19" x14ac:dyDescent="0.35">
      <c r="A607" s="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6"/>
      <c r="P607" s="23" t="e">
        <f>TRIM(Tabla1[[#This Row],[Articulo]])</f>
        <v>#VALUE!</v>
      </c>
      <c r="Q607" s="23" t="e">
        <f>_xlfn.XLOOKUP(Tabla1[[#This Row],[Ean Normalizado]],Consumos!A:A,Consumos!E:E)</f>
        <v>#VALUE!</v>
      </c>
      <c r="R607" s="22" t="e">
        <f>_xlfn.XLOOKUP(Tabla1[[#This Row],[Ean Normalizado]],tabla_consumos[EAN],tabla_consumos[UM])</f>
        <v>#VALUE!</v>
      </c>
      <c r="S607" s="22" t="e">
        <f>Tabla1[[#This Row],[StockDisp]]*Tabla1[[#This Row],[UM producto]]</f>
        <v>#VALUE!</v>
      </c>
    </row>
    <row r="608" spans="1:19" x14ac:dyDescent="0.35">
      <c r="A608" s="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6"/>
      <c r="P608" s="23" t="e">
        <f>TRIM(Tabla1[[#This Row],[Articulo]])</f>
        <v>#VALUE!</v>
      </c>
      <c r="Q608" s="23" t="e">
        <f>_xlfn.XLOOKUP(Tabla1[[#This Row],[Ean Normalizado]],Consumos!A:A,Consumos!E:E)</f>
        <v>#VALUE!</v>
      </c>
      <c r="R608" s="22" t="e">
        <f>_xlfn.XLOOKUP(Tabla1[[#This Row],[Ean Normalizado]],tabla_consumos[EAN],tabla_consumos[UM])</f>
        <v>#VALUE!</v>
      </c>
      <c r="S608" s="22" t="e">
        <f>Tabla1[[#This Row],[StockDisp]]*Tabla1[[#This Row],[UM producto]]</f>
        <v>#VALUE!</v>
      </c>
    </row>
    <row r="609" spans="1:19" x14ac:dyDescent="0.35">
      <c r="A609" s="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6"/>
      <c r="P609" s="23" t="e">
        <f>TRIM(Tabla1[[#This Row],[Articulo]])</f>
        <v>#VALUE!</v>
      </c>
      <c r="Q609" s="23" t="e">
        <f>_xlfn.XLOOKUP(Tabla1[[#This Row],[Ean Normalizado]],Consumos!A:A,Consumos!E:E)</f>
        <v>#VALUE!</v>
      </c>
      <c r="R609" s="22" t="e">
        <f>_xlfn.XLOOKUP(Tabla1[[#This Row],[Ean Normalizado]],tabla_consumos[EAN],tabla_consumos[UM])</f>
        <v>#VALUE!</v>
      </c>
      <c r="S609" s="22" t="e">
        <f>Tabla1[[#This Row],[StockDisp]]*Tabla1[[#This Row],[UM producto]]</f>
        <v>#VALUE!</v>
      </c>
    </row>
    <row r="610" spans="1:19" x14ac:dyDescent="0.35">
      <c r="A610" s="5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6"/>
      <c r="P610" s="23" t="e">
        <f>TRIM(Tabla1[[#This Row],[Articulo]])</f>
        <v>#VALUE!</v>
      </c>
      <c r="Q610" s="23" t="e">
        <f>_xlfn.XLOOKUP(Tabla1[[#This Row],[Ean Normalizado]],Consumos!A:A,Consumos!E:E)</f>
        <v>#VALUE!</v>
      </c>
      <c r="R610" s="22" t="e">
        <f>_xlfn.XLOOKUP(Tabla1[[#This Row],[Ean Normalizado]],tabla_consumos[EAN],tabla_consumos[UM])</f>
        <v>#VALUE!</v>
      </c>
      <c r="S610" s="22" t="e">
        <f>Tabla1[[#This Row],[StockDisp]]*Tabla1[[#This Row],[UM producto]]</f>
        <v>#VALUE!</v>
      </c>
    </row>
    <row r="611" spans="1:19" x14ac:dyDescent="0.35">
      <c r="A611" s="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6"/>
      <c r="P611" s="23" t="e">
        <f>TRIM(Tabla1[[#This Row],[Articulo]])</f>
        <v>#VALUE!</v>
      </c>
      <c r="Q611" s="23" t="e">
        <f>_xlfn.XLOOKUP(Tabla1[[#This Row],[Ean Normalizado]],Consumos!A:A,Consumos!E:E)</f>
        <v>#VALUE!</v>
      </c>
      <c r="R611" s="22" t="e">
        <f>_xlfn.XLOOKUP(Tabla1[[#This Row],[Ean Normalizado]],tabla_consumos[EAN],tabla_consumos[UM])</f>
        <v>#VALUE!</v>
      </c>
      <c r="S611" s="22" t="e">
        <f>Tabla1[[#This Row],[StockDisp]]*Tabla1[[#This Row],[UM producto]]</f>
        <v>#VALUE!</v>
      </c>
    </row>
    <row r="612" spans="1:19" x14ac:dyDescent="0.35">
      <c r="A612" s="5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6"/>
      <c r="P612" s="23" t="e">
        <f>TRIM(Tabla1[[#This Row],[Articulo]])</f>
        <v>#VALUE!</v>
      </c>
      <c r="Q612" s="23" t="e">
        <f>_xlfn.XLOOKUP(Tabla1[[#This Row],[Ean Normalizado]],Consumos!A:A,Consumos!E:E)</f>
        <v>#VALUE!</v>
      </c>
      <c r="R612" s="22" t="e">
        <f>_xlfn.XLOOKUP(Tabla1[[#This Row],[Ean Normalizado]],tabla_consumos[EAN],tabla_consumos[UM])</f>
        <v>#VALUE!</v>
      </c>
      <c r="S612" s="22" t="e">
        <f>Tabla1[[#This Row],[StockDisp]]*Tabla1[[#This Row],[UM producto]]</f>
        <v>#VALUE!</v>
      </c>
    </row>
    <row r="613" spans="1:19" x14ac:dyDescent="0.35">
      <c r="A613" s="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6"/>
      <c r="P613" s="23" t="e">
        <f>TRIM(Tabla1[[#This Row],[Articulo]])</f>
        <v>#VALUE!</v>
      </c>
      <c r="Q613" s="23" t="e">
        <f>_xlfn.XLOOKUP(Tabla1[[#This Row],[Ean Normalizado]],Consumos!A:A,Consumos!E:E)</f>
        <v>#VALUE!</v>
      </c>
      <c r="R613" s="22" t="e">
        <f>_xlfn.XLOOKUP(Tabla1[[#This Row],[Ean Normalizado]],tabla_consumos[EAN],tabla_consumos[UM])</f>
        <v>#VALUE!</v>
      </c>
      <c r="S613" s="22" t="e">
        <f>Tabla1[[#This Row],[StockDisp]]*Tabla1[[#This Row],[UM producto]]</f>
        <v>#VALUE!</v>
      </c>
    </row>
    <row r="614" spans="1:19" x14ac:dyDescent="0.35">
      <c r="A614" s="5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6"/>
      <c r="P614" s="23" t="e">
        <f>TRIM(Tabla1[[#This Row],[Articulo]])</f>
        <v>#VALUE!</v>
      </c>
      <c r="Q614" s="23" t="e">
        <f>_xlfn.XLOOKUP(Tabla1[[#This Row],[Ean Normalizado]],Consumos!A:A,Consumos!E:E)</f>
        <v>#VALUE!</v>
      </c>
      <c r="R614" s="22" t="e">
        <f>_xlfn.XLOOKUP(Tabla1[[#This Row],[Ean Normalizado]],tabla_consumos[EAN],tabla_consumos[UM])</f>
        <v>#VALUE!</v>
      </c>
      <c r="S614" s="22" t="e">
        <f>Tabla1[[#This Row],[StockDisp]]*Tabla1[[#This Row],[UM producto]]</f>
        <v>#VALUE!</v>
      </c>
    </row>
    <row r="615" spans="1:19" x14ac:dyDescent="0.35">
      <c r="A615" s="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6"/>
      <c r="P615" s="23" t="e">
        <f>TRIM(Tabla1[[#This Row],[Articulo]])</f>
        <v>#VALUE!</v>
      </c>
      <c r="Q615" s="23" t="e">
        <f>_xlfn.XLOOKUP(Tabla1[[#This Row],[Ean Normalizado]],Consumos!A:A,Consumos!E:E)</f>
        <v>#VALUE!</v>
      </c>
      <c r="R615" s="22" t="e">
        <f>_xlfn.XLOOKUP(Tabla1[[#This Row],[Ean Normalizado]],tabla_consumos[EAN],tabla_consumos[UM])</f>
        <v>#VALUE!</v>
      </c>
      <c r="S615" s="22" t="e">
        <f>Tabla1[[#This Row],[StockDisp]]*Tabla1[[#This Row],[UM producto]]</f>
        <v>#VALUE!</v>
      </c>
    </row>
    <row r="616" spans="1:19" x14ac:dyDescent="0.35">
      <c r="A616" s="5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6"/>
      <c r="P616" s="23" t="e">
        <f>TRIM(Tabla1[[#This Row],[Articulo]])</f>
        <v>#VALUE!</v>
      </c>
      <c r="Q616" s="23" t="e">
        <f>_xlfn.XLOOKUP(Tabla1[[#This Row],[Ean Normalizado]],Consumos!A:A,Consumos!E:E)</f>
        <v>#VALUE!</v>
      </c>
      <c r="R616" s="22" t="e">
        <f>_xlfn.XLOOKUP(Tabla1[[#This Row],[Ean Normalizado]],tabla_consumos[EAN],tabla_consumos[UM])</f>
        <v>#VALUE!</v>
      </c>
      <c r="S616" s="22" t="e">
        <f>Tabla1[[#This Row],[StockDisp]]*Tabla1[[#This Row],[UM producto]]</f>
        <v>#VALUE!</v>
      </c>
    </row>
    <row r="617" spans="1:19" x14ac:dyDescent="0.35">
      <c r="A617" s="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6"/>
      <c r="P617" s="23" t="e">
        <f>TRIM(Tabla1[[#This Row],[Articulo]])</f>
        <v>#VALUE!</v>
      </c>
      <c r="Q617" s="23" t="e">
        <f>_xlfn.XLOOKUP(Tabla1[[#This Row],[Ean Normalizado]],Consumos!A:A,Consumos!E:E)</f>
        <v>#VALUE!</v>
      </c>
      <c r="R617" s="22" t="e">
        <f>_xlfn.XLOOKUP(Tabla1[[#This Row],[Ean Normalizado]],tabla_consumos[EAN],tabla_consumos[UM])</f>
        <v>#VALUE!</v>
      </c>
      <c r="S617" s="22" t="e">
        <f>Tabla1[[#This Row],[StockDisp]]*Tabla1[[#This Row],[UM producto]]</f>
        <v>#VALUE!</v>
      </c>
    </row>
    <row r="618" spans="1:19" x14ac:dyDescent="0.35">
      <c r="A618" s="5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6"/>
      <c r="P618" s="23" t="e">
        <f>TRIM(Tabla1[[#This Row],[Articulo]])</f>
        <v>#VALUE!</v>
      </c>
      <c r="Q618" s="23" t="e">
        <f>_xlfn.XLOOKUP(Tabla1[[#This Row],[Ean Normalizado]],Consumos!A:A,Consumos!E:E)</f>
        <v>#VALUE!</v>
      </c>
      <c r="R618" s="22" t="e">
        <f>_xlfn.XLOOKUP(Tabla1[[#This Row],[Ean Normalizado]],tabla_consumos[EAN],tabla_consumos[UM])</f>
        <v>#VALUE!</v>
      </c>
      <c r="S618" s="22" t="e">
        <f>Tabla1[[#This Row],[StockDisp]]*Tabla1[[#This Row],[UM producto]]</f>
        <v>#VALUE!</v>
      </c>
    </row>
    <row r="619" spans="1:19" x14ac:dyDescent="0.35">
      <c r="A619" s="5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6"/>
      <c r="P619" s="23" t="e">
        <f>TRIM(Tabla1[[#This Row],[Articulo]])</f>
        <v>#VALUE!</v>
      </c>
      <c r="Q619" s="23" t="e">
        <f>_xlfn.XLOOKUP(Tabla1[[#This Row],[Ean Normalizado]],Consumos!A:A,Consumos!E:E)</f>
        <v>#VALUE!</v>
      </c>
      <c r="R619" s="22" t="e">
        <f>_xlfn.XLOOKUP(Tabla1[[#This Row],[Ean Normalizado]],tabla_consumos[EAN],tabla_consumos[UM])</f>
        <v>#VALUE!</v>
      </c>
      <c r="S619" s="22" t="e">
        <f>Tabla1[[#This Row],[StockDisp]]*Tabla1[[#This Row],[UM producto]]</f>
        <v>#VALUE!</v>
      </c>
    </row>
    <row r="620" spans="1:19" x14ac:dyDescent="0.35">
      <c r="A620" s="5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6"/>
      <c r="P620" s="23" t="e">
        <f>TRIM(Tabla1[[#This Row],[Articulo]])</f>
        <v>#VALUE!</v>
      </c>
      <c r="Q620" s="23" t="e">
        <f>_xlfn.XLOOKUP(Tabla1[[#This Row],[Ean Normalizado]],Consumos!A:A,Consumos!E:E)</f>
        <v>#VALUE!</v>
      </c>
      <c r="R620" s="22" t="e">
        <f>_xlfn.XLOOKUP(Tabla1[[#This Row],[Ean Normalizado]],tabla_consumos[EAN],tabla_consumos[UM])</f>
        <v>#VALUE!</v>
      </c>
      <c r="S620" s="22" t="e">
        <f>Tabla1[[#This Row],[StockDisp]]*Tabla1[[#This Row],[UM producto]]</f>
        <v>#VALUE!</v>
      </c>
    </row>
    <row r="621" spans="1:19" x14ac:dyDescent="0.35">
      <c r="A621" s="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6"/>
      <c r="P621" s="23" t="e">
        <f>TRIM(Tabla1[[#This Row],[Articulo]])</f>
        <v>#VALUE!</v>
      </c>
      <c r="Q621" s="23" t="e">
        <f>_xlfn.XLOOKUP(Tabla1[[#This Row],[Ean Normalizado]],Consumos!A:A,Consumos!E:E)</f>
        <v>#VALUE!</v>
      </c>
      <c r="R621" s="22" t="e">
        <f>_xlfn.XLOOKUP(Tabla1[[#This Row],[Ean Normalizado]],tabla_consumos[EAN],tabla_consumos[UM])</f>
        <v>#VALUE!</v>
      </c>
      <c r="S621" s="22" t="e">
        <f>Tabla1[[#This Row],[StockDisp]]*Tabla1[[#This Row],[UM producto]]</f>
        <v>#VALUE!</v>
      </c>
    </row>
    <row r="622" spans="1:19" x14ac:dyDescent="0.35">
      <c r="A622" s="5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6"/>
      <c r="P622" s="23" t="e">
        <f>TRIM(Tabla1[[#This Row],[Articulo]])</f>
        <v>#VALUE!</v>
      </c>
      <c r="Q622" s="23" t="e">
        <f>_xlfn.XLOOKUP(Tabla1[[#This Row],[Ean Normalizado]],Consumos!A:A,Consumos!E:E)</f>
        <v>#VALUE!</v>
      </c>
      <c r="R622" s="22" t="e">
        <f>_xlfn.XLOOKUP(Tabla1[[#This Row],[Ean Normalizado]],tabla_consumos[EAN],tabla_consumos[UM])</f>
        <v>#VALUE!</v>
      </c>
      <c r="S622" s="22" t="e">
        <f>Tabla1[[#This Row],[StockDisp]]*Tabla1[[#This Row],[UM producto]]</f>
        <v>#VALUE!</v>
      </c>
    </row>
    <row r="623" spans="1:19" x14ac:dyDescent="0.35">
      <c r="A623" s="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6"/>
      <c r="P623" s="23" t="e">
        <f>TRIM(Tabla1[[#This Row],[Articulo]])</f>
        <v>#VALUE!</v>
      </c>
      <c r="Q623" s="23" t="e">
        <f>_xlfn.XLOOKUP(Tabla1[[#This Row],[Ean Normalizado]],Consumos!A:A,Consumos!E:E)</f>
        <v>#VALUE!</v>
      </c>
      <c r="R623" s="22" t="e">
        <f>_xlfn.XLOOKUP(Tabla1[[#This Row],[Ean Normalizado]],tabla_consumos[EAN],tabla_consumos[UM])</f>
        <v>#VALUE!</v>
      </c>
      <c r="S623" s="22" t="e">
        <f>Tabla1[[#This Row],[StockDisp]]*Tabla1[[#This Row],[UM producto]]</f>
        <v>#VALUE!</v>
      </c>
    </row>
    <row r="624" spans="1:19" x14ac:dyDescent="0.35">
      <c r="A624" s="5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6"/>
      <c r="P624" s="23" t="e">
        <f>TRIM(Tabla1[[#This Row],[Articulo]])</f>
        <v>#VALUE!</v>
      </c>
      <c r="Q624" s="23" t="e">
        <f>_xlfn.XLOOKUP(Tabla1[[#This Row],[Ean Normalizado]],Consumos!A:A,Consumos!E:E)</f>
        <v>#VALUE!</v>
      </c>
      <c r="R624" s="22" t="e">
        <f>_xlfn.XLOOKUP(Tabla1[[#This Row],[Ean Normalizado]],tabla_consumos[EAN],tabla_consumos[UM])</f>
        <v>#VALUE!</v>
      </c>
      <c r="S624" s="22" t="e">
        <f>Tabla1[[#This Row],[StockDisp]]*Tabla1[[#This Row],[UM producto]]</f>
        <v>#VALUE!</v>
      </c>
    </row>
    <row r="625" spans="1:19" x14ac:dyDescent="0.35">
      <c r="A625" s="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6"/>
      <c r="P625" s="23" t="e">
        <f>TRIM(Tabla1[[#This Row],[Articulo]])</f>
        <v>#VALUE!</v>
      </c>
      <c r="Q625" s="23" t="e">
        <f>_xlfn.XLOOKUP(Tabla1[[#This Row],[Ean Normalizado]],Consumos!A:A,Consumos!E:E)</f>
        <v>#VALUE!</v>
      </c>
      <c r="R625" s="22" t="e">
        <f>_xlfn.XLOOKUP(Tabla1[[#This Row],[Ean Normalizado]],tabla_consumos[EAN],tabla_consumos[UM])</f>
        <v>#VALUE!</v>
      </c>
      <c r="S625" s="22" t="e">
        <f>Tabla1[[#This Row],[StockDisp]]*Tabla1[[#This Row],[UM producto]]</f>
        <v>#VALUE!</v>
      </c>
    </row>
    <row r="626" spans="1:19" x14ac:dyDescent="0.35">
      <c r="A626" s="5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6"/>
      <c r="P626" s="23" t="e">
        <f>TRIM(Tabla1[[#This Row],[Articulo]])</f>
        <v>#VALUE!</v>
      </c>
      <c r="Q626" s="23" t="e">
        <f>_xlfn.XLOOKUP(Tabla1[[#This Row],[Ean Normalizado]],Consumos!A:A,Consumos!E:E)</f>
        <v>#VALUE!</v>
      </c>
      <c r="R626" s="22" t="e">
        <f>_xlfn.XLOOKUP(Tabla1[[#This Row],[Ean Normalizado]],tabla_consumos[EAN],tabla_consumos[UM])</f>
        <v>#VALUE!</v>
      </c>
      <c r="S626" s="22" t="e">
        <f>Tabla1[[#This Row],[StockDisp]]*Tabla1[[#This Row],[UM producto]]</f>
        <v>#VALUE!</v>
      </c>
    </row>
    <row r="627" spans="1:19" x14ac:dyDescent="0.35">
      <c r="A627" s="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6"/>
      <c r="P627" s="23" t="e">
        <f>TRIM(Tabla1[[#This Row],[Articulo]])</f>
        <v>#VALUE!</v>
      </c>
      <c r="Q627" s="23" t="e">
        <f>_xlfn.XLOOKUP(Tabla1[[#This Row],[Ean Normalizado]],Consumos!A:A,Consumos!E:E)</f>
        <v>#VALUE!</v>
      </c>
      <c r="R627" s="22" t="e">
        <f>_xlfn.XLOOKUP(Tabla1[[#This Row],[Ean Normalizado]],tabla_consumos[EAN],tabla_consumos[UM])</f>
        <v>#VALUE!</v>
      </c>
      <c r="S627" s="22" t="e">
        <f>Tabla1[[#This Row],[StockDisp]]*Tabla1[[#This Row],[UM producto]]</f>
        <v>#VALUE!</v>
      </c>
    </row>
    <row r="628" spans="1:19" x14ac:dyDescent="0.35">
      <c r="A628" s="5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6"/>
      <c r="P628" s="23" t="e">
        <f>TRIM(Tabla1[[#This Row],[Articulo]])</f>
        <v>#VALUE!</v>
      </c>
      <c r="Q628" s="23" t="e">
        <f>_xlfn.XLOOKUP(Tabla1[[#This Row],[Ean Normalizado]],Consumos!A:A,Consumos!E:E)</f>
        <v>#VALUE!</v>
      </c>
      <c r="R628" s="22" t="e">
        <f>_xlfn.XLOOKUP(Tabla1[[#This Row],[Ean Normalizado]],tabla_consumos[EAN],tabla_consumos[UM])</f>
        <v>#VALUE!</v>
      </c>
      <c r="S628" s="22" t="e">
        <f>Tabla1[[#This Row],[StockDisp]]*Tabla1[[#This Row],[UM producto]]</f>
        <v>#VALUE!</v>
      </c>
    </row>
    <row r="629" spans="1:19" x14ac:dyDescent="0.35">
      <c r="A629" s="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6"/>
      <c r="P629" s="23" t="e">
        <f>TRIM(Tabla1[[#This Row],[Articulo]])</f>
        <v>#VALUE!</v>
      </c>
      <c r="Q629" s="23" t="e">
        <f>_xlfn.XLOOKUP(Tabla1[[#This Row],[Ean Normalizado]],Consumos!A:A,Consumos!E:E)</f>
        <v>#VALUE!</v>
      </c>
      <c r="R629" s="22" t="e">
        <f>_xlfn.XLOOKUP(Tabla1[[#This Row],[Ean Normalizado]],tabla_consumos[EAN],tabla_consumos[UM])</f>
        <v>#VALUE!</v>
      </c>
      <c r="S629" s="22" t="e">
        <f>Tabla1[[#This Row],[StockDisp]]*Tabla1[[#This Row],[UM producto]]</f>
        <v>#VALUE!</v>
      </c>
    </row>
    <row r="630" spans="1:19" x14ac:dyDescent="0.35">
      <c r="A630" s="5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6"/>
      <c r="P630" s="23" t="e">
        <f>TRIM(Tabla1[[#This Row],[Articulo]])</f>
        <v>#VALUE!</v>
      </c>
      <c r="Q630" s="23" t="e">
        <f>_xlfn.XLOOKUP(Tabla1[[#This Row],[Ean Normalizado]],Consumos!A:A,Consumos!E:E)</f>
        <v>#VALUE!</v>
      </c>
      <c r="R630" s="22" t="e">
        <f>_xlfn.XLOOKUP(Tabla1[[#This Row],[Ean Normalizado]],tabla_consumos[EAN],tabla_consumos[UM])</f>
        <v>#VALUE!</v>
      </c>
      <c r="S630" s="22" t="e">
        <f>Tabla1[[#This Row],[StockDisp]]*Tabla1[[#This Row],[UM producto]]</f>
        <v>#VALUE!</v>
      </c>
    </row>
    <row r="631" spans="1:19" x14ac:dyDescent="0.35">
      <c r="A631" s="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6"/>
      <c r="P631" s="23" t="e">
        <f>TRIM(Tabla1[[#This Row],[Articulo]])</f>
        <v>#VALUE!</v>
      </c>
      <c r="Q631" s="23" t="e">
        <f>_xlfn.XLOOKUP(Tabla1[[#This Row],[Ean Normalizado]],Consumos!A:A,Consumos!E:E)</f>
        <v>#VALUE!</v>
      </c>
      <c r="R631" s="22" t="e">
        <f>_xlfn.XLOOKUP(Tabla1[[#This Row],[Ean Normalizado]],tabla_consumos[EAN],tabla_consumos[UM])</f>
        <v>#VALUE!</v>
      </c>
      <c r="S631" s="22" t="e">
        <f>Tabla1[[#This Row],[StockDisp]]*Tabla1[[#This Row],[UM producto]]</f>
        <v>#VALUE!</v>
      </c>
    </row>
    <row r="632" spans="1:19" x14ac:dyDescent="0.35">
      <c r="A632" s="5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6"/>
      <c r="P632" s="23" t="e">
        <f>TRIM(Tabla1[[#This Row],[Articulo]])</f>
        <v>#VALUE!</v>
      </c>
      <c r="Q632" s="23" t="e">
        <f>_xlfn.XLOOKUP(Tabla1[[#This Row],[Ean Normalizado]],Consumos!A:A,Consumos!E:E)</f>
        <v>#VALUE!</v>
      </c>
      <c r="R632" s="22" t="e">
        <f>_xlfn.XLOOKUP(Tabla1[[#This Row],[Ean Normalizado]],tabla_consumos[EAN],tabla_consumos[UM])</f>
        <v>#VALUE!</v>
      </c>
      <c r="S632" s="22" t="e">
        <f>Tabla1[[#This Row],[StockDisp]]*Tabla1[[#This Row],[UM producto]]</f>
        <v>#VALUE!</v>
      </c>
    </row>
    <row r="633" spans="1:19" x14ac:dyDescent="0.35">
      <c r="A633" s="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6"/>
      <c r="P633" s="23" t="e">
        <f>TRIM(Tabla1[[#This Row],[Articulo]])</f>
        <v>#VALUE!</v>
      </c>
      <c r="Q633" s="23" t="e">
        <f>_xlfn.XLOOKUP(Tabla1[[#This Row],[Ean Normalizado]],Consumos!A:A,Consumos!E:E)</f>
        <v>#VALUE!</v>
      </c>
      <c r="R633" s="22" t="e">
        <f>_xlfn.XLOOKUP(Tabla1[[#This Row],[Ean Normalizado]],tabla_consumos[EAN],tabla_consumos[UM])</f>
        <v>#VALUE!</v>
      </c>
      <c r="S633" s="22" t="e">
        <f>Tabla1[[#This Row],[StockDisp]]*Tabla1[[#This Row],[UM producto]]</f>
        <v>#VALUE!</v>
      </c>
    </row>
    <row r="634" spans="1:19" x14ac:dyDescent="0.35">
      <c r="A634" s="5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6"/>
      <c r="P634" s="23" t="e">
        <f>TRIM(Tabla1[[#This Row],[Articulo]])</f>
        <v>#VALUE!</v>
      </c>
      <c r="Q634" s="23" t="e">
        <f>_xlfn.XLOOKUP(Tabla1[[#This Row],[Ean Normalizado]],Consumos!A:A,Consumos!E:E)</f>
        <v>#VALUE!</v>
      </c>
      <c r="R634" s="22" t="e">
        <f>_xlfn.XLOOKUP(Tabla1[[#This Row],[Ean Normalizado]],tabla_consumos[EAN],tabla_consumos[UM])</f>
        <v>#VALUE!</v>
      </c>
      <c r="S634" s="22" t="e">
        <f>Tabla1[[#This Row],[StockDisp]]*Tabla1[[#This Row],[UM producto]]</f>
        <v>#VALUE!</v>
      </c>
    </row>
    <row r="635" spans="1:19" x14ac:dyDescent="0.35">
      <c r="A635" s="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6"/>
      <c r="P635" s="23" t="e">
        <f>TRIM(Tabla1[[#This Row],[Articulo]])</f>
        <v>#VALUE!</v>
      </c>
      <c r="Q635" s="23" t="e">
        <f>_xlfn.XLOOKUP(Tabla1[[#This Row],[Ean Normalizado]],Consumos!A:A,Consumos!E:E)</f>
        <v>#VALUE!</v>
      </c>
      <c r="R635" s="22" t="e">
        <f>_xlfn.XLOOKUP(Tabla1[[#This Row],[Ean Normalizado]],tabla_consumos[EAN],tabla_consumos[UM])</f>
        <v>#VALUE!</v>
      </c>
      <c r="S635" s="22" t="e">
        <f>Tabla1[[#This Row],[StockDisp]]*Tabla1[[#This Row],[UM producto]]</f>
        <v>#VALUE!</v>
      </c>
    </row>
    <row r="636" spans="1:19" x14ac:dyDescent="0.35">
      <c r="A636" s="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6"/>
      <c r="P636" s="23" t="e">
        <f>TRIM(Tabla1[[#This Row],[Articulo]])</f>
        <v>#VALUE!</v>
      </c>
      <c r="Q636" s="23" t="e">
        <f>_xlfn.XLOOKUP(Tabla1[[#This Row],[Ean Normalizado]],Consumos!A:A,Consumos!E:E)</f>
        <v>#VALUE!</v>
      </c>
      <c r="R636" s="22" t="e">
        <f>_xlfn.XLOOKUP(Tabla1[[#This Row],[Ean Normalizado]],tabla_consumos[EAN],tabla_consumos[UM])</f>
        <v>#VALUE!</v>
      </c>
      <c r="S636" s="22" t="e">
        <f>Tabla1[[#This Row],[StockDisp]]*Tabla1[[#This Row],[UM producto]]</f>
        <v>#VALUE!</v>
      </c>
    </row>
    <row r="637" spans="1:19" x14ac:dyDescent="0.35">
      <c r="A637" s="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6"/>
      <c r="P637" s="23" t="e">
        <f>TRIM(Tabla1[[#This Row],[Articulo]])</f>
        <v>#VALUE!</v>
      </c>
      <c r="Q637" s="23" t="e">
        <f>_xlfn.XLOOKUP(Tabla1[[#This Row],[Ean Normalizado]],Consumos!A:A,Consumos!E:E)</f>
        <v>#VALUE!</v>
      </c>
      <c r="R637" s="22" t="e">
        <f>_xlfn.XLOOKUP(Tabla1[[#This Row],[Ean Normalizado]],tabla_consumos[EAN],tabla_consumos[UM])</f>
        <v>#VALUE!</v>
      </c>
      <c r="S637" s="22" t="e">
        <f>Tabla1[[#This Row],[StockDisp]]*Tabla1[[#This Row],[UM producto]]</f>
        <v>#VALUE!</v>
      </c>
    </row>
    <row r="638" spans="1:19" x14ac:dyDescent="0.35">
      <c r="A638" s="5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6"/>
      <c r="P638" s="23" t="e">
        <f>TRIM(Tabla1[[#This Row],[Articulo]])</f>
        <v>#VALUE!</v>
      </c>
      <c r="Q638" s="23" t="e">
        <f>_xlfn.XLOOKUP(Tabla1[[#This Row],[Ean Normalizado]],Consumos!A:A,Consumos!E:E)</f>
        <v>#VALUE!</v>
      </c>
      <c r="R638" s="22" t="e">
        <f>_xlfn.XLOOKUP(Tabla1[[#This Row],[Ean Normalizado]],tabla_consumos[EAN],tabla_consumos[UM])</f>
        <v>#VALUE!</v>
      </c>
      <c r="S638" s="22" t="e">
        <f>Tabla1[[#This Row],[StockDisp]]*Tabla1[[#This Row],[UM producto]]</f>
        <v>#VALUE!</v>
      </c>
    </row>
    <row r="639" spans="1:19" x14ac:dyDescent="0.35">
      <c r="A639" s="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6"/>
      <c r="P639" s="23" t="e">
        <f>TRIM(Tabla1[[#This Row],[Articulo]])</f>
        <v>#VALUE!</v>
      </c>
      <c r="Q639" s="23" t="e">
        <f>_xlfn.XLOOKUP(Tabla1[[#This Row],[Ean Normalizado]],Consumos!A:A,Consumos!E:E)</f>
        <v>#VALUE!</v>
      </c>
      <c r="R639" s="22" t="e">
        <f>_xlfn.XLOOKUP(Tabla1[[#This Row],[Ean Normalizado]],tabla_consumos[EAN],tabla_consumos[UM])</f>
        <v>#VALUE!</v>
      </c>
      <c r="S639" s="22" t="e">
        <f>Tabla1[[#This Row],[StockDisp]]*Tabla1[[#This Row],[UM producto]]</f>
        <v>#VALUE!</v>
      </c>
    </row>
    <row r="640" spans="1:19" x14ac:dyDescent="0.35">
      <c r="A640" s="5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6"/>
      <c r="P640" s="23" t="e">
        <f>TRIM(Tabla1[[#This Row],[Articulo]])</f>
        <v>#VALUE!</v>
      </c>
      <c r="Q640" s="23" t="e">
        <f>_xlfn.XLOOKUP(Tabla1[[#This Row],[Ean Normalizado]],Consumos!A:A,Consumos!E:E)</f>
        <v>#VALUE!</v>
      </c>
      <c r="R640" s="22" t="e">
        <f>_xlfn.XLOOKUP(Tabla1[[#This Row],[Ean Normalizado]],tabla_consumos[EAN],tabla_consumos[UM])</f>
        <v>#VALUE!</v>
      </c>
      <c r="S640" s="22" t="e">
        <f>Tabla1[[#This Row],[StockDisp]]*Tabla1[[#This Row],[UM producto]]</f>
        <v>#VALUE!</v>
      </c>
    </row>
    <row r="641" spans="1:19" x14ac:dyDescent="0.35">
      <c r="A641" s="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6"/>
      <c r="P641" s="23" t="e">
        <f>TRIM(Tabla1[[#This Row],[Articulo]])</f>
        <v>#VALUE!</v>
      </c>
      <c r="Q641" s="23" t="e">
        <f>_xlfn.XLOOKUP(Tabla1[[#This Row],[Ean Normalizado]],Consumos!A:A,Consumos!E:E)</f>
        <v>#VALUE!</v>
      </c>
      <c r="R641" s="22" t="e">
        <f>_xlfn.XLOOKUP(Tabla1[[#This Row],[Ean Normalizado]],tabla_consumos[EAN],tabla_consumos[UM])</f>
        <v>#VALUE!</v>
      </c>
      <c r="S641" s="22" t="e">
        <f>Tabla1[[#This Row],[StockDisp]]*Tabla1[[#This Row],[UM producto]]</f>
        <v>#VALUE!</v>
      </c>
    </row>
    <row r="642" spans="1:19" x14ac:dyDescent="0.35">
      <c r="A642" s="5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6"/>
      <c r="P642" s="23" t="e">
        <f>TRIM(Tabla1[[#This Row],[Articulo]])</f>
        <v>#VALUE!</v>
      </c>
      <c r="Q642" s="23" t="e">
        <f>_xlfn.XLOOKUP(Tabla1[[#This Row],[Ean Normalizado]],Consumos!A:A,Consumos!E:E)</f>
        <v>#VALUE!</v>
      </c>
      <c r="R642" s="22" t="e">
        <f>_xlfn.XLOOKUP(Tabla1[[#This Row],[Ean Normalizado]],tabla_consumos[EAN],tabla_consumos[UM])</f>
        <v>#VALUE!</v>
      </c>
      <c r="S642" s="22" t="e">
        <f>Tabla1[[#This Row],[StockDisp]]*Tabla1[[#This Row],[UM producto]]</f>
        <v>#VALUE!</v>
      </c>
    </row>
    <row r="643" spans="1:19" x14ac:dyDescent="0.35">
      <c r="A643" s="5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6"/>
      <c r="P643" s="23" t="e">
        <f>TRIM(Tabla1[[#This Row],[Articulo]])</f>
        <v>#VALUE!</v>
      </c>
      <c r="Q643" s="23" t="e">
        <f>_xlfn.XLOOKUP(Tabla1[[#This Row],[Ean Normalizado]],Consumos!A:A,Consumos!E:E)</f>
        <v>#VALUE!</v>
      </c>
      <c r="R643" s="22" t="e">
        <f>_xlfn.XLOOKUP(Tabla1[[#This Row],[Ean Normalizado]],tabla_consumos[EAN],tabla_consumos[UM])</f>
        <v>#VALUE!</v>
      </c>
      <c r="S643" s="22" t="e">
        <f>Tabla1[[#This Row],[StockDisp]]*Tabla1[[#This Row],[UM producto]]</f>
        <v>#VALUE!</v>
      </c>
    </row>
    <row r="644" spans="1:19" x14ac:dyDescent="0.35">
      <c r="A644" s="5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6"/>
      <c r="P644" s="23" t="e">
        <f>TRIM(Tabla1[[#This Row],[Articulo]])</f>
        <v>#VALUE!</v>
      </c>
      <c r="Q644" s="23" t="e">
        <f>_xlfn.XLOOKUP(Tabla1[[#This Row],[Ean Normalizado]],Consumos!A:A,Consumos!E:E)</f>
        <v>#VALUE!</v>
      </c>
      <c r="R644" s="22" t="e">
        <f>_xlfn.XLOOKUP(Tabla1[[#This Row],[Ean Normalizado]],tabla_consumos[EAN],tabla_consumos[UM])</f>
        <v>#VALUE!</v>
      </c>
      <c r="S644" s="22" t="e">
        <f>Tabla1[[#This Row],[StockDisp]]*Tabla1[[#This Row],[UM producto]]</f>
        <v>#VALUE!</v>
      </c>
    </row>
    <row r="645" spans="1:19" x14ac:dyDescent="0.35">
      <c r="A645" s="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6"/>
      <c r="P645" s="23" t="e">
        <f>TRIM(Tabla1[[#This Row],[Articulo]])</f>
        <v>#VALUE!</v>
      </c>
      <c r="Q645" s="23" t="e">
        <f>_xlfn.XLOOKUP(Tabla1[[#This Row],[Ean Normalizado]],Consumos!A:A,Consumos!E:E)</f>
        <v>#VALUE!</v>
      </c>
      <c r="R645" s="22" t="e">
        <f>_xlfn.XLOOKUP(Tabla1[[#This Row],[Ean Normalizado]],tabla_consumos[EAN],tabla_consumos[UM])</f>
        <v>#VALUE!</v>
      </c>
      <c r="S645" s="22" t="e">
        <f>Tabla1[[#This Row],[StockDisp]]*Tabla1[[#This Row],[UM producto]]</f>
        <v>#VALUE!</v>
      </c>
    </row>
    <row r="646" spans="1:19" x14ac:dyDescent="0.35">
      <c r="A646" s="5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6"/>
      <c r="P646" s="23" t="e">
        <f>TRIM(Tabla1[[#This Row],[Articulo]])</f>
        <v>#VALUE!</v>
      </c>
      <c r="Q646" s="23" t="e">
        <f>_xlfn.XLOOKUP(Tabla1[[#This Row],[Ean Normalizado]],Consumos!A:A,Consumos!E:E)</f>
        <v>#VALUE!</v>
      </c>
      <c r="R646" s="22" t="e">
        <f>_xlfn.XLOOKUP(Tabla1[[#This Row],[Ean Normalizado]],tabla_consumos[EAN],tabla_consumos[UM])</f>
        <v>#VALUE!</v>
      </c>
      <c r="S646" s="22" t="e">
        <f>Tabla1[[#This Row],[StockDisp]]*Tabla1[[#This Row],[UM producto]]</f>
        <v>#VALUE!</v>
      </c>
    </row>
    <row r="647" spans="1:19" x14ac:dyDescent="0.35">
      <c r="A647" s="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6"/>
      <c r="P647" s="23" t="e">
        <f>TRIM(Tabla1[[#This Row],[Articulo]])</f>
        <v>#VALUE!</v>
      </c>
      <c r="Q647" s="23" t="e">
        <f>_xlfn.XLOOKUP(Tabla1[[#This Row],[Ean Normalizado]],Consumos!A:A,Consumos!E:E)</f>
        <v>#VALUE!</v>
      </c>
      <c r="R647" s="22" t="e">
        <f>_xlfn.XLOOKUP(Tabla1[[#This Row],[Ean Normalizado]],tabla_consumos[EAN],tabla_consumos[UM])</f>
        <v>#VALUE!</v>
      </c>
      <c r="S647" s="22" t="e">
        <f>Tabla1[[#This Row],[StockDisp]]*Tabla1[[#This Row],[UM producto]]</f>
        <v>#VALUE!</v>
      </c>
    </row>
    <row r="648" spans="1:19" x14ac:dyDescent="0.35">
      <c r="A648" s="5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6"/>
      <c r="P648" s="23" t="e">
        <f>TRIM(Tabla1[[#This Row],[Articulo]])</f>
        <v>#VALUE!</v>
      </c>
      <c r="Q648" s="23" t="e">
        <f>_xlfn.XLOOKUP(Tabla1[[#This Row],[Ean Normalizado]],Consumos!A:A,Consumos!E:E)</f>
        <v>#VALUE!</v>
      </c>
      <c r="R648" s="22" t="e">
        <f>_xlfn.XLOOKUP(Tabla1[[#This Row],[Ean Normalizado]],tabla_consumos[EAN],tabla_consumos[UM])</f>
        <v>#VALUE!</v>
      </c>
      <c r="S648" s="22" t="e">
        <f>Tabla1[[#This Row],[StockDisp]]*Tabla1[[#This Row],[UM producto]]</f>
        <v>#VALUE!</v>
      </c>
    </row>
    <row r="649" spans="1:19" x14ac:dyDescent="0.35">
      <c r="A649" s="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6"/>
      <c r="P649" s="23" t="e">
        <f>TRIM(Tabla1[[#This Row],[Articulo]])</f>
        <v>#VALUE!</v>
      </c>
      <c r="Q649" s="23" t="e">
        <f>_xlfn.XLOOKUP(Tabla1[[#This Row],[Ean Normalizado]],Consumos!A:A,Consumos!E:E)</f>
        <v>#VALUE!</v>
      </c>
      <c r="R649" s="22" t="e">
        <f>_xlfn.XLOOKUP(Tabla1[[#This Row],[Ean Normalizado]],tabla_consumos[EAN],tabla_consumos[UM])</f>
        <v>#VALUE!</v>
      </c>
      <c r="S649" s="22" t="e">
        <f>Tabla1[[#This Row],[StockDisp]]*Tabla1[[#This Row],[UM producto]]</f>
        <v>#VALUE!</v>
      </c>
    </row>
    <row r="650" spans="1:19" x14ac:dyDescent="0.35">
      <c r="A650" s="5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6"/>
      <c r="P650" s="23" t="e">
        <f>TRIM(Tabla1[[#This Row],[Articulo]])</f>
        <v>#VALUE!</v>
      </c>
      <c r="Q650" s="23" t="e">
        <f>_xlfn.XLOOKUP(Tabla1[[#This Row],[Ean Normalizado]],Consumos!A:A,Consumos!E:E)</f>
        <v>#VALUE!</v>
      </c>
      <c r="R650" s="22" t="e">
        <f>_xlfn.XLOOKUP(Tabla1[[#This Row],[Ean Normalizado]],tabla_consumos[EAN],tabla_consumos[UM])</f>
        <v>#VALUE!</v>
      </c>
      <c r="S650" s="22" t="e">
        <f>Tabla1[[#This Row],[StockDisp]]*Tabla1[[#This Row],[UM producto]]</f>
        <v>#VALUE!</v>
      </c>
    </row>
    <row r="651" spans="1:19" x14ac:dyDescent="0.35">
      <c r="A651" s="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6"/>
      <c r="P651" s="23" t="e">
        <f>TRIM(Tabla1[[#This Row],[Articulo]])</f>
        <v>#VALUE!</v>
      </c>
      <c r="Q651" s="23" t="e">
        <f>_xlfn.XLOOKUP(Tabla1[[#This Row],[Ean Normalizado]],Consumos!A:A,Consumos!E:E)</f>
        <v>#VALUE!</v>
      </c>
      <c r="R651" s="22" t="e">
        <f>_xlfn.XLOOKUP(Tabla1[[#This Row],[Ean Normalizado]],tabla_consumos[EAN],tabla_consumos[UM])</f>
        <v>#VALUE!</v>
      </c>
      <c r="S651" s="22" t="e">
        <f>Tabla1[[#This Row],[StockDisp]]*Tabla1[[#This Row],[UM producto]]</f>
        <v>#VALUE!</v>
      </c>
    </row>
    <row r="652" spans="1:19" x14ac:dyDescent="0.35">
      <c r="A652" s="5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6"/>
      <c r="P652" s="23" t="e">
        <f>TRIM(Tabla1[[#This Row],[Articulo]])</f>
        <v>#VALUE!</v>
      </c>
      <c r="Q652" s="23" t="e">
        <f>_xlfn.XLOOKUP(Tabla1[[#This Row],[Ean Normalizado]],Consumos!A:A,Consumos!E:E)</f>
        <v>#VALUE!</v>
      </c>
      <c r="R652" s="22" t="e">
        <f>_xlfn.XLOOKUP(Tabla1[[#This Row],[Ean Normalizado]],tabla_consumos[EAN],tabla_consumos[UM])</f>
        <v>#VALUE!</v>
      </c>
      <c r="S652" s="22" t="e">
        <f>Tabla1[[#This Row],[StockDisp]]*Tabla1[[#This Row],[UM producto]]</f>
        <v>#VALUE!</v>
      </c>
    </row>
    <row r="653" spans="1:19" x14ac:dyDescent="0.35">
      <c r="A653" s="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6"/>
      <c r="P653" s="23" t="e">
        <f>TRIM(Tabla1[[#This Row],[Articulo]])</f>
        <v>#VALUE!</v>
      </c>
      <c r="Q653" s="23" t="e">
        <f>_xlfn.XLOOKUP(Tabla1[[#This Row],[Ean Normalizado]],Consumos!A:A,Consumos!E:E)</f>
        <v>#VALUE!</v>
      </c>
      <c r="R653" s="22" t="e">
        <f>_xlfn.XLOOKUP(Tabla1[[#This Row],[Ean Normalizado]],tabla_consumos[EAN],tabla_consumos[UM])</f>
        <v>#VALUE!</v>
      </c>
      <c r="S653" s="22" t="e">
        <f>Tabla1[[#This Row],[StockDisp]]*Tabla1[[#This Row],[UM producto]]</f>
        <v>#VALUE!</v>
      </c>
    </row>
    <row r="654" spans="1:19" x14ac:dyDescent="0.35">
      <c r="A654" s="5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6"/>
      <c r="P654" s="23" t="e">
        <f>TRIM(Tabla1[[#This Row],[Articulo]])</f>
        <v>#VALUE!</v>
      </c>
      <c r="Q654" s="23" t="e">
        <f>_xlfn.XLOOKUP(Tabla1[[#This Row],[Ean Normalizado]],Consumos!A:A,Consumos!E:E)</f>
        <v>#VALUE!</v>
      </c>
      <c r="R654" s="22" t="e">
        <f>_xlfn.XLOOKUP(Tabla1[[#This Row],[Ean Normalizado]],tabla_consumos[EAN],tabla_consumos[UM])</f>
        <v>#VALUE!</v>
      </c>
      <c r="S654" s="22" t="e">
        <f>Tabla1[[#This Row],[StockDisp]]*Tabla1[[#This Row],[UM producto]]</f>
        <v>#VALUE!</v>
      </c>
    </row>
    <row r="655" spans="1:19" x14ac:dyDescent="0.35">
      <c r="A655" s="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6"/>
      <c r="P655" s="23" t="e">
        <f>TRIM(Tabla1[[#This Row],[Articulo]])</f>
        <v>#VALUE!</v>
      </c>
      <c r="Q655" s="23" t="e">
        <f>_xlfn.XLOOKUP(Tabla1[[#This Row],[Ean Normalizado]],Consumos!A:A,Consumos!E:E)</f>
        <v>#VALUE!</v>
      </c>
      <c r="R655" s="22" t="e">
        <f>_xlfn.XLOOKUP(Tabla1[[#This Row],[Ean Normalizado]],tabla_consumos[EAN],tabla_consumos[UM])</f>
        <v>#VALUE!</v>
      </c>
      <c r="S655" s="22" t="e">
        <f>Tabla1[[#This Row],[StockDisp]]*Tabla1[[#This Row],[UM producto]]</f>
        <v>#VALUE!</v>
      </c>
    </row>
    <row r="656" spans="1:19" x14ac:dyDescent="0.35">
      <c r="A656" s="5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6"/>
      <c r="P656" s="23" t="e">
        <f>TRIM(Tabla1[[#This Row],[Articulo]])</f>
        <v>#VALUE!</v>
      </c>
      <c r="Q656" s="23" t="e">
        <f>_xlfn.XLOOKUP(Tabla1[[#This Row],[Ean Normalizado]],Consumos!A:A,Consumos!E:E)</f>
        <v>#VALUE!</v>
      </c>
      <c r="R656" s="22" t="e">
        <f>_xlfn.XLOOKUP(Tabla1[[#This Row],[Ean Normalizado]],tabla_consumos[EAN],tabla_consumos[UM])</f>
        <v>#VALUE!</v>
      </c>
      <c r="S656" s="22" t="e">
        <f>Tabla1[[#This Row],[StockDisp]]*Tabla1[[#This Row],[UM producto]]</f>
        <v>#VALUE!</v>
      </c>
    </row>
    <row r="657" spans="1:19" x14ac:dyDescent="0.35">
      <c r="A657" s="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6"/>
      <c r="P657" s="23" t="e">
        <f>TRIM(Tabla1[[#This Row],[Articulo]])</f>
        <v>#VALUE!</v>
      </c>
      <c r="Q657" s="23" t="e">
        <f>_xlfn.XLOOKUP(Tabla1[[#This Row],[Ean Normalizado]],Consumos!A:A,Consumos!E:E)</f>
        <v>#VALUE!</v>
      </c>
      <c r="R657" s="22" t="e">
        <f>_xlfn.XLOOKUP(Tabla1[[#This Row],[Ean Normalizado]],tabla_consumos[EAN],tabla_consumos[UM])</f>
        <v>#VALUE!</v>
      </c>
      <c r="S657" s="22" t="e">
        <f>Tabla1[[#This Row],[StockDisp]]*Tabla1[[#This Row],[UM producto]]</f>
        <v>#VALUE!</v>
      </c>
    </row>
    <row r="658" spans="1:19" x14ac:dyDescent="0.35">
      <c r="A658" s="5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6"/>
      <c r="P658" s="23" t="e">
        <f>TRIM(Tabla1[[#This Row],[Articulo]])</f>
        <v>#VALUE!</v>
      </c>
      <c r="Q658" s="23" t="e">
        <f>_xlfn.XLOOKUP(Tabla1[[#This Row],[Ean Normalizado]],Consumos!A:A,Consumos!E:E)</f>
        <v>#VALUE!</v>
      </c>
      <c r="R658" s="22" t="e">
        <f>_xlfn.XLOOKUP(Tabla1[[#This Row],[Ean Normalizado]],tabla_consumos[EAN],tabla_consumos[UM])</f>
        <v>#VALUE!</v>
      </c>
      <c r="S658" s="22" t="e">
        <f>Tabla1[[#This Row],[StockDisp]]*Tabla1[[#This Row],[UM producto]]</f>
        <v>#VALUE!</v>
      </c>
    </row>
    <row r="659" spans="1:19" x14ac:dyDescent="0.35">
      <c r="A659" s="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6"/>
      <c r="P659" s="23" t="e">
        <f>TRIM(Tabla1[[#This Row],[Articulo]])</f>
        <v>#VALUE!</v>
      </c>
      <c r="Q659" s="23" t="e">
        <f>_xlfn.XLOOKUP(Tabla1[[#This Row],[Ean Normalizado]],Consumos!A:A,Consumos!E:E)</f>
        <v>#VALUE!</v>
      </c>
      <c r="R659" s="22" t="e">
        <f>_xlfn.XLOOKUP(Tabla1[[#This Row],[Ean Normalizado]],tabla_consumos[EAN],tabla_consumos[UM])</f>
        <v>#VALUE!</v>
      </c>
      <c r="S659" s="22" t="e">
        <f>Tabla1[[#This Row],[StockDisp]]*Tabla1[[#This Row],[UM producto]]</f>
        <v>#VALUE!</v>
      </c>
    </row>
    <row r="660" spans="1:19" x14ac:dyDescent="0.35">
      <c r="A660" s="5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6"/>
      <c r="P660" s="23" t="e">
        <f>TRIM(Tabla1[[#This Row],[Articulo]])</f>
        <v>#VALUE!</v>
      </c>
      <c r="Q660" s="23" t="e">
        <f>_xlfn.XLOOKUP(Tabla1[[#This Row],[Ean Normalizado]],Consumos!A:A,Consumos!E:E)</f>
        <v>#VALUE!</v>
      </c>
      <c r="R660" s="22" t="e">
        <f>_xlfn.XLOOKUP(Tabla1[[#This Row],[Ean Normalizado]],tabla_consumos[EAN],tabla_consumos[UM])</f>
        <v>#VALUE!</v>
      </c>
      <c r="S660" s="22" t="e">
        <f>Tabla1[[#This Row],[StockDisp]]*Tabla1[[#This Row],[UM producto]]</f>
        <v>#VALUE!</v>
      </c>
    </row>
    <row r="661" spans="1:19" x14ac:dyDescent="0.35">
      <c r="A661" s="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6"/>
      <c r="P661" s="23" t="e">
        <f>TRIM(Tabla1[[#This Row],[Articulo]])</f>
        <v>#VALUE!</v>
      </c>
      <c r="Q661" s="23" t="e">
        <f>_xlfn.XLOOKUP(Tabla1[[#This Row],[Ean Normalizado]],Consumos!A:A,Consumos!E:E)</f>
        <v>#VALUE!</v>
      </c>
      <c r="R661" s="22" t="e">
        <f>_xlfn.XLOOKUP(Tabla1[[#This Row],[Ean Normalizado]],tabla_consumos[EAN],tabla_consumos[UM])</f>
        <v>#VALUE!</v>
      </c>
      <c r="S661" s="22" t="e">
        <f>Tabla1[[#This Row],[StockDisp]]*Tabla1[[#This Row],[UM producto]]</f>
        <v>#VALUE!</v>
      </c>
    </row>
    <row r="662" spans="1:19" x14ac:dyDescent="0.35">
      <c r="A662" s="5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6"/>
      <c r="P662" s="23" t="e">
        <f>TRIM(Tabla1[[#This Row],[Articulo]])</f>
        <v>#VALUE!</v>
      </c>
      <c r="Q662" s="23" t="e">
        <f>_xlfn.XLOOKUP(Tabla1[[#This Row],[Ean Normalizado]],Consumos!A:A,Consumos!E:E)</f>
        <v>#VALUE!</v>
      </c>
      <c r="R662" s="22" t="e">
        <f>_xlfn.XLOOKUP(Tabla1[[#This Row],[Ean Normalizado]],tabla_consumos[EAN],tabla_consumos[UM])</f>
        <v>#VALUE!</v>
      </c>
      <c r="S662" s="22" t="e">
        <f>Tabla1[[#This Row],[StockDisp]]*Tabla1[[#This Row],[UM producto]]</f>
        <v>#VALUE!</v>
      </c>
    </row>
    <row r="663" spans="1:19" x14ac:dyDescent="0.35">
      <c r="A663" s="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6"/>
      <c r="P663" s="23" t="e">
        <f>TRIM(Tabla1[[#This Row],[Articulo]])</f>
        <v>#VALUE!</v>
      </c>
      <c r="Q663" s="23" t="e">
        <f>_xlfn.XLOOKUP(Tabla1[[#This Row],[Ean Normalizado]],Consumos!A:A,Consumos!E:E)</f>
        <v>#VALUE!</v>
      </c>
      <c r="R663" s="22" t="e">
        <f>_xlfn.XLOOKUP(Tabla1[[#This Row],[Ean Normalizado]],tabla_consumos[EAN],tabla_consumos[UM])</f>
        <v>#VALUE!</v>
      </c>
      <c r="S663" s="22" t="e">
        <f>Tabla1[[#This Row],[StockDisp]]*Tabla1[[#This Row],[UM producto]]</f>
        <v>#VALUE!</v>
      </c>
    </row>
    <row r="664" spans="1:19" x14ac:dyDescent="0.35">
      <c r="A664" s="5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6"/>
      <c r="P664" s="23" t="e">
        <f>TRIM(Tabla1[[#This Row],[Articulo]])</f>
        <v>#VALUE!</v>
      </c>
      <c r="Q664" s="23" t="e">
        <f>_xlfn.XLOOKUP(Tabla1[[#This Row],[Ean Normalizado]],Consumos!A:A,Consumos!E:E)</f>
        <v>#VALUE!</v>
      </c>
      <c r="R664" s="22" t="e">
        <f>_xlfn.XLOOKUP(Tabla1[[#This Row],[Ean Normalizado]],tabla_consumos[EAN],tabla_consumos[UM])</f>
        <v>#VALUE!</v>
      </c>
      <c r="S664" s="22" t="e">
        <f>Tabla1[[#This Row],[StockDisp]]*Tabla1[[#This Row],[UM producto]]</f>
        <v>#VALUE!</v>
      </c>
    </row>
    <row r="665" spans="1:19" x14ac:dyDescent="0.35">
      <c r="A665" s="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6"/>
      <c r="P665" s="23" t="e">
        <f>TRIM(Tabla1[[#This Row],[Articulo]])</f>
        <v>#VALUE!</v>
      </c>
      <c r="Q665" s="23" t="e">
        <f>_xlfn.XLOOKUP(Tabla1[[#This Row],[Ean Normalizado]],Consumos!A:A,Consumos!E:E)</f>
        <v>#VALUE!</v>
      </c>
      <c r="R665" s="22" t="e">
        <f>_xlfn.XLOOKUP(Tabla1[[#This Row],[Ean Normalizado]],tabla_consumos[EAN],tabla_consumos[UM])</f>
        <v>#VALUE!</v>
      </c>
      <c r="S665" s="22" t="e">
        <f>Tabla1[[#This Row],[StockDisp]]*Tabla1[[#This Row],[UM producto]]</f>
        <v>#VALUE!</v>
      </c>
    </row>
    <row r="666" spans="1:19" x14ac:dyDescent="0.35">
      <c r="A666" s="5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6"/>
      <c r="P666" s="23" t="e">
        <f>TRIM(Tabla1[[#This Row],[Articulo]])</f>
        <v>#VALUE!</v>
      </c>
      <c r="Q666" s="23" t="e">
        <f>_xlfn.XLOOKUP(Tabla1[[#This Row],[Ean Normalizado]],Consumos!A:A,Consumos!E:E)</f>
        <v>#VALUE!</v>
      </c>
      <c r="R666" s="22" t="e">
        <f>_xlfn.XLOOKUP(Tabla1[[#This Row],[Ean Normalizado]],tabla_consumos[EAN],tabla_consumos[UM])</f>
        <v>#VALUE!</v>
      </c>
      <c r="S666" s="22" t="e">
        <f>Tabla1[[#This Row],[StockDisp]]*Tabla1[[#This Row],[UM producto]]</f>
        <v>#VALUE!</v>
      </c>
    </row>
    <row r="667" spans="1:19" x14ac:dyDescent="0.35">
      <c r="A667" s="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6"/>
      <c r="P667" s="23" t="e">
        <f>TRIM(Tabla1[[#This Row],[Articulo]])</f>
        <v>#VALUE!</v>
      </c>
      <c r="Q667" s="23" t="e">
        <f>_xlfn.XLOOKUP(Tabla1[[#This Row],[Ean Normalizado]],Consumos!A:A,Consumos!E:E)</f>
        <v>#VALUE!</v>
      </c>
      <c r="R667" s="22" t="e">
        <f>_xlfn.XLOOKUP(Tabla1[[#This Row],[Ean Normalizado]],tabla_consumos[EAN],tabla_consumos[UM])</f>
        <v>#VALUE!</v>
      </c>
      <c r="S667" s="22" t="e">
        <f>Tabla1[[#This Row],[StockDisp]]*Tabla1[[#This Row],[UM producto]]</f>
        <v>#VALUE!</v>
      </c>
    </row>
    <row r="668" spans="1:19" x14ac:dyDescent="0.35">
      <c r="A668" s="5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6"/>
      <c r="P668" s="23" t="e">
        <f>TRIM(Tabla1[[#This Row],[Articulo]])</f>
        <v>#VALUE!</v>
      </c>
      <c r="Q668" s="23" t="e">
        <f>_xlfn.XLOOKUP(Tabla1[[#This Row],[Ean Normalizado]],Consumos!A:A,Consumos!E:E)</f>
        <v>#VALUE!</v>
      </c>
      <c r="R668" s="22" t="e">
        <f>_xlfn.XLOOKUP(Tabla1[[#This Row],[Ean Normalizado]],tabla_consumos[EAN],tabla_consumos[UM])</f>
        <v>#VALUE!</v>
      </c>
      <c r="S668" s="22" t="e">
        <f>Tabla1[[#This Row],[StockDisp]]*Tabla1[[#This Row],[UM producto]]</f>
        <v>#VALUE!</v>
      </c>
    </row>
    <row r="669" spans="1:19" x14ac:dyDescent="0.35">
      <c r="A669" s="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6"/>
      <c r="P669" s="23" t="e">
        <f>TRIM(Tabla1[[#This Row],[Articulo]])</f>
        <v>#VALUE!</v>
      </c>
      <c r="Q669" s="23" t="e">
        <f>_xlfn.XLOOKUP(Tabla1[[#This Row],[Ean Normalizado]],Consumos!A:A,Consumos!E:E)</f>
        <v>#VALUE!</v>
      </c>
      <c r="R669" s="22" t="e">
        <f>_xlfn.XLOOKUP(Tabla1[[#This Row],[Ean Normalizado]],tabla_consumos[EAN],tabla_consumos[UM])</f>
        <v>#VALUE!</v>
      </c>
      <c r="S669" s="22" t="e">
        <f>Tabla1[[#This Row],[StockDisp]]*Tabla1[[#This Row],[UM producto]]</f>
        <v>#VALUE!</v>
      </c>
    </row>
    <row r="670" spans="1:19" x14ac:dyDescent="0.35">
      <c r="A670" s="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6"/>
      <c r="P670" s="23" t="e">
        <f>TRIM(Tabla1[[#This Row],[Articulo]])</f>
        <v>#VALUE!</v>
      </c>
      <c r="Q670" s="23" t="e">
        <f>_xlfn.XLOOKUP(Tabla1[[#This Row],[Ean Normalizado]],Consumos!A:A,Consumos!E:E)</f>
        <v>#VALUE!</v>
      </c>
      <c r="R670" s="22" t="e">
        <f>_xlfn.XLOOKUP(Tabla1[[#This Row],[Ean Normalizado]],tabla_consumos[EAN],tabla_consumos[UM])</f>
        <v>#VALUE!</v>
      </c>
      <c r="S670" s="22" t="e">
        <f>Tabla1[[#This Row],[StockDisp]]*Tabla1[[#This Row],[UM producto]]</f>
        <v>#VALUE!</v>
      </c>
    </row>
    <row r="671" spans="1:19" x14ac:dyDescent="0.35">
      <c r="A671" s="5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6"/>
      <c r="P671" s="23" t="e">
        <f>TRIM(Tabla1[[#This Row],[Articulo]])</f>
        <v>#VALUE!</v>
      </c>
      <c r="Q671" s="23" t="e">
        <f>_xlfn.XLOOKUP(Tabla1[[#This Row],[Ean Normalizado]],Consumos!A:A,Consumos!E:E)</f>
        <v>#VALUE!</v>
      </c>
      <c r="R671" s="22" t="e">
        <f>_xlfn.XLOOKUP(Tabla1[[#This Row],[Ean Normalizado]],tabla_consumos[EAN],tabla_consumos[UM])</f>
        <v>#VALUE!</v>
      </c>
      <c r="S671" s="22" t="e">
        <f>Tabla1[[#This Row],[StockDisp]]*Tabla1[[#This Row],[UM producto]]</f>
        <v>#VALUE!</v>
      </c>
    </row>
    <row r="672" spans="1:19" x14ac:dyDescent="0.35">
      <c r="A672" s="5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6"/>
      <c r="P672" s="23" t="e">
        <f>TRIM(Tabla1[[#This Row],[Articulo]])</f>
        <v>#VALUE!</v>
      </c>
      <c r="Q672" s="23" t="e">
        <f>_xlfn.XLOOKUP(Tabla1[[#This Row],[Ean Normalizado]],Consumos!A:A,Consumos!E:E)</f>
        <v>#VALUE!</v>
      </c>
      <c r="R672" s="22" t="e">
        <f>_xlfn.XLOOKUP(Tabla1[[#This Row],[Ean Normalizado]],tabla_consumos[EAN],tabla_consumos[UM])</f>
        <v>#VALUE!</v>
      </c>
      <c r="S672" s="22" t="e">
        <f>Tabla1[[#This Row],[StockDisp]]*Tabla1[[#This Row],[UM producto]]</f>
        <v>#VALUE!</v>
      </c>
    </row>
    <row r="673" spans="1:19" x14ac:dyDescent="0.35">
      <c r="A673" s="5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6"/>
      <c r="P673" s="23" t="e">
        <f>TRIM(Tabla1[[#This Row],[Articulo]])</f>
        <v>#VALUE!</v>
      </c>
      <c r="Q673" s="23" t="e">
        <f>_xlfn.XLOOKUP(Tabla1[[#This Row],[Ean Normalizado]],Consumos!A:A,Consumos!E:E)</f>
        <v>#VALUE!</v>
      </c>
      <c r="R673" s="22" t="e">
        <f>_xlfn.XLOOKUP(Tabla1[[#This Row],[Ean Normalizado]],tabla_consumos[EAN],tabla_consumos[UM])</f>
        <v>#VALUE!</v>
      </c>
      <c r="S673" s="22" t="e">
        <f>Tabla1[[#This Row],[StockDisp]]*Tabla1[[#This Row],[UM producto]]</f>
        <v>#VALUE!</v>
      </c>
    </row>
    <row r="674" spans="1:19" x14ac:dyDescent="0.35">
      <c r="A674" s="5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6"/>
      <c r="P674" s="23" t="e">
        <f>TRIM(Tabla1[[#This Row],[Articulo]])</f>
        <v>#VALUE!</v>
      </c>
      <c r="Q674" s="23" t="e">
        <f>_xlfn.XLOOKUP(Tabla1[[#This Row],[Ean Normalizado]],Consumos!A:A,Consumos!E:E)</f>
        <v>#VALUE!</v>
      </c>
      <c r="R674" s="22" t="e">
        <f>_xlfn.XLOOKUP(Tabla1[[#This Row],[Ean Normalizado]],tabla_consumos[EAN],tabla_consumos[UM])</f>
        <v>#VALUE!</v>
      </c>
      <c r="S674" s="22" t="e">
        <f>Tabla1[[#This Row],[StockDisp]]*Tabla1[[#This Row],[UM producto]]</f>
        <v>#VALUE!</v>
      </c>
    </row>
    <row r="675" spans="1:19" x14ac:dyDescent="0.35">
      <c r="A675" s="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6"/>
      <c r="P675" s="23" t="e">
        <f>TRIM(Tabla1[[#This Row],[Articulo]])</f>
        <v>#VALUE!</v>
      </c>
      <c r="Q675" s="23" t="e">
        <f>_xlfn.XLOOKUP(Tabla1[[#This Row],[Ean Normalizado]],Consumos!A:A,Consumos!E:E)</f>
        <v>#VALUE!</v>
      </c>
      <c r="R675" s="22" t="e">
        <f>_xlfn.XLOOKUP(Tabla1[[#This Row],[Ean Normalizado]],tabla_consumos[EAN],tabla_consumos[UM])</f>
        <v>#VALUE!</v>
      </c>
      <c r="S675" s="22" t="e">
        <f>Tabla1[[#This Row],[StockDisp]]*Tabla1[[#This Row],[UM producto]]</f>
        <v>#VALUE!</v>
      </c>
    </row>
    <row r="676" spans="1:19" x14ac:dyDescent="0.35">
      <c r="A676" s="5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6"/>
      <c r="P676" s="23" t="e">
        <f>TRIM(Tabla1[[#This Row],[Articulo]])</f>
        <v>#VALUE!</v>
      </c>
      <c r="Q676" s="23" t="e">
        <f>_xlfn.XLOOKUP(Tabla1[[#This Row],[Ean Normalizado]],Consumos!A:A,Consumos!E:E)</f>
        <v>#VALUE!</v>
      </c>
      <c r="R676" s="22" t="e">
        <f>_xlfn.XLOOKUP(Tabla1[[#This Row],[Ean Normalizado]],tabla_consumos[EAN],tabla_consumos[UM])</f>
        <v>#VALUE!</v>
      </c>
      <c r="S676" s="22" t="e">
        <f>Tabla1[[#This Row],[StockDisp]]*Tabla1[[#This Row],[UM producto]]</f>
        <v>#VALUE!</v>
      </c>
    </row>
    <row r="677" spans="1:19" x14ac:dyDescent="0.35">
      <c r="A677" s="5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6"/>
      <c r="P677" s="23" t="e">
        <f>TRIM(Tabla1[[#This Row],[Articulo]])</f>
        <v>#VALUE!</v>
      </c>
      <c r="Q677" s="23" t="e">
        <f>_xlfn.XLOOKUP(Tabla1[[#This Row],[Ean Normalizado]],Consumos!A:A,Consumos!E:E)</f>
        <v>#VALUE!</v>
      </c>
      <c r="R677" s="22" t="e">
        <f>_xlfn.XLOOKUP(Tabla1[[#This Row],[Ean Normalizado]],tabla_consumos[EAN],tabla_consumos[UM])</f>
        <v>#VALUE!</v>
      </c>
      <c r="S677" s="22" t="e">
        <f>Tabla1[[#This Row],[StockDisp]]*Tabla1[[#This Row],[UM producto]]</f>
        <v>#VALUE!</v>
      </c>
    </row>
    <row r="678" spans="1:19" x14ac:dyDescent="0.35">
      <c r="A678" s="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6"/>
      <c r="P678" s="23" t="e">
        <f>TRIM(Tabla1[[#This Row],[Articulo]])</f>
        <v>#VALUE!</v>
      </c>
      <c r="Q678" s="23" t="e">
        <f>_xlfn.XLOOKUP(Tabla1[[#This Row],[Ean Normalizado]],Consumos!A:A,Consumos!E:E)</f>
        <v>#VALUE!</v>
      </c>
      <c r="R678" s="22" t="e">
        <f>_xlfn.XLOOKUP(Tabla1[[#This Row],[Ean Normalizado]],tabla_consumos[EAN],tabla_consumos[UM])</f>
        <v>#VALUE!</v>
      </c>
      <c r="S678" s="22" t="e">
        <f>Tabla1[[#This Row],[StockDisp]]*Tabla1[[#This Row],[UM producto]]</f>
        <v>#VALUE!</v>
      </c>
    </row>
    <row r="679" spans="1:19" x14ac:dyDescent="0.35">
      <c r="A679" s="5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6"/>
      <c r="P679" s="23" t="e">
        <f>TRIM(Tabla1[[#This Row],[Articulo]])</f>
        <v>#VALUE!</v>
      </c>
      <c r="Q679" s="23" t="e">
        <f>_xlfn.XLOOKUP(Tabla1[[#This Row],[Ean Normalizado]],Consumos!A:A,Consumos!E:E)</f>
        <v>#VALUE!</v>
      </c>
      <c r="R679" s="22" t="e">
        <f>_xlfn.XLOOKUP(Tabla1[[#This Row],[Ean Normalizado]],tabla_consumos[EAN],tabla_consumos[UM])</f>
        <v>#VALUE!</v>
      </c>
      <c r="S679" s="22" t="e">
        <f>Tabla1[[#This Row],[StockDisp]]*Tabla1[[#This Row],[UM producto]]</f>
        <v>#VALUE!</v>
      </c>
    </row>
    <row r="680" spans="1:19" x14ac:dyDescent="0.35">
      <c r="A680" s="5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6"/>
      <c r="P680" s="23" t="e">
        <f>TRIM(Tabla1[[#This Row],[Articulo]])</f>
        <v>#VALUE!</v>
      </c>
      <c r="Q680" s="23" t="e">
        <f>_xlfn.XLOOKUP(Tabla1[[#This Row],[Ean Normalizado]],Consumos!A:A,Consumos!E:E)</f>
        <v>#VALUE!</v>
      </c>
      <c r="R680" s="22" t="e">
        <f>_xlfn.XLOOKUP(Tabla1[[#This Row],[Ean Normalizado]],tabla_consumos[EAN],tabla_consumos[UM])</f>
        <v>#VALUE!</v>
      </c>
      <c r="S680" s="22" t="e">
        <f>Tabla1[[#This Row],[StockDisp]]*Tabla1[[#This Row],[UM producto]]</f>
        <v>#VALUE!</v>
      </c>
    </row>
    <row r="681" spans="1:19" x14ac:dyDescent="0.35">
      <c r="A681" s="5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6"/>
      <c r="P681" s="23" t="e">
        <f>TRIM(Tabla1[[#This Row],[Articulo]])</f>
        <v>#VALUE!</v>
      </c>
      <c r="Q681" s="23" t="e">
        <f>_xlfn.XLOOKUP(Tabla1[[#This Row],[Ean Normalizado]],Consumos!A:A,Consumos!E:E)</f>
        <v>#VALUE!</v>
      </c>
      <c r="R681" s="22" t="e">
        <f>_xlfn.XLOOKUP(Tabla1[[#This Row],[Ean Normalizado]],tabla_consumos[EAN],tabla_consumos[UM])</f>
        <v>#VALUE!</v>
      </c>
      <c r="S681" s="22" t="e">
        <f>Tabla1[[#This Row],[StockDisp]]*Tabla1[[#This Row],[UM producto]]</f>
        <v>#VALUE!</v>
      </c>
    </row>
    <row r="682" spans="1:19" x14ac:dyDescent="0.35">
      <c r="A682" s="5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6"/>
      <c r="P682" s="23" t="e">
        <f>TRIM(Tabla1[[#This Row],[Articulo]])</f>
        <v>#VALUE!</v>
      </c>
      <c r="Q682" s="23" t="e">
        <f>_xlfn.XLOOKUP(Tabla1[[#This Row],[Ean Normalizado]],Consumos!A:A,Consumos!E:E)</f>
        <v>#VALUE!</v>
      </c>
      <c r="R682" s="22" t="e">
        <f>_xlfn.XLOOKUP(Tabla1[[#This Row],[Ean Normalizado]],tabla_consumos[EAN],tabla_consumos[UM])</f>
        <v>#VALUE!</v>
      </c>
      <c r="S682" s="22" t="e">
        <f>Tabla1[[#This Row],[StockDisp]]*Tabla1[[#This Row],[UM producto]]</f>
        <v>#VALUE!</v>
      </c>
    </row>
    <row r="683" spans="1:19" x14ac:dyDescent="0.35">
      <c r="A683" s="5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6"/>
      <c r="P683" s="23" t="e">
        <f>TRIM(Tabla1[[#This Row],[Articulo]])</f>
        <v>#VALUE!</v>
      </c>
      <c r="Q683" s="23" t="e">
        <f>_xlfn.XLOOKUP(Tabla1[[#This Row],[Ean Normalizado]],Consumos!A:A,Consumos!E:E)</f>
        <v>#VALUE!</v>
      </c>
      <c r="R683" s="22" t="e">
        <f>_xlfn.XLOOKUP(Tabla1[[#This Row],[Ean Normalizado]],tabla_consumos[EAN],tabla_consumos[UM])</f>
        <v>#VALUE!</v>
      </c>
      <c r="S683" s="22" t="e">
        <f>Tabla1[[#This Row],[StockDisp]]*Tabla1[[#This Row],[UM producto]]</f>
        <v>#VALUE!</v>
      </c>
    </row>
    <row r="684" spans="1:19" x14ac:dyDescent="0.35">
      <c r="A684" s="5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6"/>
      <c r="P684" s="23" t="e">
        <f>TRIM(Tabla1[[#This Row],[Articulo]])</f>
        <v>#VALUE!</v>
      </c>
      <c r="Q684" s="23" t="e">
        <f>_xlfn.XLOOKUP(Tabla1[[#This Row],[Ean Normalizado]],Consumos!A:A,Consumos!E:E)</f>
        <v>#VALUE!</v>
      </c>
      <c r="R684" s="22" t="e">
        <f>_xlfn.XLOOKUP(Tabla1[[#This Row],[Ean Normalizado]],tabla_consumos[EAN],tabla_consumos[UM])</f>
        <v>#VALUE!</v>
      </c>
      <c r="S684" s="22" t="e">
        <f>Tabla1[[#This Row],[StockDisp]]*Tabla1[[#This Row],[UM producto]]</f>
        <v>#VALUE!</v>
      </c>
    </row>
    <row r="685" spans="1:19" x14ac:dyDescent="0.35">
      <c r="A685" s="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6"/>
      <c r="P685" s="23" t="e">
        <f>TRIM(Tabla1[[#This Row],[Articulo]])</f>
        <v>#VALUE!</v>
      </c>
      <c r="Q685" s="23" t="e">
        <f>_xlfn.XLOOKUP(Tabla1[[#This Row],[Ean Normalizado]],Consumos!A:A,Consumos!E:E)</f>
        <v>#VALUE!</v>
      </c>
      <c r="R685" s="22" t="e">
        <f>_xlfn.XLOOKUP(Tabla1[[#This Row],[Ean Normalizado]],tabla_consumos[EAN],tabla_consumos[UM])</f>
        <v>#VALUE!</v>
      </c>
      <c r="S685" s="22" t="e">
        <f>Tabla1[[#This Row],[StockDisp]]*Tabla1[[#This Row],[UM producto]]</f>
        <v>#VALUE!</v>
      </c>
    </row>
    <row r="686" spans="1:19" x14ac:dyDescent="0.35">
      <c r="A686" s="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6"/>
      <c r="P686" s="23" t="e">
        <f>TRIM(Tabla1[[#This Row],[Articulo]])</f>
        <v>#VALUE!</v>
      </c>
      <c r="Q686" s="23" t="e">
        <f>_xlfn.XLOOKUP(Tabla1[[#This Row],[Ean Normalizado]],Consumos!A:A,Consumos!E:E)</f>
        <v>#VALUE!</v>
      </c>
      <c r="R686" s="22" t="e">
        <f>_xlfn.XLOOKUP(Tabla1[[#This Row],[Ean Normalizado]],tabla_consumos[EAN],tabla_consumos[UM])</f>
        <v>#VALUE!</v>
      </c>
      <c r="S686" s="22" t="e">
        <f>Tabla1[[#This Row],[StockDisp]]*Tabla1[[#This Row],[UM producto]]</f>
        <v>#VALUE!</v>
      </c>
    </row>
    <row r="687" spans="1:19" x14ac:dyDescent="0.35">
      <c r="A687" s="5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6"/>
      <c r="P687" s="23" t="e">
        <f>TRIM(Tabla1[[#This Row],[Articulo]])</f>
        <v>#VALUE!</v>
      </c>
      <c r="Q687" s="23" t="e">
        <f>_xlfn.XLOOKUP(Tabla1[[#This Row],[Ean Normalizado]],Consumos!A:A,Consumos!E:E)</f>
        <v>#VALUE!</v>
      </c>
      <c r="R687" s="22" t="e">
        <f>_xlfn.XLOOKUP(Tabla1[[#This Row],[Ean Normalizado]],tabla_consumos[EAN],tabla_consumos[UM])</f>
        <v>#VALUE!</v>
      </c>
      <c r="S687" s="22" t="e">
        <f>Tabla1[[#This Row],[StockDisp]]*Tabla1[[#This Row],[UM producto]]</f>
        <v>#VALUE!</v>
      </c>
    </row>
    <row r="688" spans="1:19" x14ac:dyDescent="0.35">
      <c r="A688" s="5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6"/>
      <c r="P688" s="23" t="e">
        <f>TRIM(Tabla1[[#This Row],[Articulo]])</f>
        <v>#VALUE!</v>
      </c>
      <c r="Q688" s="23" t="e">
        <f>_xlfn.XLOOKUP(Tabla1[[#This Row],[Ean Normalizado]],Consumos!A:A,Consumos!E:E)</f>
        <v>#VALUE!</v>
      </c>
      <c r="R688" s="22" t="e">
        <f>_xlfn.XLOOKUP(Tabla1[[#This Row],[Ean Normalizado]],tabla_consumos[EAN],tabla_consumos[UM])</f>
        <v>#VALUE!</v>
      </c>
      <c r="S688" s="22" t="e">
        <f>Tabla1[[#This Row],[StockDisp]]*Tabla1[[#This Row],[UM producto]]</f>
        <v>#VALUE!</v>
      </c>
    </row>
    <row r="689" spans="1:19" x14ac:dyDescent="0.35">
      <c r="A689" s="5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6"/>
      <c r="P689" s="23" t="e">
        <f>TRIM(Tabla1[[#This Row],[Articulo]])</f>
        <v>#VALUE!</v>
      </c>
      <c r="Q689" s="23" t="e">
        <f>_xlfn.XLOOKUP(Tabla1[[#This Row],[Ean Normalizado]],Consumos!A:A,Consumos!E:E)</f>
        <v>#VALUE!</v>
      </c>
      <c r="R689" s="22" t="e">
        <f>_xlfn.XLOOKUP(Tabla1[[#This Row],[Ean Normalizado]],tabla_consumos[EAN],tabla_consumos[UM])</f>
        <v>#VALUE!</v>
      </c>
      <c r="S689" s="22" t="e">
        <f>Tabla1[[#This Row],[StockDisp]]*Tabla1[[#This Row],[UM producto]]</f>
        <v>#VALUE!</v>
      </c>
    </row>
    <row r="690" spans="1:19" x14ac:dyDescent="0.35">
      <c r="A690" s="5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6"/>
      <c r="P690" s="23" t="e">
        <f>TRIM(Tabla1[[#This Row],[Articulo]])</f>
        <v>#VALUE!</v>
      </c>
      <c r="Q690" s="23" t="e">
        <f>_xlfn.XLOOKUP(Tabla1[[#This Row],[Ean Normalizado]],Consumos!A:A,Consumos!E:E)</f>
        <v>#VALUE!</v>
      </c>
      <c r="R690" s="22" t="e">
        <f>_xlfn.XLOOKUP(Tabla1[[#This Row],[Ean Normalizado]],tabla_consumos[EAN],tabla_consumos[UM])</f>
        <v>#VALUE!</v>
      </c>
      <c r="S690" s="22" t="e">
        <f>Tabla1[[#This Row],[StockDisp]]*Tabla1[[#This Row],[UM producto]]</f>
        <v>#VALUE!</v>
      </c>
    </row>
    <row r="691" spans="1:19" x14ac:dyDescent="0.35">
      <c r="A691" s="5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6"/>
      <c r="P691" s="23" t="e">
        <f>TRIM(Tabla1[[#This Row],[Articulo]])</f>
        <v>#VALUE!</v>
      </c>
      <c r="Q691" s="23" t="e">
        <f>_xlfn.XLOOKUP(Tabla1[[#This Row],[Ean Normalizado]],Consumos!A:A,Consumos!E:E)</f>
        <v>#VALUE!</v>
      </c>
      <c r="R691" s="22" t="e">
        <f>_xlfn.XLOOKUP(Tabla1[[#This Row],[Ean Normalizado]],tabla_consumos[EAN],tabla_consumos[UM])</f>
        <v>#VALUE!</v>
      </c>
      <c r="S691" s="22" t="e">
        <f>Tabla1[[#This Row],[StockDisp]]*Tabla1[[#This Row],[UM producto]]</f>
        <v>#VALUE!</v>
      </c>
    </row>
    <row r="692" spans="1:19" x14ac:dyDescent="0.35">
      <c r="A692" s="5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6"/>
      <c r="P692" s="23" t="e">
        <f>TRIM(Tabla1[[#This Row],[Articulo]])</f>
        <v>#VALUE!</v>
      </c>
      <c r="Q692" s="23" t="e">
        <f>_xlfn.XLOOKUP(Tabla1[[#This Row],[Ean Normalizado]],Consumos!A:A,Consumos!E:E)</f>
        <v>#VALUE!</v>
      </c>
      <c r="R692" s="22" t="e">
        <f>_xlfn.XLOOKUP(Tabla1[[#This Row],[Ean Normalizado]],tabla_consumos[EAN],tabla_consumos[UM])</f>
        <v>#VALUE!</v>
      </c>
      <c r="S692" s="22" t="e">
        <f>Tabla1[[#This Row],[StockDisp]]*Tabla1[[#This Row],[UM producto]]</f>
        <v>#VALUE!</v>
      </c>
    </row>
    <row r="693" spans="1:19" x14ac:dyDescent="0.35">
      <c r="A693" s="5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6"/>
      <c r="P693" s="23" t="e">
        <f>TRIM(Tabla1[[#This Row],[Articulo]])</f>
        <v>#VALUE!</v>
      </c>
      <c r="Q693" s="23" t="e">
        <f>_xlfn.XLOOKUP(Tabla1[[#This Row],[Ean Normalizado]],Consumos!A:A,Consumos!E:E)</f>
        <v>#VALUE!</v>
      </c>
      <c r="R693" s="22" t="e">
        <f>_xlfn.XLOOKUP(Tabla1[[#This Row],[Ean Normalizado]],tabla_consumos[EAN],tabla_consumos[UM])</f>
        <v>#VALUE!</v>
      </c>
      <c r="S693" s="22" t="e">
        <f>Tabla1[[#This Row],[StockDisp]]*Tabla1[[#This Row],[UM producto]]</f>
        <v>#VALUE!</v>
      </c>
    </row>
    <row r="694" spans="1:19" x14ac:dyDescent="0.35">
      <c r="A694" s="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6"/>
      <c r="P694" s="23" t="e">
        <f>TRIM(Tabla1[[#This Row],[Articulo]])</f>
        <v>#VALUE!</v>
      </c>
      <c r="Q694" s="23" t="e">
        <f>_xlfn.XLOOKUP(Tabla1[[#This Row],[Ean Normalizado]],Consumos!A:A,Consumos!E:E)</f>
        <v>#VALUE!</v>
      </c>
      <c r="R694" s="22" t="e">
        <f>_xlfn.XLOOKUP(Tabla1[[#This Row],[Ean Normalizado]],tabla_consumos[EAN],tabla_consumos[UM])</f>
        <v>#VALUE!</v>
      </c>
      <c r="S694" s="22" t="e">
        <f>Tabla1[[#This Row],[StockDisp]]*Tabla1[[#This Row],[UM producto]]</f>
        <v>#VALUE!</v>
      </c>
    </row>
    <row r="695" spans="1:19" x14ac:dyDescent="0.35">
      <c r="A695" s="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6"/>
      <c r="P695" s="23" t="e">
        <f>TRIM(Tabla1[[#This Row],[Articulo]])</f>
        <v>#VALUE!</v>
      </c>
      <c r="Q695" s="23" t="e">
        <f>_xlfn.XLOOKUP(Tabla1[[#This Row],[Ean Normalizado]],Consumos!A:A,Consumos!E:E)</f>
        <v>#VALUE!</v>
      </c>
      <c r="R695" s="22" t="e">
        <f>_xlfn.XLOOKUP(Tabla1[[#This Row],[Ean Normalizado]],tabla_consumos[EAN],tabla_consumos[UM])</f>
        <v>#VALUE!</v>
      </c>
      <c r="S695" s="22" t="e">
        <f>Tabla1[[#This Row],[StockDisp]]*Tabla1[[#This Row],[UM producto]]</f>
        <v>#VALUE!</v>
      </c>
    </row>
    <row r="696" spans="1:19" x14ac:dyDescent="0.35">
      <c r="A696" s="5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6"/>
      <c r="P696" s="23" t="e">
        <f>TRIM(Tabla1[[#This Row],[Articulo]])</f>
        <v>#VALUE!</v>
      </c>
      <c r="Q696" s="23" t="e">
        <f>_xlfn.XLOOKUP(Tabla1[[#This Row],[Ean Normalizado]],Consumos!A:A,Consumos!E:E)</f>
        <v>#VALUE!</v>
      </c>
      <c r="R696" s="22" t="e">
        <f>_xlfn.XLOOKUP(Tabla1[[#This Row],[Ean Normalizado]],tabla_consumos[EAN],tabla_consumos[UM])</f>
        <v>#VALUE!</v>
      </c>
      <c r="S696" s="22" t="e">
        <f>Tabla1[[#This Row],[StockDisp]]*Tabla1[[#This Row],[UM producto]]</f>
        <v>#VALUE!</v>
      </c>
    </row>
    <row r="697" spans="1:19" x14ac:dyDescent="0.35">
      <c r="A697" s="5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6"/>
      <c r="P697" s="23" t="e">
        <f>TRIM(Tabla1[[#This Row],[Articulo]])</f>
        <v>#VALUE!</v>
      </c>
      <c r="Q697" s="23" t="e">
        <f>_xlfn.XLOOKUP(Tabla1[[#This Row],[Ean Normalizado]],Consumos!A:A,Consumos!E:E)</f>
        <v>#VALUE!</v>
      </c>
      <c r="R697" s="22" t="e">
        <f>_xlfn.XLOOKUP(Tabla1[[#This Row],[Ean Normalizado]],tabla_consumos[EAN],tabla_consumos[UM])</f>
        <v>#VALUE!</v>
      </c>
      <c r="S697" s="22" t="e">
        <f>Tabla1[[#This Row],[StockDisp]]*Tabla1[[#This Row],[UM producto]]</f>
        <v>#VALUE!</v>
      </c>
    </row>
    <row r="698" spans="1:19" x14ac:dyDescent="0.35">
      <c r="A698" s="5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6"/>
      <c r="P698" s="23" t="e">
        <f>TRIM(Tabla1[[#This Row],[Articulo]])</f>
        <v>#VALUE!</v>
      </c>
      <c r="Q698" s="23" t="e">
        <f>_xlfn.XLOOKUP(Tabla1[[#This Row],[Ean Normalizado]],Consumos!A:A,Consumos!E:E)</f>
        <v>#VALUE!</v>
      </c>
      <c r="R698" s="22" t="e">
        <f>_xlfn.XLOOKUP(Tabla1[[#This Row],[Ean Normalizado]],tabla_consumos[EAN],tabla_consumos[UM])</f>
        <v>#VALUE!</v>
      </c>
      <c r="S698" s="22" t="e">
        <f>Tabla1[[#This Row],[StockDisp]]*Tabla1[[#This Row],[UM producto]]</f>
        <v>#VALUE!</v>
      </c>
    </row>
    <row r="699" spans="1:19" x14ac:dyDescent="0.35">
      <c r="A699" s="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6"/>
      <c r="P699" s="23" t="e">
        <f>TRIM(Tabla1[[#This Row],[Articulo]])</f>
        <v>#VALUE!</v>
      </c>
      <c r="Q699" s="23" t="e">
        <f>_xlfn.XLOOKUP(Tabla1[[#This Row],[Ean Normalizado]],Consumos!A:A,Consumos!E:E)</f>
        <v>#VALUE!</v>
      </c>
      <c r="R699" s="22" t="e">
        <f>_xlfn.XLOOKUP(Tabla1[[#This Row],[Ean Normalizado]],tabla_consumos[EAN],tabla_consumos[UM])</f>
        <v>#VALUE!</v>
      </c>
      <c r="S699" s="22" t="e">
        <f>Tabla1[[#This Row],[StockDisp]]*Tabla1[[#This Row],[UM producto]]</f>
        <v>#VALUE!</v>
      </c>
    </row>
    <row r="700" spans="1:19" x14ac:dyDescent="0.35">
      <c r="A700" s="5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6"/>
      <c r="P700" s="23" t="e">
        <f>TRIM(Tabla1[[#This Row],[Articulo]])</f>
        <v>#VALUE!</v>
      </c>
      <c r="Q700" s="23" t="e">
        <f>_xlfn.XLOOKUP(Tabla1[[#This Row],[Ean Normalizado]],Consumos!A:A,Consumos!E:E)</f>
        <v>#VALUE!</v>
      </c>
      <c r="R700" s="22" t="e">
        <f>_xlfn.XLOOKUP(Tabla1[[#This Row],[Ean Normalizado]],tabla_consumos[EAN],tabla_consumos[UM])</f>
        <v>#VALUE!</v>
      </c>
      <c r="S700" s="22" t="e">
        <f>Tabla1[[#This Row],[StockDisp]]*Tabla1[[#This Row],[UM producto]]</f>
        <v>#VALUE!</v>
      </c>
    </row>
    <row r="701" spans="1:19" x14ac:dyDescent="0.35">
      <c r="A701" s="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6"/>
      <c r="P701" s="23" t="e">
        <f>TRIM(Tabla1[[#This Row],[Articulo]])</f>
        <v>#VALUE!</v>
      </c>
      <c r="Q701" s="23" t="e">
        <f>_xlfn.XLOOKUP(Tabla1[[#This Row],[Ean Normalizado]],Consumos!A:A,Consumos!E:E)</f>
        <v>#VALUE!</v>
      </c>
      <c r="R701" s="22" t="e">
        <f>_xlfn.XLOOKUP(Tabla1[[#This Row],[Ean Normalizado]],tabla_consumos[EAN],tabla_consumos[UM])</f>
        <v>#VALUE!</v>
      </c>
      <c r="S701" s="22" t="e">
        <f>Tabla1[[#This Row],[StockDisp]]*Tabla1[[#This Row],[UM producto]]</f>
        <v>#VALUE!</v>
      </c>
    </row>
    <row r="702" spans="1:19" x14ac:dyDescent="0.35">
      <c r="A702" s="5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6"/>
      <c r="P702" s="23" t="e">
        <f>TRIM(Tabla1[[#This Row],[Articulo]])</f>
        <v>#VALUE!</v>
      </c>
      <c r="Q702" s="23" t="e">
        <f>_xlfn.XLOOKUP(Tabla1[[#This Row],[Ean Normalizado]],Consumos!A:A,Consumos!E:E)</f>
        <v>#VALUE!</v>
      </c>
      <c r="R702" s="22" t="e">
        <f>_xlfn.XLOOKUP(Tabla1[[#This Row],[Ean Normalizado]],tabla_consumos[EAN],tabla_consumos[UM])</f>
        <v>#VALUE!</v>
      </c>
      <c r="S702" s="22" t="e">
        <f>Tabla1[[#This Row],[StockDisp]]*Tabla1[[#This Row],[UM producto]]</f>
        <v>#VALUE!</v>
      </c>
    </row>
    <row r="703" spans="1:19" x14ac:dyDescent="0.35">
      <c r="A703" s="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6"/>
      <c r="P703" s="23" t="e">
        <f>TRIM(Tabla1[[#This Row],[Articulo]])</f>
        <v>#VALUE!</v>
      </c>
      <c r="Q703" s="23" t="e">
        <f>_xlfn.XLOOKUP(Tabla1[[#This Row],[Ean Normalizado]],Consumos!A:A,Consumos!E:E)</f>
        <v>#VALUE!</v>
      </c>
      <c r="R703" s="22" t="e">
        <f>_xlfn.XLOOKUP(Tabla1[[#This Row],[Ean Normalizado]],tabla_consumos[EAN],tabla_consumos[UM])</f>
        <v>#VALUE!</v>
      </c>
      <c r="S703" s="22" t="e">
        <f>Tabla1[[#This Row],[StockDisp]]*Tabla1[[#This Row],[UM producto]]</f>
        <v>#VALUE!</v>
      </c>
    </row>
    <row r="704" spans="1:19" x14ac:dyDescent="0.35">
      <c r="A704" s="5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6"/>
      <c r="P704" s="23" t="e">
        <f>TRIM(Tabla1[[#This Row],[Articulo]])</f>
        <v>#VALUE!</v>
      </c>
      <c r="Q704" s="23" t="e">
        <f>_xlfn.XLOOKUP(Tabla1[[#This Row],[Ean Normalizado]],Consumos!A:A,Consumos!E:E)</f>
        <v>#VALUE!</v>
      </c>
      <c r="R704" s="22" t="e">
        <f>_xlfn.XLOOKUP(Tabla1[[#This Row],[Ean Normalizado]],tabla_consumos[EAN],tabla_consumos[UM])</f>
        <v>#VALUE!</v>
      </c>
      <c r="S704" s="22" t="e">
        <f>Tabla1[[#This Row],[StockDisp]]*Tabla1[[#This Row],[UM producto]]</f>
        <v>#VALUE!</v>
      </c>
    </row>
    <row r="705" spans="1:19" x14ac:dyDescent="0.35">
      <c r="A705" s="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6"/>
      <c r="P705" s="23" t="e">
        <f>TRIM(Tabla1[[#This Row],[Articulo]])</f>
        <v>#VALUE!</v>
      </c>
      <c r="Q705" s="23" t="e">
        <f>_xlfn.XLOOKUP(Tabla1[[#This Row],[Ean Normalizado]],Consumos!A:A,Consumos!E:E)</f>
        <v>#VALUE!</v>
      </c>
      <c r="R705" s="22" t="e">
        <f>_xlfn.XLOOKUP(Tabla1[[#This Row],[Ean Normalizado]],tabla_consumos[EAN],tabla_consumos[UM])</f>
        <v>#VALUE!</v>
      </c>
      <c r="S705" s="22" t="e">
        <f>Tabla1[[#This Row],[StockDisp]]*Tabla1[[#This Row],[UM producto]]</f>
        <v>#VALUE!</v>
      </c>
    </row>
    <row r="706" spans="1:19" x14ac:dyDescent="0.35">
      <c r="A706" s="5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6"/>
      <c r="P706" s="23" t="e">
        <f>TRIM(Tabla1[[#This Row],[Articulo]])</f>
        <v>#VALUE!</v>
      </c>
      <c r="Q706" s="23" t="e">
        <f>_xlfn.XLOOKUP(Tabla1[[#This Row],[Ean Normalizado]],Consumos!A:A,Consumos!E:E)</f>
        <v>#VALUE!</v>
      </c>
      <c r="R706" s="22" t="e">
        <f>_xlfn.XLOOKUP(Tabla1[[#This Row],[Ean Normalizado]],tabla_consumos[EAN],tabla_consumos[UM])</f>
        <v>#VALUE!</v>
      </c>
      <c r="S706" s="22" t="e">
        <f>Tabla1[[#This Row],[StockDisp]]*Tabla1[[#This Row],[UM producto]]</f>
        <v>#VALUE!</v>
      </c>
    </row>
    <row r="707" spans="1:19" x14ac:dyDescent="0.35">
      <c r="A707" s="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6"/>
      <c r="P707" s="23" t="e">
        <f>TRIM(Tabla1[[#This Row],[Articulo]])</f>
        <v>#VALUE!</v>
      </c>
      <c r="Q707" s="23" t="e">
        <f>_xlfn.XLOOKUP(Tabla1[[#This Row],[Ean Normalizado]],Consumos!A:A,Consumos!E:E)</f>
        <v>#VALUE!</v>
      </c>
      <c r="R707" s="22" t="e">
        <f>_xlfn.XLOOKUP(Tabla1[[#This Row],[Ean Normalizado]],tabla_consumos[EAN],tabla_consumos[UM])</f>
        <v>#VALUE!</v>
      </c>
      <c r="S707" s="22" t="e">
        <f>Tabla1[[#This Row],[StockDisp]]*Tabla1[[#This Row],[UM producto]]</f>
        <v>#VALUE!</v>
      </c>
    </row>
    <row r="708" spans="1:19" x14ac:dyDescent="0.35">
      <c r="A708" s="5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6"/>
      <c r="P708" s="23" t="e">
        <f>TRIM(Tabla1[[#This Row],[Articulo]])</f>
        <v>#VALUE!</v>
      </c>
      <c r="Q708" s="23" t="e">
        <f>_xlfn.XLOOKUP(Tabla1[[#This Row],[Ean Normalizado]],Consumos!A:A,Consumos!E:E)</f>
        <v>#VALUE!</v>
      </c>
      <c r="R708" s="22" t="e">
        <f>_xlfn.XLOOKUP(Tabla1[[#This Row],[Ean Normalizado]],tabla_consumos[EAN],tabla_consumos[UM])</f>
        <v>#VALUE!</v>
      </c>
      <c r="S708" s="22" t="e">
        <f>Tabla1[[#This Row],[StockDisp]]*Tabla1[[#This Row],[UM producto]]</f>
        <v>#VALUE!</v>
      </c>
    </row>
    <row r="709" spans="1:19" x14ac:dyDescent="0.35">
      <c r="A709" s="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6"/>
      <c r="P709" s="23" t="e">
        <f>TRIM(Tabla1[[#This Row],[Articulo]])</f>
        <v>#VALUE!</v>
      </c>
      <c r="Q709" s="23" t="e">
        <f>_xlfn.XLOOKUP(Tabla1[[#This Row],[Ean Normalizado]],Consumos!A:A,Consumos!E:E)</f>
        <v>#VALUE!</v>
      </c>
      <c r="R709" s="22" t="e">
        <f>_xlfn.XLOOKUP(Tabla1[[#This Row],[Ean Normalizado]],tabla_consumos[EAN],tabla_consumos[UM])</f>
        <v>#VALUE!</v>
      </c>
      <c r="S709" s="22" t="e">
        <f>Tabla1[[#This Row],[StockDisp]]*Tabla1[[#This Row],[UM producto]]</f>
        <v>#VALUE!</v>
      </c>
    </row>
    <row r="710" spans="1:19" x14ac:dyDescent="0.35">
      <c r="A710" s="5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6"/>
      <c r="P710" s="23" t="e">
        <f>TRIM(Tabla1[[#This Row],[Articulo]])</f>
        <v>#VALUE!</v>
      </c>
      <c r="Q710" s="23" t="e">
        <f>_xlfn.XLOOKUP(Tabla1[[#This Row],[Ean Normalizado]],Consumos!A:A,Consumos!E:E)</f>
        <v>#VALUE!</v>
      </c>
      <c r="R710" s="22" t="e">
        <f>_xlfn.XLOOKUP(Tabla1[[#This Row],[Ean Normalizado]],tabla_consumos[EAN],tabla_consumos[UM])</f>
        <v>#VALUE!</v>
      </c>
      <c r="S710" s="22" t="e">
        <f>Tabla1[[#This Row],[StockDisp]]*Tabla1[[#This Row],[UM producto]]</f>
        <v>#VALUE!</v>
      </c>
    </row>
    <row r="711" spans="1:19" x14ac:dyDescent="0.35">
      <c r="A711" s="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6"/>
      <c r="P711" s="23" t="e">
        <f>TRIM(Tabla1[[#This Row],[Articulo]])</f>
        <v>#VALUE!</v>
      </c>
      <c r="Q711" s="23" t="e">
        <f>_xlfn.XLOOKUP(Tabla1[[#This Row],[Ean Normalizado]],Consumos!A:A,Consumos!E:E)</f>
        <v>#VALUE!</v>
      </c>
      <c r="R711" s="22" t="e">
        <f>_xlfn.XLOOKUP(Tabla1[[#This Row],[Ean Normalizado]],tabla_consumos[EAN],tabla_consumos[UM])</f>
        <v>#VALUE!</v>
      </c>
      <c r="S711" s="22" t="e">
        <f>Tabla1[[#This Row],[StockDisp]]*Tabla1[[#This Row],[UM producto]]</f>
        <v>#VALUE!</v>
      </c>
    </row>
    <row r="712" spans="1:19" x14ac:dyDescent="0.35">
      <c r="A712" s="5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6"/>
      <c r="P712" s="23" t="e">
        <f>TRIM(Tabla1[[#This Row],[Articulo]])</f>
        <v>#VALUE!</v>
      </c>
      <c r="Q712" s="23" t="e">
        <f>_xlfn.XLOOKUP(Tabla1[[#This Row],[Ean Normalizado]],Consumos!A:A,Consumos!E:E)</f>
        <v>#VALUE!</v>
      </c>
      <c r="R712" s="22" t="e">
        <f>_xlfn.XLOOKUP(Tabla1[[#This Row],[Ean Normalizado]],tabla_consumos[EAN],tabla_consumos[UM])</f>
        <v>#VALUE!</v>
      </c>
      <c r="S712" s="22" t="e">
        <f>Tabla1[[#This Row],[StockDisp]]*Tabla1[[#This Row],[UM producto]]</f>
        <v>#VALUE!</v>
      </c>
    </row>
    <row r="713" spans="1:19" x14ac:dyDescent="0.35">
      <c r="A713" s="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6"/>
      <c r="P713" s="23" t="e">
        <f>TRIM(Tabla1[[#This Row],[Articulo]])</f>
        <v>#VALUE!</v>
      </c>
      <c r="Q713" s="23" t="e">
        <f>_xlfn.XLOOKUP(Tabla1[[#This Row],[Ean Normalizado]],Consumos!A:A,Consumos!E:E)</f>
        <v>#VALUE!</v>
      </c>
      <c r="R713" s="22" t="e">
        <f>_xlfn.XLOOKUP(Tabla1[[#This Row],[Ean Normalizado]],tabla_consumos[EAN],tabla_consumos[UM])</f>
        <v>#VALUE!</v>
      </c>
      <c r="S713" s="22" t="e">
        <f>Tabla1[[#This Row],[StockDisp]]*Tabla1[[#This Row],[UM producto]]</f>
        <v>#VALUE!</v>
      </c>
    </row>
    <row r="714" spans="1:19" x14ac:dyDescent="0.35">
      <c r="A714" s="5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6"/>
      <c r="P714" s="23" t="e">
        <f>TRIM(Tabla1[[#This Row],[Articulo]])</f>
        <v>#VALUE!</v>
      </c>
      <c r="Q714" s="23" t="e">
        <f>_xlfn.XLOOKUP(Tabla1[[#This Row],[Ean Normalizado]],Consumos!A:A,Consumos!E:E)</f>
        <v>#VALUE!</v>
      </c>
      <c r="R714" s="22" t="e">
        <f>_xlfn.XLOOKUP(Tabla1[[#This Row],[Ean Normalizado]],tabla_consumos[EAN],tabla_consumos[UM])</f>
        <v>#VALUE!</v>
      </c>
      <c r="S714" s="22" t="e">
        <f>Tabla1[[#This Row],[StockDisp]]*Tabla1[[#This Row],[UM producto]]</f>
        <v>#VALUE!</v>
      </c>
    </row>
    <row r="715" spans="1:19" x14ac:dyDescent="0.35">
      <c r="A715" s="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6"/>
      <c r="P715" s="23" t="e">
        <f>TRIM(Tabla1[[#This Row],[Articulo]])</f>
        <v>#VALUE!</v>
      </c>
      <c r="Q715" s="23" t="e">
        <f>_xlfn.XLOOKUP(Tabla1[[#This Row],[Ean Normalizado]],Consumos!A:A,Consumos!E:E)</f>
        <v>#VALUE!</v>
      </c>
      <c r="R715" s="22" t="e">
        <f>_xlfn.XLOOKUP(Tabla1[[#This Row],[Ean Normalizado]],tabla_consumos[EAN],tabla_consumos[UM])</f>
        <v>#VALUE!</v>
      </c>
      <c r="S715" s="22" t="e">
        <f>Tabla1[[#This Row],[StockDisp]]*Tabla1[[#This Row],[UM producto]]</f>
        <v>#VALUE!</v>
      </c>
    </row>
    <row r="716" spans="1:19" x14ac:dyDescent="0.35">
      <c r="A716" s="5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6"/>
      <c r="P716" s="23" t="e">
        <f>TRIM(Tabla1[[#This Row],[Articulo]])</f>
        <v>#VALUE!</v>
      </c>
      <c r="Q716" s="23" t="e">
        <f>_xlfn.XLOOKUP(Tabla1[[#This Row],[Ean Normalizado]],Consumos!A:A,Consumos!E:E)</f>
        <v>#VALUE!</v>
      </c>
      <c r="R716" s="22" t="e">
        <f>_xlfn.XLOOKUP(Tabla1[[#This Row],[Ean Normalizado]],tabla_consumos[EAN],tabla_consumos[UM])</f>
        <v>#VALUE!</v>
      </c>
      <c r="S716" s="22" t="e">
        <f>Tabla1[[#This Row],[StockDisp]]*Tabla1[[#This Row],[UM producto]]</f>
        <v>#VALUE!</v>
      </c>
    </row>
    <row r="717" spans="1:19" x14ac:dyDescent="0.35">
      <c r="A717" s="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6"/>
      <c r="P717" s="23" t="e">
        <f>TRIM(Tabla1[[#This Row],[Articulo]])</f>
        <v>#VALUE!</v>
      </c>
      <c r="Q717" s="23" t="e">
        <f>_xlfn.XLOOKUP(Tabla1[[#This Row],[Ean Normalizado]],Consumos!A:A,Consumos!E:E)</f>
        <v>#VALUE!</v>
      </c>
      <c r="R717" s="22" t="e">
        <f>_xlfn.XLOOKUP(Tabla1[[#This Row],[Ean Normalizado]],tabla_consumos[EAN],tabla_consumos[UM])</f>
        <v>#VALUE!</v>
      </c>
      <c r="S717" s="22" t="e">
        <f>Tabla1[[#This Row],[StockDisp]]*Tabla1[[#This Row],[UM producto]]</f>
        <v>#VALUE!</v>
      </c>
    </row>
    <row r="718" spans="1:19" x14ac:dyDescent="0.35">
      <c r="A718" s="5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6"/>
      <c r="P718" s="23" t="e">
        <f>TRIM(Tabla1[[#This Row],[Articulo]])</f>
        <v>#VALUE!</v>
      </c>
      <c r="Q718" s="23" t="e">
        <f>_xlfn.XLOOKUP(Tabla1[[#This Row],[Ean Normalizado]],Consumos!A:A,Consumos!E:E)</f>
        <v>#VALUE!</v>
      </c>
      <c r="R718" s="22" t="e">
        <f>_xlfn.XLOOKUP(Tabla1[[#This Row],[Ean Normalizado]],tabla_consumos[EAN],tabla_consumos[UM])</f>
        <v>#VALUE!</v>
      </c>
      <c r="S718" s="22" t="e">
        <f>Tabla1[[#This Row],[StockDisp]]*Tabla1[[#This Row],[UM producto]]</f>
        <v>#VALUE!</v>
      </c>
    </row>
    <row r="719" spans="1:19" x14ac:dyDescent="0.35">
      <c r="A719" s="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6"/>
      <c r="P719" s="23" t="e">
        <f>TRIM(Tabla1[[#This Row],[Articulo]])</f>
        <v>#VALUE!</v>
      </c>
      <c r="Q719" s="23" t="e">
        <f>_xlfn.XLOOKUP(Tabla1[[#This Row],[Ean Normalizado]],Consumos!A:A,Consumos!E:E)</f>
        <v>#VALUE!</v>
      </c>
      <c r="R719" s="22" t="e">
        <f>_xlfn.XLOOKUP(Tabla1[[#This Row],[Ean Normalizado]],tabla_consumos[EAN],tabla_consumos[UM])</f>
        <v>#VALUE!</v>
      </c>
      <c r="S719" s="22" t="e">
        <f>Tabla1[[#This Row],[StockDisp]]*Tabla1[[#This Row],[UM producto]]</f>
        <v>#VALUE!</v>
      </c>
    </row>
    <row r="720" spans="1:19" x14ac:dyDescent="0.35">
      <c r="A720" s="5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6"/>
      <c r="P720" s="23" t="e">
        <f>TRIM(Tabla1[[#This Row],[Articulo]])</f>
        <v>#VALUE!</v>
      </c>
      <c r="Q720" s="23" t="e">
        <f>_xlfn.XLOOKUP(Tabla1[[#This Row],[Ean Normalizado]],Consumos!A:A,Consumos!E:E)</f>
        <v>#VALUE!</v>
      </c>
      <c r="R720" s="22" t="e">
        <f>_xlfn.XLOOKUP(Tabla1[[#This Row],[Ean Normalizado]],tabla_consumos[EAN],tabla_consumos[UM])</f>
        <v>#VALUE!</v>
      </c>
      <c r="S720" s="22" t="e">
        <f>Tabla1[[#This Row],[StockDisp]]*Tabla1[[#This Row],[UM producto]]</f>
        <v>#VALUE!</v>
      </c>
    </row>
    <row r="721" spans="1:19" x14ac:dyDescent="0.35">
      <c r="A721" s="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6"/>
      <c r="P721" s="23" t="e">
        <f>TRIM(Tabla1[[#This Row],[Articulo]])</f>
        <v>#VALUE!</v>
      </c>
      <c r="Q721" s="23" t="e">
        <f>_xlfn.XLOOKUP(Tabla1[[#This Row],[Ean Normalizado]],Consumos!A:A,Consumos!E:E)</f>
        <v>#VALUE!</v>
      </c>
      <c r="R721" s="22" t="e">
        <f>_xlfn.XLOOKUP(Tabla1[[#This Row],[Ean Normalizado]],tabla_consumos[EAN],tabla_consumos[UM])</f>
        <v>#VALUE!</v>
      </c>
      <c r="S721" s="22" t="e">
        <f>Tabla1[[#This Row],[StockDisp]]*Tabla1[[#This Row],[UM producto]]</f>
        <v>#VALUE!</v>
      </c>
    </row>
    <row r="722" spans="1:19" x14ac:dyDescent="0.35">
      <c r="A722" s="5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6"/>
      <c r="P722" s="23" t="e">
        <f>TRIM(Tabla1[[#This Row],[Articulo]])</f>
        <v>#VALUE!</v>
      </c>
      <c r="Q722" s="23" t="e">
        <f>_xlfn.XLOOKUP(Tabla1[[#This Row],[Ean Normalizado]],Consumos!A:A,Consumos!E:E)</f>
        <v>#VALUE!</v>
      </c>
      <c r="R722" s="22" t="e">
        <f>_xlfn.XLOOKUP(Tabla1[[#This Row],[Ean Normalizado]],tabla_consumos[EAN],tabla_consumos[UM])</f>
        <v>#VALUE!</v>
      </c>
      <c r="S722" s="22" t="e">
        <f>Tabla1[[#This Row],[StockDisp]]*Tabla1[[#This Row],[UM producto]]</f>
        <v>#VALUE!</v>
      </c>
    </row>
    <row r="723" spans="1:19" x14ac:dyDescent="0.35">
      <c r="A723" s="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6"/>
      <c r="P723" s="23" t="e">
        <f>TRIM(Tabla1[[#This Row],[Articulo]])</f>
        <v>#VALUE!</v>
      </c>
      <c r="Q723" s="23" t="e">
        <f>_xlfn.XLOOKUP(Tabla1[[#This Row],[Ean Normalizado]],Consumos!A:A,Consumos!E:E)</f>
        <v>#VALUE!</v>
      </c>
      <c r="R723" s="22" t="e">
        <f>_xlfn.XLOOKUP(Tabla1[[#This Row],[Ean Normalizado]],tabla_consumos[EAN],tabla_consumos[UM])</f>
        <v>#VALUE!</v>
      </c>
      <c r="S723" s="22" t="e">
        <f>Tabla1[[#This Row],[StockDisp]]*Tabla1[[#This Row],[UM producto]]</f>
        <v>#VALUE!</v>
      </c>
    </row>
    <row r="724" spans="1:19" x14ac:dyDescent="0.35">
      <c r="A724" s="5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6"/>
      <c r="P724" s="23" t="e">
        <f>TRIM(Tabla1[[#This Row],[Articulo]])</f>
        <v>#VALUE!</v>
      </c>
      <c r="Q724" s="23" t="e">
        <f>_xlfn.XLOOKUP(Tabla1[[#This Row],[Ean Normalizado]],Consumos!A:A,Consumos!E:E)</f>
        <v>#VALUE!</v>
      </c>
      <c r="R724" s="22" t="e">
        <f>_xlfn.XLOOKUP(Tabla1[[#This Row],[Ean Normalizado]],tabla_consumos[EAN],tabla_consumos[UM])</f>
        <v>#VALUE!</v>
      </c>
      <c r="S724" s="22" t="e">
        <f>Tabla1[[#This Row],[StockDisp]]*Tabla1[[#This Row],[UM producto]]</f>
        <v>#VALUE!</v>
      </c>
    </row>
    <row r="725" spans="1:19" x14ac:dyDescent="0.35">
      <c r="A725" s="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6"/>
      <c r="P725" s="23" t="e">
        <f>TRIM(Tabla1[[#This Row],[Articulo]])</f>
        <v>#VALUE!</v>
      </c>
      <c r="Q725" s="23" t="e">
        <f>_xlfn.XLOOKUP(Tabla1[[#This Row],[Ean Normalizado]],Consumos!A:A,Consumos!E:E)</f>
        <v>#VALUE!</v>
      </c>
      <c r="R725" s="22" t="e">
        <f>_xlfn.XLOOKUP(Tabla1[[#This Row],[Ean Normalizado]],tabla_consumos[EAN],tabla_consumos[UM])</f>
        <v>#VALUE!</v>
      </c>
      <c r="S725" s="22" t="e">
        <f>Tabla1[[#This Row],[StockDisp]]*Tabla1[[#This Row],[UM producto]]</f>
        <v>#VALUE!</v>
      </c>
    </row>
    <row r="726" spans="1:19" x14ac:dyDescent="0.35">
      <c r="A726" s="5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6"/>
      <c r="P726" s="23" t="e">
        <f>TRIM(Tabla1[[#This Row],[Articulo]])</f>
        <v>#VALUE!</v>
      </c>
      <c r="Q726" s="23" t="e">
        <f>_xlfn.XLOOKUP(Tabla1[[#This Row],[Ean Normalizado]],Consumos!A:A,Consumos!E:E)</f>
        <v>#VALUE!</v>
      </c>
      <c r="R726" s="22" t="e">
        <f>_xlfn.XLOOKUP(Tabla1[[#This Row],[Ean Normalizado]],tabla_consumos[EAN],tabla_consumos[UM])</f>
        <v>#VALUE!</v>
      </c>
      <c r="S726" s="22" t="e">
        <f>Tabla1[[#This Row],[StockDisp]]*Tabla1[[#This Row],[UM producto]]</f>
        <v>#VALUE!</v>
      </c>
    </row>
    <row r="727" spans="1:19" x14ac:dyDescent="0.35">
      <c r="A727" s="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6"/>
      <c r="P727" s="23" t="e">
        <f>TRIM(Tabla1[[#This Row],[Articulo]])</f>
        <v>#VALUE!</v>
      </c>
      <c r="Q727" s="23" t="e">
        <f>_xlfn.XLOOKUP(Tabla1[[#This Row],[Ean Normalizado]],Consumos!A:A,Consumos!E:E)</f>
        <v>#VALUE!</v>
      </c>
      <c r="R727" s="22" t="e">
        <f>_xlfn.XLOOKUP(Tabla1[[#This Row],[Ean Normalizado]],tabla_consumos[EAN],tabla_consumos[UM])</f>
        <v>#VALUE!</v>
      </c>
      <c r="S727" s="22" t="e">
        <f>Tabla1[[#This Row],[StockDisp]]*Tabla1[[#This Row],[UM producto]]</f>
        <v>#VALUE!</v>
      </c>
    </row>
    <row r="728" spans="1:19" x14ac:dyDescent="0.35">
      <c r="A728" s="5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6"/>
      <c r="P728" s="23" t="e">
        <f>TRIM(Tabla1[[#This Row],[Articulo]])</f>
        <v>#VALUE!</v>
      </c>
      <c r="Q728" s="23" t="e">
        <f>_xlfn.XLOOKUP(Tabla1[[#This Row],[Ean Normalizado]],Consumos!A:A,Consumos!E:E)</f>
        <v>#VALUE!</v>
      </c>
      <c r="R728" s="22" t="e">
        <f>_xlfn.XLOOKUP(Tabla1[[#This Row],[Ean Normalizado]],tabla_consumos[EAN],tabla_consumos[UM])</f>
        <v>#VALUE!</v>
      </c>
      <c r="S728" s="22" t="e">
        <f>Tabla1[[#This Row],[StockDisp]]*Tabla1[[#This Row],[UM producto]]</f>
        <v>#VALUE!</v>
      </c>
    </row>
    <row r="729" spans="1:19" x14ac:dyDescent="0.35">
      <c r="A729" s="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6"/>
      <c r="P729" s="23" t="e">
        <f>TRIM(Tabla1[[#This Row],[Articulo]])</f>
        <v>#VALUE!</v>
      </c>
      <c r="Q729" s="23" t="e">
        <f>_xlfn.XLOOKUP(Tabla1[[#This Row],[Ean Normalizado]],Consumos!A:A,Consumos!E:E)</f>
        <v>#VALUE!</v>
      </c>
      <c r="R729" s="22" t="e">
        <f>_xlfn.XLOOKUP(Tabla1[[#This Row],[Ean Normalizado]],tabla_consumos[EAN],tabla_consumos[UM])</f>
        <v>#VALUE!</v>
      </c>
      <c r="S729" s="22" t="e">
        <f>Tabla1[[#This Row],[StockDisp]]*Tabla1[[#This Row],[UM producto]]</f>
        <v>#VALUE!</v>
      </c>
    </row>
    <row r="730" spans="1:19" x14ac:dyDescent="0.35">
      <c r="A730" s="5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6"/>
      <c r="P730" s="23" t="e">
        <f>TRIM(Tabla1[[#This Row],[Articulo]])</f>
        <v>#VALUE!</v>
      </c>
      <c r="Q730" s="23" t="e">
        <f>_xlfn.XLOOKUP(Tabla1[[#This Row],[Ean Normalizado]],Consumos!A:A,Consumos!E:E)</f>
        <v>#VALUE!</v>
      </c>
      <c r="R730" s="22" t="e">
        <f>_xlfn.XLOOKUP(Tabla1[[#This Row],[Ean Normalizado]],tabla_consumos[EAN],tabla_consumos[UM])</f>
        <v>#VALUE!</v>
      </c>
      <c r="S730" s="22" t="e">
        <f>Tabla1[[#This Row],[StockDisp]]*Tabla1[[#This Row],[UM producto]]</f>
        <v>#VALUE!</v>
      </c>
    </row>
    <row r="731" spans="1:19" x14ac:dyDescent="0.35">
      <c r="A731" s="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6"/>
      <c r="P731" s="23" t="e">
        <f>TRIM(Tabla1[[#This Row],[Articulo]])</f>
        <v>#VALUE!</v>
      </c>
      <c r="Q731" s="23" t="e">
        <f>_xlfn.XLOOKUP(Tabla1[[#This Row],[Ean Normalizado]],Consumos!A:A,Consumos!E:E)</f>
        <v>#VALUE!</v>
      </c>
      <c r="R731" s="22" t="e">
        <f>_xlfn.XLOOKUP(Tabla1[[#This Row],[Ean Normalizado]],tabla_consumos[EAN],tabla_consumos[UM])</f>
        <v>#VALUE!</v>
      </c>
      <c r="S731" s="22" t="e">
        <f>Tabla1[[#This Row],[StockDisp]]*Tabla1[[#This Row],[UM producto]]</f>
        <v>#VALUE!</v>
      </c>
    </row>
    <row r="732" spans="1:19" x14ac:dyDescent="0.35">
      <c r="A732" s="5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6"/>
      <c r="P732" s="23" t="e">
        <f>TRIM(Tabla1[[#This Row],[Articulo]])</f>
        <v>#VALUE!</v>
      </c>
      <c r="Q732" s="23" t="e">
        <f>_xlfn.XLOOKUP(Tabla1[[#This Row],[Ean Normalizado]],Consumos!A:A,Consumos!E:E)</f>
        <v>#VALUE!</v>
      </c>
      <c r="R732" s="22" t="e">
        <f>_xlfn.XLOOKUP(Tabla1[[#This Row],[Ean Normalizado]],tabla_consumos[EAN],tabla_consumos[UM])</f>
        <v>#VALUE!</v>
      </c>
      <c r="S732" s="22" t="e">
        <f>Tabla1[[#This Row],[StockDisp]]*Tabla1[[#This Row],[UM producto]]</f>
        <v>#VALUE!</v>
      </c>
    </row>
    <row r="733" spans="1:19" x14ac:dyDescent="0.35">
      <c r="A733" s="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6"/>
      <c r="P733" s="23" t="e">
        <f>TRIM(Tabla1[[#This Row],[Articulo]])</f>
        <v>#VALUE!</v>
      </c>
      <c r="Q733" s="23" t="e">
        <f>_xlfn.XLOOKUP(Tabla1[[#This Row],[Ean Normalizado]],Consumos!A:A,Consumos!E:E)</f>
        <v>#VALUE!</v>
      </c>
      <c r="R733" s="22" t="e">
        <f>_xlfn.XLOOKUP(Tabla1[[#This Row],[Ean Normalizado]],tabla_consumos[EAN],tabla_consumos[UM])</f>
        <v>#VALUE!</v>
      </c>
      <c r="S733" s="22" t="e">
        <f>Tabla1[[#This Row],[StockDisp]]*Tabla1[[#This Row],[UM producto]]</f>
        <v>#VALUE!</v>
      </c>
    </row>
    <row r="734" spans="1:19" x14ac:dyDescent="0.35">
      <c r="A734" s="5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6"/>
      <c r="P734" s="23" t="e">
        <f>TRIM(Tabla1[[#This Row],[Articulo]])</f>
        <v>#VALUE!</v>
      </c>
      <c r="Q734" s="23" t="e">
        <f>_xlfn.XLOOKUP(Tabla1[[#This Row],[Ean Normalizado]],Consumos!A:A,Consumos!E:E)</f>
        <v>#VALUE!</v>
      </c>
      <c r="R734" s="22" t="e">
        <f>_xlfn.XLOOKUP(Tabla1[[#This Row],[Ean Normalizado]],tabla_consumos[EAN],tabla_consumos[UM])</f>
        <v>#VALUE!</v>
      </c>
      <c r="S734" s="22" t="e">
        <f>Tabla1[[#This Row],[StockDisp]]*Tabla1[[#This Row],[UM producto]]</f>
        <v>#VALUE!</v>
      </c>
    </row>
    <row r="735" spans="1:19" x14ac:dyDescent="0.35">
      <c r="A735" s="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6"/>
      <c r="P735" s="23" t="e">
        <f>TRIM(Tabla1[[#This Row],[Articulo]])</f>
        <v>#VALUE!</v>
      </c>
      <c r="Q735" s="23" t="e">
        <f>_xlfn.XLOOKUP(Tabla1[[#This Row],[Ean Normalizado]],Consumos!A:A,Consumos!E:E)</f>
        <v>#VALUE!</v>
      </c>
      <c r="R735" s="22" t="e">
        <f>_xlfn.XLOOKUP(Tabla1[[#This Row],[Ean Normalizado]],tabla_consumos[EAN],tabla_consumos[UM])</f>
        <v>#VALUE!</v>
      </c>
      <c r="S735" s="22" t="e">
        <f>Tabla1[[#This Row],[StockDisp]]*Tabla1[[#This Row],[UM producto]]</f>
        <v>#VALUE!</v>
      </c>
    </row>
    <row r="736" spans="1:19" x14ac:dyDescent="0.35">
      <c r="A736" s="5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6"/>
      <c r="P736" s="23" t="e">
        <f>TRIM(Tabla1[[#This Row],[Articulo]])</f>
        <v>#VALUE!</v>
      </c>
      <c r="Q736" s="23" t="e">
        <f>_xlfn.XLOOKUP(Tabla1[[#This Row],[Ean Normalizado]],Consumos!A:A,Consumos!E:E)</f>
        <v>#VALUE!</v>
      </c>
      <c r="R736" s="22" t="e">
        <f>_xlfn.XLOOKUP(Tabla1[[#This Row],[Ean Normalizado]],tabla_consumos[EAN],tabla_consumos[UM])</f>
        <v>#VALUE!</v>
      </c>
      <c r="S736" s="22" t="e">
        <f>Tabla1[[#This Row],[StockDisp]]*Tabla1[[#This Row],[UM producto]]</f>
        <v>#VALUE!</v>
      </c>
    </row>
    <row r="737" spans="1:19" x14ac:dyDescent="0.35">
      <c r="A737" s="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6"/>
      <c r="P737" s="23" t="e">
        <f>TRIM(Tabla1[[#This Row],[Articulo]])</f>
        <v>#VALUE!</v>
      </c>
      <c r="Q737" s="23" t="e">
        <f>_xlfn.XLOOKUP(Tabla1[[#This Row],[Ean Normalizado]],Consumos!A:A,Consumos!E:E)</f>
        <v>#VALUE!</v>
      </c>
      <c r="R737" s="22" t="e">
        <f>_xlfn.XLOOKUP(Tabla1[[#This Row],[Ean Normalizado]],tabla_consumos[EAN],tabla_consumos[UM])</f>
        <v>#VALUE!</v>
      </c>
      <c r="S737" s="22" t="e">
        <f>Tabla1[[#This Row],[StockDisp]]*Tabla1[[#This Row],[UM producto]]</f>
        <v>#VALUE!</v>
      </c>
    </row>
    <row r="738" spans="1:19" x14ac:dyDescent="0.35">
      <c r="A738" s="5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6"/>
      <c r="P738" s="23" t="e">
        <f>TRIM(Tabla1[[#This Row],[Articulo]])</f>
        <v>#VALUE!</v>
      </c>
      <c r="Q738" s="23" t="e">
        <f>_xlfn.XLOOKUP(Tabla1[[#This Row],[Ean Normalizado]],Consumos!A:A,Consumos!E:E)</f>
        <v>#VALUE!</v>
      </c>
      <c r="R738" s="22" t="e">
        <f>_xlfn.XLOOKUP(Tabla1[[#This Row],[Ean Normalizado]],tabla_consumos[EAN],tabla_consumos[UM])</f>
        <v>#VALUE!</v>
      </c>
      <c r="S738" s="22" t="e">
        <f>Tabla1[[#This Row],[StockDisp]]*Tabla1[[#This Row],[UM producto]]</f>
        <v>#VALUE!</v>
      </c>
    </row>
    <row r="739" spans="1:19" x14ac:dyDescent="0.35">
      <c r="A739" s="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6"/>
      <c r="P739" s="23" t="e">
        <f>TRIM(Tabla1[[#This Row],[Articulo]])</f>
        <v>#VALUE!</v>
      </c>
      <c r="Q739" s="23" t="e">
        <f>_xlfn.XLOOKUP(Tabla1[[#This Row],[Ean Normalizado]],Consumos!A:A,Consumos!E:E)</f>
        <v>#VALUE!</v>
      </c>
      <c r="R739" s="22" t="e">
        <f>_xlfn.XLOOKUP(Tabla1[[#This Row],[Ean Normalizado]],tabla_consumos[EAN],tabla_consumos[UM])</f>
        <v>#VALUE!</v>
      </c>
      <c r="S739" s="22" t="e">
        <f>Tabla1[[#This Row],[StockDisp]]*Tabla1[[#This Row],[UM producto]]</f>
        <v>#VALUE!</v>
      </c>
    </row>
    <row r="740" spans="1:19" x14ac:dyDescent="0.35">
      <c r="A740" s="5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6"/>
      <c r="P740" s="23" t="e">
        <f>TRIM(Tabla1[[#This Row],[Articulo]])</f>
        <v>#VALUE!</v>
      </c>
      <c r="Q740" s="23" t="e">
        <f>_xlfn.XLOOKUP(Tabla1[[#This Row],[Ean Normalizado]],Consumos!A:A,Consumos!E:E)</f>
        <v>#VALUE!</v>
      </c>
      <c r="R740" s="22" t="e">
        <f>_xlfn.XLOOKUP(Tabla1[[#This Row],[Ean Normalizado]],tabla_consumos[EAN],tabla_consumos[UM])</f>
        <v>#VALUE!</v>
      </c>
      <c r="S740" s="22" t="e">
        <f>Tabla1[[#This Row],[StockDisp]]*Tabla1[[#This Row],[UM producto]]</f>
        <v>#VALUE!</v>
      </c>
    </row>
    <row r="741" spans="1:19" x14ac:dyDescent="0.35">
      <c r="A741" s="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6"/>
      <c r="P741" s="23" t="e">
        <f>TRIM(Tabla1[[#This Row],[Articulo]])</f>
        <v>#VALUE!</v>
      </c>
      <c r="Q741" s="23" t="e">
        <f>_xlfn.XLOOKUP(Tabla1[[#This Row],[Ean Normalizado]],Consumos!A:A,Consumos!E:E)</f>
        <v>#VALUE!</v>
      </c>
      <c r="R741" s="22" t="e">
        <f>_xlfn.XLOOKUP(Tabla1[[#This Row],[Ean Normalizado]],tabla_consumos[EAN],tabla_consumos[UM])</f>
        <v>#VALUE!</v>
      </c>
      <c r="S741" s="22" t="e">
        <f>Tabla1[[#This Row],[StockDisp]]*Tabla1[[#This Row],[UM producto]]</f>
        <v>#VALUE!</v>
      </c>
    </row>
    <row r="742" spans="1:19" x14ac:dyDescent="0.35">
      <c r="A742" s="5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6"/>
      <c r="P742" s="23" t="e">
        <f>TRIM(Tabla1[[#This Row],[Articulo]])</f>
        <v>#VALUE!</v>
      </c>
      <c r="Q742" s="23" t="e">
        <f>_xlfn.XLOOKUP(Tabla1[[#This Row],[Ean Normalizado]],Consumos!A:A,Consumos!E:E)</f>
        <v>#VALUE!</v>
      </c>
      <c r="R742" s="22" t="e">
        <f>_xlfn.XLOOKUP(Tabla1[[#This Row],[Ean Normalizado]],tabla_consumos[EAN],tabla_consumos[UM])</f>
        <v>#VALUE!</v>
      </c>
      <c r="S742" s="22" t="e">
        <f>Tabla1[[#This Row],[StockDisp]]*Tabla1[[#This Row],[UM producto]]</f>
        <v>#VALUE!</v>
      </c>
    </row>
    <row r="743" spans="1:19" x14ac:dyDescent="0.35">
      <c r="A743" s="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6"/>
      <c r="P743" s="23" t="e">
        <f>TRIM(Tabla1[[#This Row],[Articulo]])</f>
        <v>#VALUE!</v>
      </c>
      <c r="Q743" s="23" t="e">
        <f>_xlfn.XLOOKUP(Tabla1[[#This Row],[Ean Normalizado]],Consumos!A:A,Consumos!E:E)</f>
        <v>#VALUE!</v>
      </c>
      <c r="R743" s="22" t="e">
        <f>_xlfn.XLOOKUP(Tabla1[[#This Row],[Ean Normalizado]],tabla_consumos[EAN],tabla_consumos[UM])</f>
        <v>#VALUE!</v>
      </c>
      <c r="S743" s="22" t="e">
        <f>Tabla1[[#This Row],[StockDisp]]*Tabla1[[#This Row],[UM producto]]</f>
        <v>#VALUE!</v>
      </c>
    </row>
    <row r="744" spans="1:19" x14ac:dyDescent="0.35">
      <c r="A744" s="5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6"/>
      <c r="P744" s="23" t="e">
        <f>TRIM(Tabla1[[#This Row],[Articulo]])</f>
        <v>#VALUE!</v>
      </c>
      <c r="Q744" s="23" t="e">
        <f>_xlfn.XLOOKUP(Tabla1[[#This Row],[Ean Normalizado]],Consumos!A:A,Consumos!E:E)</f>
        <v>#VALUE!</v>
      </c>
      <c r="R744" s="22" t="e">
        <f>_xlfn.XLOOKUP(Tabla1[[#This Row],[Ean Normalizado]],tabla_consumos[EAN],tabla_consumos[UM])</f>
        <v>#VALUE!</v>
      </c>
      <c r="S744" s="22" t="e">
        <f>Tabla1[[#This Row],[StockDisp]]*Tabla1[[#This Row],[UM producto]]</f>
        <v>#VALUE!</v>
      </c>
    </row>
    <row r="745" spans="1:19" x14ac:dyDescent="0.35">
      <c r="A745" s="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6"/>
      <c r="P745" s="23" t="e">
        <f>TRIM(Tabla1[[#This Row],[Articulo]])</f>
        <v>#VALUE!</v>
      </c>
      <c r="Q745" s="23" t="e">
        <f>_xlfn.XLOOKUP(Tabla1[[#This Row],[Ean Normalizado]],Consumos!A:A,Consumos!E:E)</f>
        <v>#VALUE!</v>
      </c>
      <c r="R745" s="22" t="e">
        <f>_xlfn.XLOOKUP(Tabla1[[#This Row],[Ean Normalizado]],tabla_consumos[EAN],tabla_consumos[UM])</f>
        <v>#VALUE!</v>
      </c>
      <c r="S745" s="22" t="e">
        <f>Tabla1[[#This Row],[StockDisp]]*Tabla1[[#This Row],[UM producto]]</f>
        <v>#VALUE!</v>
      </c>
    </row>
    <row r="746" spans="1:19" x14ac:dyDescent="0.35">
      <c r="A746" s="5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6"/>
      <c r="P746" s="23" t="e">
        <f>TRIM(Tabla1[[#This Row],[Articulo]])</f>
        <v>#VALUE!</v>
      </c>
      <c r="Q746" s="23" t="e">
        <f>_xlfn.XLOOKUP(Tabla1[[#This Row],[Ean Normalizado]],Consumos!A:A,Consumos!E:E)</f>
        <v>#VALUE!</v>
      </c>
      <c r="R746" s="22" t="e">
        <f>_xlfn.XLOOKUP(Tabla1[[#This Row],[Ean Normalizado]],tabla_consumos[EAN],tabla_consumos[UM])</f>
        <v>#VALUE!</v>
      </c>
      <c r="S746" s="22" t="e">
        <f>Tabla1[[#This Row],[StockDisp]]*Tabla1[[#This Row],[UM producto]]</f>
        <v>#VALUE!</v>
      </c>
    </row>
    <row r="747" spans="1:19" x14ac:dyDescent="0.35">
      <c r="A747" s="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6"/>
      <c r="P747" s="23" t="e">
        <f>TRIM(Tabla1[[#This Row],[Articulo]])</f>
        <v>#VALUE!</v>
      </c>
      <c r="Q747" s="23" t="e">
        <f>_xlfn.XLOOKUP(Tabla1[[#This Row],[Ean Normalizado]],Consumos!A:A,Consumos!E:E)</f>
        <v>#VALUE!</v>
      </c>
      <c r="R747" s="22" t="e">
        <f>_xlfn.XLOOKUP(Tabla1[[#This Row],[Ean Normalizado]],tabla_consumos[EAN],tabla_consumos[UM])</f>
        <v>#VALUE!</v>
      </c>
      <c r="S747" s="22" t="e">
        <f>Tabla1[[#This Row],[StockDisp]]*Tabla1[[#This Row],[UM producto]]</f>
        <v>#VALUE!</v>
      </c>
    </row>
    <row r="748" spans="1:19" x14ac:dyDescent="0.35">
      <c r="A748" s="5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6"/>
      <c r="P748" s="23" t="e">
        <f>TRIM(Tabla1[[#This Row],[Articulo]])</f>
        <v>#VALUE!</v>
      </c>
      <c r="Q748" s="23" t="e">
        <f>_xlfn.XLOOKUP(Tabla1[[#This Row],[Ean Normalizado]],Consumos!A:A,Consumos!E:E)</f>
        <v>#VALUE!</v>
      </c>
      <c r="R748" s="22" t="e">
        <f>_xlfn.XLOOKUP(Tabla1[[#This Row],[Ean Normalizado]],tabla_consumos[EAN],tabla_consumos[UM])</f>
        <v>#VALUE!</v>
      </c>
      <c r="S748" s="22" t="e">
        <f>Tabla1[[#This Row],[StockDisp]]*Tabla1[[#This Row],[UM producto]]</f>
        <v>#VALUE!</v>
      </c>
    </row>
    <row r="749" spans="1:19" x14ac:dyDescent="0.35">
      <c r="A749" s="5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6"/>
      <c r="P749" s="23" t="e">
        <f>TRIM(Tabla1[[#This Row],[Articulo]])</f>
        <v>#VALUE!</v>
      </c>
      <c r="Q749" s="23" t="e">
        <f>_xlfn.XLOOKUP(Tabla1[[#This Row],[Ean Normalizado]],Consumos!A:A,Consumos!E:E)</f>
        <v>#VALUE!</v>
      </c>
      <c r="R749" s="22" t="e">
        <f>_xlfn.XLOOKUP(Tabla1[[#This Row],[Ean Normalizado]],tabla_consumos[EAN],tabla_consumos[UM])</f>
        <v>#VALUE!</v>
      </c>
      <c r="S749" s="22" t="e">
        <f>Tabla1[[#This Row],[StockDisp]]*Tabla1[[#This Row],[UM producto]]</f>
        <v>#VALUE!</v>
      </c>
    </row>
    <row r="750" spans="1:19" x14ac:dyDescent="0.35">
      <c r="A750" s="5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6"/>
      <c r="P750" s="23" t="e">
        <f>TRIM(Tabla1[[#This Row],[Articulo]])</f>
        <v>#VALUE!</v>
      </c>
      <c r="Q750" s="23" t="e">
        <f>_xlfn.XLOOKUP(Tabla1[[#This Row],[Ean Normalizado]],Consumos!A:A,Consumos!E:E)</f>
        <v>#VALUE!</v>
      </c>
      <c r="R750" s="22" t="e">
        <f>_xlfn.XLOOKUP(Tabla1[[#This Row],[Ean Normalizado]],tabla_consumos[EAN],tabla_consumos[UM])</f>
        <v>#VALUE!</v>
      </c>
      <c r="S750" s="22" t="e">
        <f>Tabla1[[#This Row],[StockDisp]]*Tabla1[[#This Row],[UM producto]]</f>
        <v>#VALUE!</v>
      </c>
    </row>
    <row r="751" spans="1:19" x14ac:dyDescent="0.35">
      <c r="A751" s="5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6"/>
      <c r="P751" s="23" t="e">
        <f>TRIM(Tabla1[[#This Row],[Articulo]])</f>
        <v>#VALUE!</v>
      </c>
      <c r="Q751" s="23" t="e">
        <f>_xlfn.XLOOKUP(Tabla1[[#This Row],[Ean Normalizado]],Consumos!A:A,Consumos!E:E)</f>
        <v>#VALUE!</v>
      </c>
      <c r="R751" s="22" t="e">
        <f>_xlfn.XLOOKUP(Tabla1[[#This Row],[Ean Normalizado]],tabla_consumos[EAN],tabla_consumos[UM])</f>
        <v>#VALUE!</v>
      </c>
      <c r="S751" s="22" t="e">
        <f>Tabla1[[#This Row],[StockDisp]]*Tabla1[[#This Row],[UM producto]]</f>
        <v>#VALUE!</v>
      </c>
    </row>
    <row r="752" spans="1:19" x14ac:dyDescent="0.35">
      <c r="A752" s="5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6"/>
      <c r="P752" s="23" t="e">
        <f>TRIM(Tabla1[[#This Row],[Articulo]])</f>
        <v>#VALUE!</v>
      </c>
      <c r="Q752" s="23" t="e">
        <f>_xlfn.XLOOKUP(Tabla1[[#This Row],[Ean Normalizado]],Consumos!A:A,Consumos!E:E)</f>
        <v>#VALUE!</v>
      </c>
      <c r="R752" s="22" t="e">
        <f>_xlfn.XLOOKUP(Tabla1[[#This Row],[Ean Normalizado]],tabla_consumos[EAN],tabla_consumos[UM])</f>
        <v>#VALUE!</v>
      </c>
      <c r="S752" s="22" t="e">
        <f>Tabla1[[#This Row],[StockDisp]]*Tabla1[[#This Row],[UM producto]]</f>
        <v>#VALUE!</v>
      </c>
    </row>
    <row r="753" spans="1:19" x14ac:dyDescent="0.35">
      <c r="A753" s="5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6"/>
      <c r="P753" s="23" t="e">
        <f>TRIM(Tabla1[[#This Row],[Articulo]])</f>
        <v>#VALUE!</v>
      </c>
      <c r="Q753" s="23" t="e">
        <f>_xlfn.XLOOKUP(Tabla1[[#This Row],[Ean Normalizado]],Consumos!A:A,Consumos!E:E)</f>
        <v>#VALUE!</v>
      </c>
      <c r="R753" s="22" t="e">
        <f>_xlfn.XLOOKUP(Tabla1[[#This Row],[Ean Normalizado]],tabla_consumos[EAN],tabla_consumos[UM])</f>
        <v>#VALUE!</v>
      </c>
      <c r="S753" s="22" t="e">
        <f>Tabla1[[#This Row],[StockDisp]]*Tabla1[[#This Row],[UM producto]]</f>
        <v>#VALUE!</v>
      </c>
    </row>
    <row r="754" spans="1:19" x14ac:dyDescent="0.35">
      <c r="A754" s="5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6"/>
      <c r="P754" s="23" t="e">
        <f>TRIM(Tabla1[[#This Row],[Articulo]])</f>
        <v>#VALUE!</v>
      </c>
      <c r="Q754" s="23" t="e">
        <f>_xlfn.XLOOKUP(Tabla1[[#This Row],[Ean Normalizado]],Consumos!A:A,Consumos!E:E)</f>
        <v>#VALUE!</v>
      </c>
      <c r="R754" s="22" t="e">
        <f>_xlfn.XLOOKUP(Tabla1[[#This Row],[Ean Normalizado]],tabla_consumos[EAN],tabla_consumos[UM])</f>
        <v>#VALUE!</v>
      </c>
      <c r="S754" s="22" t="e">
        <f>Tabla1[[#This Row],[StockDisp]]*Tabla1[[#This Row],[UM producto]]</f>
        <v>#VALUE!</v>
      </c>
    </row>
    <row r="755" spans="1:19" x14ac:dyDescent="0.35">
      <c r="A755" s="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6"/>
      <c r="P755" s="23" t="e">
        <f>TRIM(Tabla1[[#This Row],[Articulo]])</f>
        <v>#VALUE!</v>
      </c>
      <c r="Q755" s="23" t="e">
        <f>_xlfn.XLOOKUP(Tabla1[[#This Row],[Ean Normalizado]],Consumos!A:A,Consumos!E:E)</f>
        <v>#VALUE!</v>
      </c>
      <c r="R755" s="22" t="e">
        <f>_xlfn.XLOOKUP(Tabla1[[#This Row],[Ean Normalizado]],tabla_consumos[EAN],tabla_consumos[UM])</f>
        <v>#VALUE!</v>
      </c>
      <c r="S755" s="22" t="e">
        <f>Tabla1[[#This Row],[StockDisp]]*Tabla1[[#This Row],[UM producto]]</f>
        <v>#VALUE!</v>
      </c>
    </row>
    <row r="756" spans="1:19" x14ac:dyDescent="0.35">
      <c r="A756" s="5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6"/>
      <c r="P756" s="23" t="e">
        <f>TRIM(Tabla1[[#This Row],[Articulo]])</f>
        <v>#VALUE!</v>
      </c>
      <c r="Q756" s="23" t="e">
        <f>_xlfn.XLOOKUP(Tabla1[[#This Row],[Ean Normalizado]],Consumos!A:A,Consumos!E:E)</f>
        <v>#VALUE!</v>
      </c>
      <c r="R756" s="22" t="e">
        <f>_xlfn.XLOOKUP(Tabla1[[#This Row],[Ean Normalizado]],tabla_consumos[EAN],tabla_consumos[UM])</f>
        <v>#VALUE!</v>
      </c>
      <c r="S756" s="22" t="e">
        <f>Tabla1[[#This Row],[StockDisp]]*Tabla1[[#This Row],[UM producto]]</f>
        <v>#VALUE!</v>
      </c>
    </row>
    <row r="757" spans="1:19" x14ac:dyDescent="0.35">
      <c r="A757" s="5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6"/>
      <c r="P757" s="23" t="e">
        <f>TRIM(Tabla1[[#This Row],[Articulo]])</f>
        <v>#VALUE!</v>
      </c>
      <c r="Q757" s="23" t="e">
        <f>_xlfn.XLOOKUP(Tabla1[[#This Row],[Ean Normalizado]],Consumos!A:A,Consumos!E:E)</f>
        <v>#VALUE!</v>
      </c>
      <c r="R757" s="22" t="e">
        <f>_xlfn.XLOOKUP(Tabla1[[#This Row],[Ean Normalizado]],tabla_consumos[EAN],tabla_consumos[UM])</f>
        <v>#VALUE!</v>
      </c>
      <c r="S757" s="22" t="e">
        <f>Tabla1[[#This Row],[StockDisp]]*Tabla1[[#This Row],[UM producto]]</f>
        <v>#VALUE!</v>
      </c>
    </row>
    <row r="758" spans="1:19" x14ac:dyDescent="0.35">
      <c r="A758" s="5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6"/>
      <c r="P758" s="23" t="e">
        <f>TRIM(Tabla1[[#This Row],[Articulo]])</f>
        <v>#VALUE!</v>
      </c>
      <c r="Q758" s="23" t="e">
        <f>_xlfn.XLOOKUP(Tabla1[[#This Row],[Ean Normalizado]],Consumos!A:A,Consumos!E:E)</f>
        <v>#VALUE!</v>
      </c>
      <c r="R758" s="22" t="e">
        <f>_xlfn.XLOOKUP(Tabla1[[#This Row],[Ean Normalizado]],tabla_consumos[EAN],tabla_consumos[UM])</f>
        <v>#VALUE!</v>
      </c>
      <c r="S758" s="22" t="e">
        <f>Tabla1[[#This Row],[StockDisp]]*Tabla1[[#This Row],[UM producto]]</f>
        <v>#VALUE!</v>
      </c>
    </row>
    <row r="759" spans="1:19" x14ac:dyDescent="0.35">
      <c r="A759" s="5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6"/>
      <c r="P759" s="23" t="e">
        <f>TRIM(Tabla1[[#This Row],[Articulo]])</f>
        <v>#VALUE!</v>
      </c>
      <c r="Q759" s="23" t="e">
        <f>_xlfn.XLOOKUP(Tabla1[[#This Row],[Ean Normalizado]],Consumos!A:A,Consumos!E:E)</f>
        <v>#VALUE!</v>
      </c>
      <c r="R759" s="22" t="e">
        <f>_xlfn.XLOOKUP(Tabla1[[#This Row],[Ean Normalizado]],tabla_consumos[EAN],tabla_consumos[UM])</f>
        <v>#VALUE!</v>
      </c>
      <c r="S759" s="22" t="e">
        <f>Tabla1[[#This Row],[StockDisp]]*Tabla1[[#This Row],[UM producto]]</f>
        <v>#VALUE!</v>
      </c>
    </row>
    <row r="760" spans="1:19" x14ac:dyDescent="0.35">
      <c r="A760" s="5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6"/>
      <c r="P760" s="23" t="e">
        <f>TRIM(Tabla1[[#This Row],[Articulo]])</f>
        <v>#VALUE!</v>
      </c>
      <c r="Q760" s="23" t="e">
        <f>_xlfn.XLOOKUP(Tabla1[[#This Row],[Ean Normalizado]],Consumos!A:A,Consumos!E:E)</f>
        <v>#VALUE!</v>
      </c>
      <c r="R760" s="22" t="e">
        <f>_xlfn.XLOOKUP(Tabla1[[#This Row],[Ean Normalizado]],tabla_consumos[EAN],tabla_consumos[UM])</f>
        <v>#VALUE!</v>
      </c>
      <c r="S760" s="22" t="e">
        <f>Tabla1[[#This Row],[StockDisp]]*Tabla1[[#This Row],[UM producto]]</f>
        <v>#VALUE!</v>
      </c>
    </row>
    <row r="761" spans="1:19" x14ac:dyDescent="0.35">
      <c r="A761" s="5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6"/>
      <c r="P761" s="23" t="e">
        <f>TRIM(Tabla1[[#This Row],[Articulo]])</f>
        <v>#VALUE!</v>
      </c>
      <c r="Q761" s="23" t="e">
        <f>_xlfn.XLOOKUP(Tabla1[[#This Row],[Ean Normalizado]],Consumos!A:A,Consumos!E:E)</f>
        <v>#VALUE!</v>
      </c>
      <c r="R761" s="22" t="e">
        <f>_xlfn.XLOOKUP(Tabla1[[#This Row],[Ean Normalizado]],tabla_consumos[EAN],tabla_consumos[UM])</f>
        <v>#VALUE!</v>
      </c>
      <c r="S761" s="22" t="e">
        <f>Tabla1[[#This Row],[StockDisp]]*Tabla1[[#This Row],[UM producto]]</f>
        <v>#VALUE!</v>
      </c>
    </row>
    <row r="762" spans="1:19" x14ac:dyDescent="0.35">
      <c r="A762" s="5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6"/>
      <c r="P762" s="23" t="e">
        <f>TRIM(Tabla1[[#This Row],[Articulo]])</f>
        <v>#VALUE!</v>
      </c>
      <c r="Q762" s="23" t="e">
        <f>_xlfn.XLOOKUP(Tabla1[[#This Row],[Ean Normalizado]],Consumos!A:A,Consumos!E:E)</f>
        <v>#VALUE!</v>
      </c>
      <c r="R762" s="22" t="e">
        <f>_xlfn.XLOOKUP(Tabla1[[#This Row],[Ean Normalizado]],tabla_consumos[EAN],tabla_consumos[UM])</f>
        <v>#VALUE!</v>
      </c>
      <c r="S762" s="22" t="e">
        <f>Tabla1[[#This Row],[StockDisp]]*Tabla1[[#This Row],[UM producto]]</f>
        <v>#VALUE!</v>
      </c>
    </row>
    <row r="763" spans="1:19" x14ac:dyDescent="0.35">
      <c r="A763" s="5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6"/>
      <c r="P763" s="23" t="e">
        <f>TRIM(Tabla1[[#This Row],[Articulo]])</f>
        <v>#VALUE!</v>
      </c>
      <c r="Q763" s="23" t="e">
        <f>_xlfn.XLOOKUP(Tabla1[[#This Row],[Ean Normalizado]],Consumos!A:A,Consumos!E:E)</f>
        <v>#VALUE!</v>
      </c>
      <c r="R763" s="22" t="e">
        <f>_xlfn.XLOOKUP(Tabla1[[#This Row],[Ean Normalizado]],tabla_consumos[EAN],tabla_consumos[UM])</f>
        <v>#VALUE!</v>
      </c>
      <c r="S763" s="22" t="e">
        <f>Tabla1[[#This Row],[StockDisp]]*Tabla1[[#This Row],[UM producto]]</f>
        <v>#VALUE!</v>
      </c>
    </row>
    <row r="764" spans="1:19" x14ac:dyDescent="0.35">
      <c r="A764" s="5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6"/>
      <c r="P764" s="23" t="e">
        <f>TRIM(Tabla1[[#This Row],[Articulo]])</f>
        <v>#VALUE!</v>
      </c>
      <c r="Q764" s="23" t="e">
        <f>_xlfn.XLOOKUP(Tabla1[[#This Row],[Ean Normalizado]],Consumos!A:A,Consumos!E:E)</f>
        <v>#VALUE!</v>
      </c>
      <c r="R764" s="22" t="e">
        <f>_xlfn.XLOOKUP(Tabla1[[#This Row],[Ean Normalizado]],tabla_consumos[EAN],tabla_consumos[UM])</f>
        <v>#VALUE!</v>
      </c>
      <c r="S764" s="22" t="e">
        <f>Tabla1[[#This Row],[StockDisp]]*Tabla1[[#This Row],[UM producto]]</f>
        <v>#VALUE!</v>
      </c>
    </row>
    <row r="765" spans="1:19" x14ac:dyDescent="0.35">
      <c r="A765" s="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6"/>
      <c r="P765" s="23" t="e">
        <f>TRIM(Tabla1[[#This Row],[Articulo]])</f>
        <v>#VALUE!</v>
      </c>
      <c r="Q765" s="23" t="e">
        <f>_xlfn.XLOOKUP(Tabla1[[#This Row],[Ean Normalizado]],Consumos!A:A,Consumos!E:E)</f>
        <v>#VALUE!</v>
      </c>
      <c r="R765" s="22" t="e">
        <f>_xlfn.XLOOKUP(Tabla1[[#This Row],[Ean Normalizado]],tabla_consumos[EAN],tabla_consumos[UM])</f>
        <v>#VALUE!</v>
      </c>
      <c r="S765" s="22" t="e">
        <f>Tabla1[[#This Row],[StockDisp]]*Tabla1[[#This Row],[UM producto]]</f>
        <v>#VALUE!</v>
      </c>
    </row>
    <row r="766" spans="1:19" x14ac:dyDescent="0.35">
      <c r="A766" s="5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6"/>
      <c r="P766" s="23" t="e">
        <f>TRIM(Tabla1[[#This Row],[Articulo]])</f>
        <v>#VALUE!</v>
      </c>
      <c r="Q766" s="23" t="e">
        <f>_xlfn.XLOOKUP(Tabla1[[#This Row],[Ean Normalizado]],Consumos!A:A,Consumos!E:E)</f>
        <v>#VALUE!</v>
      </c>
      <c r="R766" s="22" t="e">
        <f>_xlfn.XLOOKUP(Tabla1[[#This Row],[Ean Normalizado]],tabla_consumos[EAN],tabla_consumos[UM])</f>
        <v>#VALUE!</v>
      </c>
      <c r="S766" s="22" t="e">
        <f>Tabla1[[#This Row],[StockDisp]]*Tabla1[[#This Row],[UM producto]]</f>
        <v>#VALUE!</v>
      </c>
    </row>
    <row r="767" spans="1:19" x14ac:dyDescent="0.35">
      <c r="A767" s="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6"/>
      <c r="P767" s="23" t="e">
        <f>TRIM(Tabla1[[#This Row],[Articulo]])</f>
        <v>#VALUE!</v>
      </c>
      <c r="Q767" s="23" t="e">
        <f>_xlfn.XLOOKUP(Tabla1[[#This Row],[Ean Normalizado]],Consumos!A:A,Consumos!E:E)</f>
        <v>#VALUE!</v>
      </c>
      <c r="R767" s="22" t="e">
        <f>_xlfn.XLOOKUP(Tabla1[[#This Row],[Ean Normalizado]],tabla_consumos[EAN],tabla_consumos[UM])</f>
        <v>#VALUE!</v>
      </c>
      <c r="S767" s="22" t="e">
        <f>Tabla1[[#This Row],[StockDisp]]*Tabla1[[#This Row],[UM producto]]</f>
        <v>#VALUE!</v>
      </c>
    </row>
    <row r="768" spans="1:19" x14ac:dyDescent="0.35">
      <c r="A768" s="5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6"/>
      <c r="P768" s="23" t="e">
        <f>TRIM(Tabla1[[#This Row],[Articulo]])</f>
        <v>#VALUE!</v>
      </c>
      <c r="Q768" s="23" t="e">
        <f>_xlfn.XLOOKUP(Tabla1[[#This Row],[Ean Normalizado]],Consumos!A:A,Consumos!E:E)</f>
        <v>#VALUE!</v>
      </c>
      <c r="R768" s="22" t="e">
        <f>_xlfn.XLOOKUP(Tabla1[[#This Row],[Ean Normalizado]],tabla_consumos[EAN],tabla_consumos[UM])</f>
        <v>#VALUE!</v>
      </c>
      <c r="S768" s="22" t="e">
        <f>Tabla1[[#This Row],[StockDisp]]*Tabla1[[#This Row],[UM producto]]</f>
        <v>#VALUE!</v>
      </c>
    </row>
    <row r="769" spans="1:19" x14ac:dyDescent="0.35">
      <c r="A769" s="5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6"/>
      <c r="P769" s="23" t="e">
        <f>TRIM(Tabla1[[#This Row],[Articulo]])</f>
        <v>#VALUE!</v>
      </c>
      <c r="Q769" s="23" t="e">
        <f>_xlfn.XLOOKUP(Tabla1[[#This Row],[Ean Normalizado]],Consumos!A:A,Consumos!E:E)</f>
        <v>#VALUE!</v>
      </c>
      <c r="R769" s="22" t="e">
        <f>_xlfn.XLOOKUP(Tabla1[[#This Row],[Ean Normalizado]],tabla_consumos[EAN],tabla_consumos[UM])</f>
        <v>#VALUE!</v>
      </c>
      <c r="S769" s="22" t="e">
        <f>Tabla1[[#This Row],[StockDisp]]*Tabla1[[#This Row],[UM producto]]</f>
        <v>#VALUE!</v>
      </c>
    </row>
    <row r="770" spans="1:19" x14ac:dyDescent="0.35">
      <c r="A770" s="5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6"/>
      <c r="P770" s="23" t="e">
        <f>TRIM(Tabla1[[#This Row],[Articulo]])</f>
        <v>#VALUE!</v>
      </c>
      <c r="Q770" s="23" t="e">
        <f>_xlfn.XLOOKUP(Tabla1[[#This Row],[Ean Normalizado]],Consumos!A:A,Consumos!E:E)</f>
        <v>#VALUE!</v>
      </c>
      <c r="R770" s="22" t="e">
        <f>_xlfn.XLOOKUP(Tabla1[[#This Row],[Ean Normalizado]],tabla_consumos[EAN],tabla_consumos[UM])</f>
        <v>#VALUE!</v>
      </c>
      <c r="S770" s="22" t="e">
        <f>Tabla1[[#This Row],[StockDisp]]*Tabla1[[#This Row],[UM producto]]</f>
        <v>#VALUE!</v>
      </c>
    </row>
    <row r="771" spans="1:19" x14ac:dyDescent="0.35">
      <c r="A771" s="5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6"/>
      <c r="P771" s="23" t="e">
        <f>TRIM(Tabla1[[#This Row],[Articulo]])</f>
        <v>#VALUE!</v>
      </c>
      <c r="Q771" s="23" t="e">
        <f>_xlfn.XLOOKUP(Tabla1[[#This Row],[Ean Normalizado]],Consumos!A:A,Consumos!E:E)</f>
        <v>#VALUE!</v>
      </c>
      <c r="R771" s="22" t="e">
        <f>_xlfn.XLOOKUP(Tabla1[[#This Row],[Ean Normalizado]],tabla_consumos[EAN],tabla_consumos[UM])</f>
        <v>#VALUE!</v>
      </c>
      <c r="S771" s="22" t="e">
        <f>Tabla1[[#This Row],[StockDisp]]*Tabla1[[#This Row],[UM producto]]</f>
        <v>#VALUE!</v>
      </c>
    </row>
    <row r="772" spans="1:19" x14ac:dyDescent="0.35">
      <c r="A772" s="5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6"/>
      <c r="P772" s="23" t="e">
        <f>TRIM(Tabla1[[#This Row],[Articulo]])</f>
        <v>#VALUE!</v>
      </c>
      <c r="Q772" s="23" t="e">
        <f>_xlfn.XLOOKUP(Tabla1[[#This Row],[Ean Normalizado]],Consumos!A:A,Consumos!E:E)</f>
        <v>#VALUE!</v>
      </c>
      <c r="R772" s="22" t="e">
        <f>_xlfn.XLOOKUP(Tabla1[[#This Row],[Ean Normalizado]],tabla_consumos[EAN],tabla_consumos[UM])</f>
        <v>#VALUE!</v>
      </c>
      <c r="S772" s="22" t="e">
        <f>Tabla1[[#This Row],[StockDisp]]*Tabla1[[#This Row],[UM producto]]</f>
        <v>#VALUE!</v>
      </c>
    </row>
    <row r="773" spans="1:19" x14ac:dyDescent="0.35">
      <c r="A773" s="5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6"/>
      <c r="P773" s="23" t="e">
        <f>TRIM(Tabla1[[#This Row],[Articulo]])</f>
        <v>#VALUE!</v>
      </c>
      <c r="Q773" s="23" t="e">
        <f>_xlfn.XLOOKUP(Tabla1[[#This Row],[Ean Normalizado]],Consumos!A:A,Consumos!E:E)</f>
        <v>#VALUE!</v>
      </c>
      <c r="R773" s="22" t="e">
        <f>_xlfn.XLOOKUP(Tabla1[[#This Row],[Ean Normalizado]],tabla_consumos[EAN],tabla_consumos[UM])</f>
        <v>#VALUE!</v>
      </c>
      <c r="S773" s="22" t="e">
        <f>Tabla1[[#This Row],[StockDisp]]*Tabla1[[#This Row],[UM producto]]</f>
        <v>#VALUE!</v>
      </c>
    </row>
    <row r="774" spans="1:19" x14ac:dyDescent="0.35">
      <c r="A774" s="5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6"/>
      <c r="P774" s="23" t="e">
        <f>TRIM(Tabla1[[#This Row],[Articulo]])</f>
        <v>#VALUE!</v>
      </c>
      <c r="Q774" s="23" t="e">
        <f>_xlfn.XLOOKUP(Tabla1[[#This Row],[Ean Normalizado]],Consumos!A:A,Consumos!E:E)</f>
        <v>#VALUE!</v>
      </c>
      <c r="R774" s="22" t="e">
        <f>_xlfn.XLOOKUP(Tabla1[[#This Row],[Ean Normalizado]],tabla_consumos[EAN],tabla_consumos[UM])</f>
        <v>#VALUE!</v>
      </c>
      <c r="S774" s="22" t="e">
        <f>Tabla1[[#This Row],[StockDisp]]*Tabla1[[#This Row],[UM producto]]</f>
        <v>#VALUE!</v>
      </c>
    </row>
    <row r="775" spans="1:19" x14ac:dyDescent="0.35">
      <c r="A775" s="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6"/>
      <c r="P775" s="23" t="e">
        <f>TRIM(Tabla1[[#This Row],[Articulo]])</f>
        <v>#VALUE!</v>
      </c>
      <c r="Q775" s="23" t="e">
        <f>_xlfn.XLOOKUP(Tabla1[[#This Row],[Ean Normalizado]],Consumos!A:A,Consumos!E:E)</f>
        <v>#VALUE!</v>
      </c>
      <c r="R775" s="22" t="e">
        <f>_xlfn.XLOOKUP(Tabla1[[#This Row],[Ean Normalizado]],tabla_consumos[EAN],tabla_consumos[UM])</f>
        <v>#VALUE!</v>
      </c>
      <c r="S775" s="22" t="e">
        <f>Tabla1[[#This Row],[StockDisp]]*Tabla1[[#This Row],[UM producto]]</f>
        <v>#VALUE!</v>
      </c>
    </row>
    <row r="776" spans="1:19" x14ac:dyDescent="0.35">
      <c r="A776" s="5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6"/>
      <c r="P776" s="23" t="e">
        <f>TRIM(Tabla1[[#This Row],[Articulo]])</f>
        <v>#VALUE!</v>
      </c>
      <c r="Q776" s="23" t="e">
        <f>_xlfn.XLOOKUP(Tabla1[[#This Row],[Ean Normalizado]],Consumos!A:A,Consumos!E:E)</f>
        <v>#VALUE!</v>
      </c>
      <c r="R776" s="22" t="e">
        <f>_xlfn.XLOOKUP(Tabla1[[#This Row],[Ean Normalizado]],tabla_consumos[EAN],tabla_consumos[UM])</f>
        <v>#VALUE!</v>
      </c>
      <c r="S776" s="22" t="e">
        <f>Tabla1[[#This Row],[StockDisp]]*Tabla1[[#This Row],[UM producto]]</f>
        <v>#VALUE!</v>
      </c>
    </row>
    <row r="777" spans="1:19" x14ac:dyDescent="0.35">
      <c r="A777" s="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6"/>
      <c r="P777" s="23" t="e">
        <f>TRIM(Tabla1[[#This Row],[Articulo]])</f>
        <v>#VALUE!</v>
      </c>
      <c r="Q777" s="23" t="e">
        <f>_xlfn.XLOOKUP(Tabla1[[#This Row],[Ean Normalizado]],Consumos!A:A,Consumos!E:E)</f>
        <v>#VALUE!</v>
      </c>
      <c r="R777" s="22" t="e">
        <f>_xlfn.XLOOKUP(Tabla1[[#This Row],[Ean Normalizado]],tabla_consumos[EAN],tabla_consumos[UM])</f>
        <v>#VALUE!</v>
      </c>
      <c r="S777" s="22" t="e">
        <f>Tabla1[[#This Row],[StockDisp]]*Tabla1[[#This Row],[UM producto]]</f>
        <v>#VALUE!</v>
      </c>
    </row>
    <row r="778" spans="1:19" x14ac:dyDescent="0.35">
      <c r="A778" s="5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6"/>
      <c r="P778" s="23" t="e">
        <f>TRIM(Tabla1[[#This Row],[Articulo]])</f>
        <v>#VALUE!</v>
      </c>
      <c r="Q778" s="23" t="e">
        <f>_xlfn.XLOOKUP(Tabla1[[#This Row],[Ean Normalizado]],Consumos!A:A,Consumos!E:E)</f>
        <v>#VALUE!</v>
      </c>
      <c r="R778" s="22" t="e">
        <f>_xlfn.XLOOKUP(Tabla1[[#This Row],[Ean Normalizado]],tabla_consumos[EAN],tabla_consumos[UM])</f>
        <v>#VALUE!</v>
      </c>
      <c r="S778" s="22" t="e">
        <f>Tabla1[[#This Row],[StockDisp]]*Tabla1[[#This Row],[UM producto]]</f>
        <v>#VALUE!</v>
      </c>
    </row>
    <row r="779" spans="1:19" x14ac:dyDescent="0.35">
      <c r="A779" s="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6"/>
      <c r="P779" s="23" t="e">
        <f>TRIM(Tabla1[[#This Row],[Articulo]])</f>
        <v>#VALUE!</v>
      </c>
      <c r="Q779" s="23" t="e">
        <f>_xlfn.XLOOKUP(Tabla1[[#This Row],[Ean Normalizado]],Consumos!A:A,Consumos!E:E)</f>
        <v>#VALUE!</v>
      </c>
      <c r="R779" s="22" t="e">
        <f>_xlfn.XLOOKUP(Tabla1[[#This Row],[Ean Normalizado]],tabla_consumos[EAN],tabla_consumos[UM])</f>
        <v>#VALUE!</v>
      </c>
      <c r="S779" s="22" t="e">
        <f>Tabla1[[#This Row],[StockDisp]]*Tabla1[[#This Row],[UM producto]]</f>
        <v>#VALUE!</v>
      </c>
    </row>
    <row r="780" spans="1:19" x14ac:dyDescent="0.35">
      <c r="A780" s="5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6"/>
      <c r="P780" s="23" t="e">
        <f>TRIM(Tabla1[[#This Row],[Articulo]])</f>
        <v>#VALUE!</v>
      </c>
      <c r="Q780" s="23" t="e">
        <f>_xlfn.XLOOKUP(Tabla1[[#This Row],[Ean Normalizado]],Consumos!A:A,Consumos!E:E)</f>
        <v>#VALUE!</v>
      </c>
      <c r="R780" s="22" t="e">
        <f>_xlfn.XLOOKUP(Tabla1[[#This Row],[Ean Normalizado]],tabla_consumos[EAN],tabla_consumos[UM])</f>
        <v>#VALUE!</v>
      </c>
      <c r="S780" s="22" t="e">
        <f>Tabla1[[#This Row],[StockDisp]]*Tabla1[[#This Row],[UM producto]]</f>
        <v>#VALUE!</v>
      </c>
    </row>
    <row r="781" spans="1:19" x14ac:dyDescent="0.35">
      <c r="A781" s="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6"/>
      <c r="P781" s="23" t="e">
        <f>TRIM(Tabla1[[#This Row],[Articulo]])</f>
        <v>#VALUE!</v>
      </c>
      <c r="Q781" s="23" t="e">
        <f>_xlfn.XLOOKUP(Tabla1[[#This Row],[Ean Normalizado]],Consumos!A:A,Consumos!E:E)</f>
        <v>#VALUE!</v>
      </c>
      <c r="R781" s="22" t="e">
        <f>_xlfn.XLOOKUP(Tabla1[[#This Row],[Ean Normalizado]],tabla_consumos[EAN],tabla_consumos[UM])</f>
        <v>#VALUE!</v>
      </c>
      <c r="S781" s="22" t="e">
        <f>Tabla1[[#This Row],[StockDisp]]*Tabla1[[#This Row],[UM producto]]</f>
        <v>#VALUE!</v>
      </c>
    </row>
    <row r="782" spans="1:19" x14ac:dyDescent="0.35">
      <c r="A782" s="5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6"/>
      <c r="P782" s="23" t="e">
        <f>TRIM(Tabla1[[#This Row],[Articulo]])</f>
        <v>#VALUE!</v>
      </c>
      <c r="Q782" s="23" t="e">
        <f>_xlfn.XLOOKUP(Tabla1[[#This Row],[Ean Normalizado]],Consumos!A:A,Consumos!E:E)</f>
        <v>#VALUE!</v>
      </c>
      <c r="R782" s="22" t="e">
        <f>_xlfn.XLOOKUP(Tabla1[[#This Row],[Ean Normalizado]],tabla_consumos[EAN],tabla_consumos[UM])</f>
        <v>#VALUE!</v>
      </c>
      <c r="S782" s="22" t="e">
        <f>Tabla1[[#This Row],[StockDisp]]*Tabla1[[#This Row],[UM producto]]</f>
        <v>#VALUE!</v>
      </c>
    </row>
    <row r="783" spans="1:19" x14ac:dyDescent="0.35">
      <c r="A783" s="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6"/>
      <c r="P783" s="23" t="e">
        <f>TRIM(Tabla1[[#This Row],[Articulo]])</f>
        <v>#VALUE!</v>
      </c>
      <c r="Q783" s="23" t="e">
        <f>_xlfn.XLOOKUP(Tabla1[[#This Row],[Ean Normalizado]],Consumos!A:A,Consumos!E:E)</f>
        <v>#VALUE!</v>
      </c>
      <c r="R783" s="22" t="e">
        <f>_xlfn.XLOOKUP(Tabla1[[#This Row],[Ean Normalizado]],tabla_consumos[EAN],tabla_consumos[UM])</f>
        <v>#VALUE!</v>
      </c>
      <c r="S783" s="22" t="e">
        <f>Tabla1[[#This Row],[StockDisp]]*Tabla1[[#This Row],[UM producto]]</f>
        <v>#VALUE!</v>
      </c>
    </row>
    <row r="784" spans="1:19" x14ac:dyDescent="0.35">
      <c r="A784" s="5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6"/>
      <c r="P784" s="23" t="e">
        <f>TRIM(Tabla1[[#This Row],[Articulo]])</f>
        <v>#VALUE!</v>
      </c>
      <c r="Q784" s="23" t="e">
        <f>_xlfn.XLOOKUP(Tabla1[[#This Row],[Ean Normalizado]],Consumos!A:A,Consumos!E:E)</f>
        <v>#VALUE!</v>
      </c>
      <c r="R784" s="22" t="e">
        <f>_xlfn.XLOOKUP(Tabla1[[#This Row],[Ean Normalizado]],tabla_consumos[EAN],tabla_consumos[UM])</f>
        <v>#VALUE!</v>
      </c>
      <c r="S784" s="22" t="e">
        <f>Tabla1[[#This Row],[StockDisp]]*Tabla1[[#This Row],[UM producto]]</f>
        <v>#VALUE!</v>
      </c>
    </row>
    <row r="785" spans="1:19" x14ac:dyDescent="0.35">
      <c r="A785" s="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6"/>
      <c r="P785" s="23" t="e">
        <f>TRIM(Tabla1[[#This Row],[Articulo]])</f>
        <v>#VALUE!</v>
      </c>
      <c r="Q785" s="23" t="e">
        <f>_xlfn.XLOOKUP(Tabla1[[#This Row],[Ean Normalizado]],Consumos!A:A,Consumos!E:E)</f>
        <v>#VALUE!</v>
      </c>
      <c r="R785" s="22" t="e">
        <f>_xlfn.XLOOKUP(Tabla1[[#This Row],[Ean Normalizado]],tabla_consumos[EAN],tabla_consumos[UM])</f>
        <v>#VALUE!</v>
      </c>
      <c r="S785" s="22" t="e">
        <f>Tabla1[[#This Row],[StockDisp]]*Tabla1[[#This Row],[UM producto]]</f>
        <v>#VALUE!</v>
      </c>
    </row>
    <row r="786" spans="1:19" x14ac:dyDescent="0.35">
      <c r="A786" s="5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6"/>
      <c r="P786" s="23" t="e">
        <f>TRIM(Tabla1[[#This Row],[Articulo]])</f>
        <v>#VALUE!</v>
      </c>
      <c r="Q786" s="23" t="e">
        <f>_xlfn.XLOOKUP(Tabla1[[#This Row],[Ean Normalizado]],Consumos!A:A,Consumos!E:E)</f>
        <v>#VALUE!</v>
      </c>
      <c r="R786" s="22" t="e">
        <f>_xlfn.XLOOKUP(Tabla1[[#This Row],[Ean Normalizado]],tabla_consumos[EAN],tabla_consumos[UM])</f>
        <v>#VALUE!</v>
      </c>
      <c r="S786" s="22" t="e">
        <f>Tabla1[[#This Row],[StockDisp]]*Tabla1[[#This Row],[UM producto]]</f>
        <v>#VALUE!</v>
      </c>
    </row>
    <row r="787" spans="1:19" x14ac:dyDescent="0.35">
      <c r="A787" s="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6"/>
      <c r="P787" s="23" t="e">
        <f>TRIM(Tabla1[[#This Row],[Articulo]])</f>
        <v>#VALUE!</v>
      </c>
      <c r="Q787" s="23" t="e">
        <f>_xlfn.XLOOKUP(Tabla1[[#This Row],[Ean Normalizado]],Consumos!A:A,Consumos!E:E)</f>
        <v>#VALUE!</v>
      </c>
      <c r="R787" s="22" t="e">
        <f>_xlfn.XLOOKUP(Tabla1[[#This Row],[Ean Normalizado]],tabla_consumos[EAN],tabla_consumos[UM])</f>
        <v>#VALUE!</v>
      </c>
      <c r="S787" s="22" t="e">
        <f>Tabla1[[#This Row],[StockDisp]]*Tabla1[[#This Row],[UM producto]]</f>
        <v>#VALUE!</v>
      </c>
    </row>
    <row r="788" spans="1:19" x14ac:dyDescent="0.35">
      <c r="A788" s="5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6"/>
      <c r="P788" s="23" t="e">
        <f>TRIM(Tabla1[[#This Row],[Articulo]])</f>
        <v>#VALUE!</v>
      </c>
      <c r="Q788" s="23" t="e">
        <f>_xlfn.XLOOKUP(Tabla1[[#This Row],[Ean Normalizado]],Consumos!A:A,Consumos!E:E)</f>
        <v>#VALUE!</v>
      </c>
      <c r="R788" s="22" t="e">
        <f>_xlfn.XLOOKUP(Tabla1[[#This Row],[Ean Normalizado]],tabla_consumos[EAN],tabla_consumos[UM])</f>
        <v>#VALUE!</v>
      </c>
      <c r="S788" s="22" t="e">
        <f>Tabla1[[#This Row],[StockDisp]]*Tabla1[[#This Row],[UM producto]]</f>
        <v>#VALUE!</v>
      </c>
    </row>
    <row r="789" spans="1:19" x14ac:dyDescent="0.35">
      <c r="A789" s="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6"/>
      <c r="P789" s="23" t="e">
        <f>TRIM(Tabla1[[#This Row],[Articulo]])</f>
        <v>#VALUE!</v>
      </c>
      <c r="Q789" s="23" t="e">
        <f>_xlfn.XLOOKUP(Tabla1[[#This Row],[Ean Normalizado]],Consumos!A:A,Consumos!E:E)</f>
        <v>#VALUE!</v>
      </c>
      <c r="R789" s="22" t="e">
        <f>_xlfn.XLOOKUP(Tabla1[[#This Row],[Ean Normalizado]],tabla_consumos[EAN],tabla_consumos[UM])</f>
        <v>#VALUE!</v>
      </c>
      <c r="S789" s="22" t="e">
        <f>Tabla1[[#This Row],[StockDisp]]*Tabla1[[#This Row],[UM producto]]</f>
        <v>#VALUE!</v>
      </c>
    </row>
    <row r="790" spans="1:19" x14ac:dyDescent="0.35">
      <c r="A790" s="5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6"/>
      <c r="P790" s="23" t="e">
        <f>TRIM(Tabla1[[#This Row],[Articulo]])</f>
        <v>#VALUE!</v>
      </c>
      <c r="Q790" s="23" t="e">
        <f>_xlfn.XLOOKUP(Tabla1[[#This Row],[Ean Normalizado]],Consumos!A:A,Consumos!E:E)</f>
        <v>#VALUE!</v>
      </c>
      <c r="R790" s="22" t="e">
        <f>_xlfn.XLOOKUP(Tabla1[[#This Row],[Ean Normalizado]],tabla_consumos[EAN],tabla_consumos[UM])</f>
        <v>#VALUE!</v>
      </c>
      <c r="S790" s="22" t="e">
        <f>Tabla1[[#This Row],[StockDisp]]*Tabla1[[#This Row],[UM producto]]</f>
        <v>#VALUE!</v>
      </c>
    </row>
    <row r="791" spans="1:19" x14ac:dyDescent="0.35">
      <c r="A791" s="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6"/>
      <c r="P791" s="23" t="e">
        <f>TRIM(Tabla1[[#This Row],[Articulo]])</f>
        <v>#VALUE!</v>
      </c>
      <c r="Q791" s="23" t="e">
        <f>_xlfn.XLOOKUP(Tabla1[[#This Row],[Ean Normalizado]],Consumos!A:A,Consumos!E:E)</f>
        <v>#VALUE!</v>
      </c>
      <c r="R791" s="22" t="e">
        <f>_xlfn.XLOOKUP(Tabla1[[#This Row],[Ean Normalizado]],tabla_consumos[EAN],tabla_consumos[UM])</f>
        <v>#VALUE!</v>
      </c>
      <c r="S791" s="22" t="e">
        <f>Tabla1[[#This Row],[StockDisp]]*Tabla1[[#This Row],[UM producto]]</f>
        <v>#VALUE!</v>
      </c>
    </row>
    <row r="792" spans="1:19" x14ac:dyDescent="0.35">
      <c r="A792" s="5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6"/>
      <c r="P792" s="23" t="e">
        <f>TRIM(Tabla1[[#This Row],[Articulo]])</f>
        <v>#VALUE!</v>
      </c>
      <c r="Q792" s="23" t="e">
        <f>_xlfn.XLOOKUP(Tabla1[[#This Row],[Ean Normalizado]],Consumos!A:A,Consumos!E:E)</f>
        <v>#VALUE!</v>
      </c>
      <c r="R792" s="22" t="e">
        <f>_xlfn.XLOOKUP(Tabla1[[#This Row],[Ean Normalizado]],tabla_consumos[EAN],tabla_consumos[UM])</f>
        <v>#VALUE!</v>
      </c>
      <c r="S792" s="22" t="e">
        <f>Tabla1[[#This Row],[StockDisp]]*Tabla1[[#This Row],[UM producto]]</f>
        <v>#VALUE!</v>
      </c>
    </row>
    <row r="793" spans="1:19" x14ac:dyDescent="0.35">
      <c r="A793" s="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6"/>
      <c r="P793" s="23" t="e">
        <f>TRIM(Tabla1[[#This Row],[Articulo]])</f>
        <v>#VALUE!</v>
      </c>
      <c r="Q793" s="23" t="e">
        <f>_xlfn.XLOOKUP(Tabla1[[#This Row],[Ean Normalizado]],Consumos!A:A,Consumos!E:E)</f>
        <v>#VALUE!</v>
      </c>
      <c r="R793" s="22" t="e">
        <f>_xlfn.XLOOKUP(Tabla1[[#This Row],[Ean Normalizado]],tabla_consumos[EAN],tabla_consumos[UM])</f>
        <v>#VALUE!</v>
      </c>
      <c r="S793" s="22" t="e">
        <f>Tabla1[[#This Row],[StockDisp]]*Tabla1[[#This Row],[UM producto]]</f>
        <v>#VALUE!</v>
      </c>
    </row>
    <row r="794" spans="1:19" x14ac:dyDescent="0.35">
      <c r="A794" s="5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6"/>
      <c r="P794" s="23" t="e">
        <f>TRIM(Tabla1[[#This Row],[Articulo]])</f>
        <v>#VALUE!</v>
      </c>
      <c r="Q794" s="23" t="e">
        <f>_xlfn.XLOOKUP(Tabla1[[#This Row],[Ean Normalizado]],Consumos!A:A,Consumos!E:E)</f>
        <v>#VALUE!</v>
      </c>
      <c r="R794" s="22" t="e">
        <f>_xlfn.XLOOKUP(Tabla1[[#This Row],[Ean Normalizado]],tabla_consumos[EAN],tabla_consumos[UM])</f>
        <v>#VALUE!</v>
      </c>
      <c r="S794" s="22" t="e">
        <f>Tabla1[[#This Row],[StockDisp]]*Tabla1[[#This Row],[UM producto]]</f>
        <v>#VALUE!</v>
      </c>
    </row>
    <row r="795" spans="1:19" x14ac:dyDescent="0.35">
      <c r="A795" s="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6"/>
      <c r="P795" s="23" t="e">
        <f>TRIM(Tabla1[[#This Row],[Articulo]])</f>
        <v>#VALUE!</v>
      </c>
      <c r="Q795" s="23" t="e">
        <f>_xlfn.XLOOKUP(Tabla1[[#This Row],[Ean Normalizado]],Consumos!A:A,Consumos!E:E)</f>
        <v>#VALUE!</v>
      </c>
      <c r="R795" s="22" t="e">
        <f>_xlfn.XLOOKUP(Tabla1[[#This Row],[Ean Normalizado]],tabla_consumos[EAN],tabla_consumos[UM])</f>
        <v>#VALUE!</v>
      </c>
      <c r="S795" s="22" t="e">
        <f>Tabla1[[#This Row],[StockDisp]]*Tabla1[[#This Row],[UM producto]]</f>
        <v>#VALUE!</v>
      </c>
    </row>
    <row r="796" spans="1:19" x14ac:dyDescent="0.35">
      <c r="A796" s="5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6"/>
      <c r="P796" s="23" t="e">
        <f>TRIM(Tabla1[[#This Row],[Articulo]])</f>
        <v>#VALUE!</v>
      </c>
      <c r="Q796" s="23" t="e">
        <f>_xlfn.XLOOKUP(Tabla1[[#This Row],[Ean Normalizado]],Consumos!A:A,Consumos!E:E)</f>
        <v>#VALUE!</v>
      </c>
      <c r="R796" s="22" t="e">
        <f>_xlfn.XLOOKUP(Tabla1[[#This Row],[Ean Normalizado]],tabla_consumos[EAN],tabla_consumos[UM])</f>
        <v>#VALUE!</v>
      </c>
      <c r="S796" s="22" t="e">
        <f>Tabla1[[#This Row],[StockDisp]]*Tabla1[[#This Row],[UM producto]]</f>
        <v>#VALUE!</v>
      </c>
    </row>
    <row r="797" spans="1:19" x14ac:dyDescent="0.35">
      <c r="A797" s="5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6"/>
      <c r="P797" s="23" t="e">
        <f>TRIM(Tabla1[[#This Row],[Articulo]])</f>
        <v>#VALUE!</v>
      </c>
      <c r="Q797" s="23" t="e">
        <f>_xlfn.XLOOKUP(Tabla1[[#This Row],[Ean Normalizado]],Consumos!A:A,Consumos!E:E)</f>
        <v>#VALUE!</v>
      </c>
      <c r="R797" s="22" t="e">
        <f>_xlfn.XLOOKUP(Tabla1[[#This Row],[Ean Normalizado]],tabla_consumos[EAN],tabla_consumos[UM])</f>
        <v>#VALUE!</v>
      </c>
      <c r="S797" s="22" t="e">
        <f>Tabla1[[#This Row],[StockDisp]]*Tabla1[[#This Row],[UM producto]]</f>
        <v>#VALUE!</v>
      </c>
    </row>
    <row r="798" spans="1:19" x14ac:dyDescent="0.35">
      <c r="A798" s="5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6"/>
      <c r="P798" s="23" t="e">
        <f>TRIM(Tabla1[[#This Row],[Articulo]])</f>
        <v>#VALUE!</v>
      </c>
      <c r="Q798" s="23" t="e">
        <f>_xlfn.XLOOKUP(Tabla1[[#This Row],[Ean Normalizado]],Consumos!A:A,Consumos!E:E)</f>
        <v>#VALUE!</v>
      </c>
      <c r="R798" s="22" t="e">
        <f>_xlfn.XLOOKUP(Tabla1[[#This Row],[Ean Normalizado]],tabla_consumos[EAN],tabla_consumos[UM])</f>
        <v>#VALUE!</v>
      </c>
      <c r="S798" s="22" t="e">
        <f>Tabla1[[#This Row],[StockDisp]]*Tabla1[[#This Row],[UM producto]]</f>
        <v>#VALUE!</v>
      </c>
    </row>
    <row r="799" spans="1:19" x14ac:dyDescent="0.35">
      <c r="A799" s="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6"/>
      <c r="P799" s="23" t="e">
        <f>TRIM(Tabla1[[#This Row],[Articulo]])</f>
        <v>#VALUE!</v>
      </c>
      <c r="Q799" s="23" t="e">
        <f>_xlfn.XLOOKUP(Tabla1[[#This Row],[Ean Normalizado]],Consumos!A:A,Consumos!E:E)</f>
        <v>#VALUE!</v>
      </c>
      <c r="R799" s="22" t="e">
        <f>_xlfn.XLOOKUP(Tabla1[[#This Row],[Ean Normalizado]],tabla_consumos[EAN],tabla_consumos[UM])</f>
        <v>#VALUE!</v>
      </c>
      <c r="S799" s="22" t="e">
        <f>Tabla1[[#This Row],[StockDisp]]*Tabla1[[#This Row],[UM producto]]</f>
        <v>#VALUE!</v>
      </c>
    </row>
    <row r="800" spans="1:19" x14ac:dyDescent="0.35">
      <c r="A800" s="5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6"/>
      <c r="P800" s="23" t="e">
        <f>TRIM(Tabla1[[#This Row],[Articulo]])</f>
        <v>#VALUE!</v>
      </c>
      <c r="Q800" s="23" t="e">
        <f>_xlfn.XLOOKUP(Tabla1[[#This Row],[Ean Normalizado]],Consumos!A:A,Consumos!E:E)</f>
        <v>#VALUE!</v>
      </c>
      <c r="R800" s="22" t="e">
        <f>_xlfn.XLOOKUP(Tabla1[[#This Row],[Ean Normalizado]],tabla_consumos[EAN],tabla_consumos[UM])</f>
        <v>#VALUE!</v>
      </c>
      <c r="S800" s="22" t="e">
        <f>Tabla1[[#This Row],[StockDisp]]*Tabla1[[#This Row],[UM producto]]</f>
        <v>#VALUE!</v>
      </c>
    </row>
    <row r="801" spans="1:19" x14ac:dyDescent="0.35">
      <c r="A801" s="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6"/>
      <c r="P801" s="23" t="e">
        <f>TRIM(Tabla1[[#This Row],[Articulo]])</f>
        <v>#VALUE!</v>
      </c>
      <c r="Q801" s="23" t="e">
        <f>_xlfn.XLOOKUP(Tabla1[[#This Row],[Ean Normalizado]],Consumos!A:A,Consumos!E:E)</f>
        <v>#VALUE!</v>
      </c>
      <c r="R801" s="22" t="e">
        <f>_xlfn.XLOOKUP(Tabla1[[#This Row],[Ean Normalizado]],tabla_consumos[EAN],tabla_consumos[UM])</f>
        <v>#VALUE!</v>
      </c>
      <c r="S801" s="22" t="e">
        <f>Tabla1[[#This Row],[StockDisp]]*Tabla1[[#This Row],[UM producto]]</f>
        <v>#VALUE!</v>
      </c>
    </row>
    <row r="802" spans="1:19" x14ac:dyDescent="0.35">
      <c r="A802" s="5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6"/>
      <c r="P802" s="23" t="e">
        <f>TRIM(Tabla1[[#This Row],[Articulo]])</f>
        <v>#VALUE!</v>
      </c>
      <c r="Q802" s="23" t="e">
        <f>_xlfn.XLOOKUP(Tabla1[[#This Row],[Ean Normalizado]],Consumos!A:A,Consumos!E:E)</f>
        <v>#VALUE!</v>
      </c>
      <c r="R802" s="22" t="e">
        <f>_xlfn.XLOOKUP(Tabla1[[#This Row],[Ean Normalizado]],tabla_consumos[EAN],tabla_consumos[UM])</f>
        <v>#VALUE!</v>
      </c>
      <c r="S802" s="22" t="e">
        <f>Tabla1[[#This Row],[StockDisp]]*Tabla1[[#This Row],[UM producto]]</f>
        <v>#VALUE!</v>
      </c>
    </row>
    <row r="803" spans="1:19" x14ac:dyDescent="0.35">
      <c r="A803" s="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6"/>
      <c r="P803" s="23" t="e">
        <f>TRIM(Tabla1[[#This Row],[Articulo]])</f>
        <v>#VALUE!</v>
      </c>
      <c r="Q803" s="23" t="e">
        <f>_xlfn.XLOOKUP(Tabla1[[#This Row],[Ean Normalizado]],Consumos!A:A,Consumos!E:E)</f>
        <v>#VALUE!</v>
      </c>
      <c r="R803" s="22" t="e">
        <f>_xlfn.XLOOKUP(Tabla1[[#This Row],[Ean Normalizado]],tabla_consumos[EAN],tabla_consumos[UM])</f>
        <v>#VALUE!</v>
      </c>
      <c r="S803" s="22" t="e">
        <f>Tabla1[[#This Row],[StockDisp]]*Tabla1[[#This Row],[UM producto]]</f>
        <v>#VALUE!</v>
      </c>
    </row>
    <row r="804" spans="1:19" x14ac:dyDescent="0.35">
      <c r="A804" s="5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6"/>
      <c r="P804" s="23" t="e">
        <f>TRIM(Tabla1[[#This Row],[Articulo]])</f>
        <v>#VALUE!</v>
      </c>
      <c r="Q804" s="23" t="e">
        <f>_xlfn.XLOOKUP(Tabla1[[#This Row],[Ean Normalizado]],Consumos!A:A,Consumos!E:E)</f>
        <v>#VALUE!</v>
      </c>
      <c r="R804" s="22" t="e">
        <f>_xlfn.XLOOKUP(Tabla1[[#This Row],[Ean Normalizado]],tabla_consumos[EAN],tabla_consumos[UM])</f>
        <v>#VALUE!</v>
      </c>
      <c r="S804" s="22" t="e">
        <f>Tabla1[[#This Row],[StockDisp]]*Tabla1[[#This Row],[UM producto]]</f>
        <v>#VALUE!</v>
      </c>
    </row>
    <row r="805" spans="1:19" x14ac:dyDescent="0.35">
      <c r="A805" s="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6"/>
      <c r="P805" s="23" t="e">
        <f>TRIM(Tabla1[[#This Row],[Articulo]])</f>
        <v>#VALUE!</v>
      </c>
      <c r="Q805" s="23" t="e">
        <f>_xlfn.XLOOKUP(Tabla1[[#This Row],[Ean Normalizado]],Consumos!A:A,Consumos!E:E)</f>
        <v>#VALUE!</v>
      </c>
      <c r="R805" s="22" t="e">
        <f>_xlfn.XLOOKUP(Tabla1[[#This Row],[Ean Normalizado]],tabla_consumos[EAN],tabla_consumos[UM])</f>
        <v>#VALUE!</v>
      </c>
      <c r="S805" s="22" t="e">
        <f>Tabla1[[#This Row],[StockDisp]]*Tabla1[[#This Row],[UM producto]]</f>
        <v>#VALUE!</v>
      </c>
    </row>
    <row r="806" spans="1:19" x14ac:dyDescent="0.35">
      <c r="A806" s="5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6"/>
      <c r="P806" s="23" t="e">
        <f>TRIM(Tabla1[[#This Row],[Articulo]])</f>
        <v>#VALUE!</v>
      </c>
      <c r="Q806" s="23" t="e">
        <f>_xlfn.XLOOKUP(Tabla1[[#This Row],[Ean Normalizado]],Consumos!A:A,Consumos!E:E)</f>
        <v>#VALUE!</v>
      </c>
      <c r="R806" s="22" t="e">
        <f>_xlfn.XLOOKUP(Tabla1[[#This Row],[Ean Normalizado]],tabla_consumos[EAN],tabla_consumos[UM])</f>
        <v>#VALUE!</v>
      </c>
      <c r="S806" s="22" t="e">
        <f>Tabla1[[#This Row],[StockDisp]]*Tabla1[[#This Row],[UM producto]]</f>
        <v>#VALUE!</v>
      </c>
    </row>
    <row r="807" spans="1:19" x14ac:dyDescent="0.35">
      <c r="A807" s="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6"/>
      <c r="P807" s="23" t="e">
        <f>TRIM(Tabla1[[#This Row],[Articulo]])</f>
        <v>#VALUE!</v>
      </c>
      <c r="Q807" s="23" t="e">
        <f>_xlfn.XLOOKUP(Tabla1[[#This Row],[Ean Normalizado]],Consumos!A:A,Consumos!E:E)</f>
        <v>#VALUE!</v>
      </c>
      <c r="R807" s="22" t="e">
        <f>_xlfn.XLOOKUP(Tabla1[[#This Row],[Ean Normalizado]],tabla_consumos[EAN],tabla_consumos[UM])</f>
        <v>#VALUE!</v>
      </c>
      <c r="S807" s="22" t="e">
        <f>Tabla1[[#This Row],[StockDisp]]*Tabla1[[#This Row],[UM producto]]</f>
        <v>#VALUE!</v>
      </c>
    </row>
    <row r="808" spans="1:19" x14ac:dyDescent="0.35">
      <c r="A808" s="5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6"/>
      <c r="P808" s="23" t="e">
        <f>TRIM(Tabla1[[#This Row],[Articulo]])</f>
        <v>#VALUE!</v>
      </c>
      <c r="Q808" s="23" t="e">
        <f>_xlfn.XLOOKUP(Tabla1[[#This Row],[Ean Normalizado]],Consumos!A:A,Consumos!E:E)</f>
        <v>#VALUE!</v>
      </c>
      <c r="R808" s="22" t="e">
        <f>_xlfn.XLOOKUP(Tabla1[[#This Row],[Ean Normalizado]],tabla_consumos[EAN],tabla_consumos[UM])</f>
        <v>#VALUE!</v>
      </c>
      <c r="S808" s="22" t="e">
        <f>Tabla1[[#This Row],[StockDisp]]*Tabla1[[#This Row],[UM producto]]</f>
        <v>#VALUE!</v>
      </c>
    </row>
    <row r="809" spans="1:19" x14ac:dyDescent="0.35">
      <c r="A809" s="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6"/>
      <c r="P809" s="23" t="e">
        <f>TRIM(Tabla1[[#This Row],[Articulo]])</f>
        <v>#VALUE!</v>
      </c>
      <c r="Q809" s="23" t="e">
        <f>_xlfn.XLOOKUP(Tabla1[[#This Row],[Ean Normalizado]],Consumos!A:A,Consumos!E:E)</f>
        <v>#VALUE!</v>
      </c>
      <c r="R809" s="22" t="e">
        <f>_xlfn.XLOOKUP(Tabla1[[#This Row],[Ean Normalizado]],tabla_consumos[EAN],tabla_consumos[UM])</f>
        <v>#VALUE!</v>
      </c>
      <c r="S809" s="22" t="e">
        <f>Tabla1[[#This Row],[StockDisp]]*Tabla1[[#This Row],[UM producto]]</f>
        <v>#VALUE!</v>
      </c>
    </row>
    <row r="810" spans="1:19" x14ac:dyDescent="0.35">
      <c r="A810" s="5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6"/>
      <c r="P810" s="23" t="e">
        <f>TRIM(Tabla1[[#This Row],[Articulo]])</f>
        <v>#VALUE!</v>
      </c>
      <c r="Q810" s="23" t="e">
        <f>_xlfn.XLOOKUP(Tabla1[[#This Row],[Ean Normalizado]],Consumos!A:A,Consumos!E:E)</f>
        <v>#VALUE!</v>
      </c>
      <c r="R810" s="22" t="e">
        <f>_xlfn.XLOOKUP(Tabla1[[#This Row],[Ean Normalizado]],tabla_consumos[EAN],tabla_consumos[UM])</f>
        <v>#VALUE!</v>
      </c>
      <c r="S810" s="22" t="e">
        <f>Tabla1[[#This Row],[StockDisp]]*Tabla1[[#This Row],[UM producto]]</f>
        <v>#VALUE!</v>
      </c>
    </row>
    <row r="811" spans="1:19" x14ac:dyDescent="0.35">
      <c r="A811" s="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6"/>
      <c r="P811" s="23" t="e">
        <f>TRIM(Tabla1[[#This Row],[Articulo]])</f>
        <v>#VALUE!</v>
      </c>
      <c r="Q811" s="23" t="e">
        <f>_xlfn.XLOOKUP(Tabla1[[#This Row],[Ean Normalizado]],Consumos!A:A,Consumos!E:E)</f>
        <v>#VALUE!</v>
      </c>
      <c r="R811" s="22" t="e">
        <f>_xlfn.XLOOKUP(Tabla1[[#This Row],[Ean Normalizado]],tabla_consumos[EAN],tabla_consumos[UM])</f>
        <v>#VALUE!</v>
      </c>
      <c r="S811" s="22" t="e">
        <f>Tabla1[[#This Row],[StockDisp]]*Tabla1[[#This Row],[UM producto]]</f>
        <v>#VALUE!</v>
      </c>
    </row>
    <row r="812" spans="1:19" x14ac:dyDescent="0.35">
      <c r="A812" s="5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6"/>
      <c r="P812" s="23" t="e">
        <f>TRIM(Tabla1[[#This Row],[Articulo]])</f>
        <v>#VALUE!</v>
      </c>
      <c r="Q812" s="23" t="e">
        <f>_xlfn.XLOOKUP(Tabla1[[#This Row],[Ean Normalizado]],Consumos!A:A,Consumos!E:E)</f>
        <v>#VALUE!</v>
      </c>
      <c r="R812" s="22" t="e">
        <f>_xlfn.XLOOKUP(Tabla1[[#This Row],[Ean Normalizado]],tabla_consumos[EAN],tabla_consumos[UM])</f>
        <v>#VALUE!</v>
      </c>
      <c r="S812" s="22" t="e">
        <f>Tabla1[[#This Row],[StockDisp]]*Tabla1[[#This Row],[UM producto]]</f>
        <v>#VALUE!</v>
      </c>
    </row>
    <row r="813" spans="1:19" x14ac:dyDescent="0.35">
      <c r="A813" s="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6"/>
      <c r="P813" s="23" t="e">
        <f>TRIM(Tabla1[[#This Row],[Articulo]])</f>
        <v>#VALUE!</v>
      </c>
      <c r="Q813" s="23" t="e">
        <f>_xlfn.XLOOKUP(Tabla1[[#This Row],[Ean Normalizado]],Consumos!A:A,Consumos!E:E)</f>
        <v>#VALUE!</v>
      </c>
      <c r="R813" s="22" t="e">
        <f>_xlfn.XLOOKUP(Tabla1[[#This Row],[Ean Normalizado]],tabla_consumos[EAN],tabla_consumos[UM])</f>
        <v>#VALUE!</v>
      </c>
      <c r="S813" s="22" t="e">
        <f>Tabla1[[#This Row],[StockDisp]]*Tabla1[[#This Row],[UM producto]]</f>
        <v>#VALUE!</v>
      </c>
    </row>
    <row r="814" spans="1:19" x14ac:dyDescent="0.35">
      <c r="A814" s="5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6"/>
      <c r="P814" s="23" t="e">
        <f>TRIM(Tabla1[[#This Row],[Articulo]])</f>
        <v>#VALUE!</v>
      </c>
      <c r="Q814" s="23" t="e">
        <f>_xlfn.XLOOKUP(Tabla1[[#This Row],[Ean Normalizado]],Consumos!A:A,Consumos!E:E)</f>
        <v>#VALUE!</v>
      </c>
      <c r="R814" s="22" t="e">
        <f>_xlfn.XLOOKUP(Tabla1[[#This Row],[Ean Normalizado]],tabla_consumos[EAN],tabla_consumos[UM])</f>
        <v>#VALUE!</v>
      </c>
      <c r="S814" s="22" t="e">
        <f>Tabla1[[#This Row],[StockDisp]]*Tabla1[[#This Row],[UM producto]]</f>
        <v>#VALUE!</v>
      </c>
    </row>
    <row r="815" spans="1:19" x14ac:dyDescent="0.35">
      <c r="A815" s="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6"/>
      <c r="P815" s="23" t="e">
        <f>TRIM(Tabla1[[#This Row],[Articulo]])</f>
        <v>#VALUE!</v>
      </c>
      <c r="Q815" s="23" t="e">
        <f>_xlfn.XLOOKUP(Tabla1[[#This Row],[Ean Normalizado]],Consumos!A:A,Consumos!E:E)</f>
        <v>#VALUE!</v>
      </c>
      <c r="R815" s="22" t="e">
        <f>_xlfn.XLOOKUP(Tabla1[[#This Row],[Ean Normalizado]],tabla_consumos[EAN],tabla_consumos[UM])</f>
        <v>#VALUE!</v>
      </c>
      <c r="S815" s="22" t="e">
        <f>Tabla1[[#This Row],[StockDisp]]*Tabla1[[#This Row],[UM producto]]</f>
        <v>#VALUE!</v>
      </c>
    </row>
    <row r="816" spans="1:19" x14ac:dyDescent="0.35">
      <c r="A816" s="5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6"/>
      <c r="P816" s="23" t="e">
        <f>TRIM(Tabla1[[#This Row],[Articulo]])</f>
        <v>#VALUE!</v>
      </c>
      <c r="Q816" s="23" t="e">
        <f>_xlfn.XLOOKUP(Tabla1[[#This Row],[Ean Normalizado]],Consumos!A:A,Consumos!E:E)</f>
        <v>#VALUE!</v>
      </c>
      <c r="R816" s="22" t="e">
        <f>_xlfn.XLOOKUP(Tabla1[[#This Row],[Ean Normalizado]],tabla_consumos[EAN],tabla_consumos[UM])</f>
        <v>#VALUE!</v>
      </c>
      <c r="S816" s="22" t="e">
        <f>Tabla1[[#This Row],[StockDisp]]*Tabla1[[#This Row],[UM producto]]</f>
        <v>#VALUE!</v>
      </c>
    </row>
    <row r="817" spans="1:19" x14ac:dyDescent="0.35">
      <c r="A817" s="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6"/>
      <c r="P817" s="23" t="e">
        <f>TRIM(Tabla1[[#This Row],[Articulo]])</f>
        <v>#VALUE!</v>
      </c>
      <c r="Q817" s="23" t="e">
        <f>_xlfn.XLOOKUP(Tabla1[[#This Row],[Ean Normalizado]],Consumos!A:A,Consumos!E:E)</f>
        <v>#VALUE!</v>
      </c>
      <c r="R817" s="22" t="e">
        <f>_xlfn.XLOOKUP(Tabla1[[#This Row],[Ean Normalizado]],tabla_consumos[EAN],tabla_consumos[UM])</f>
        <v>#VALUE!</v>
      </c>
      <c r="S817" s="22" t="e">
        <f>Tabla1[[#This Row],[StockDisp]]*Tabla1[[#This Row],[UM producto]]</f>
        <v>#VALUE!</v>
      </c>
    </row>
    <row r="818" spans="1:19" x14ac:dyDescent="0.35">
      <c r="A818" s="5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6"/>
      <c r="P818" s="23" t="e">
        <f>TRIM(Tabla1[[#This Row],[Articulo]])</f>
        <v>#VALUE!</v>
      </c>
      <c r="Q818" s="23" t="e">
        <f>_xlfn.XLOOKUP(Tabla1[[#This Row],[Ean Normalizado]],Consumos!A:A,Consumos!E:E)</f>
        <v>#VALUE!</v>
      </c>
      <c r="R818" s="22" t="e">
        <f>_xlfn.XLOOKUP(Tabla1[[#This Row],[Ean Normalizado]],tabla_consumos[EAN],tabla_consumos[UM])</f>
        <v>#VALUE!</v>
      </c>
      <c r="S818" s="22" t="e">
        <f>Tabla1[[#This Row],[StockDisp]]*Tabla1[[#This Row],[UM producto]]</f>
        <v>#VALUE!</v>
      </c>
    </row>
    <row r="819" spans="1:19" x14ac:dyDescent="0.35">
      <c r="A819" s="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6"/>
      <c r="P819" s="23" t="e">
        <f>TRIM(Tabla1[[#This Row],[Articulo]])</f>
        <v>#VALUE!</v>
      </c>
      <c r="Q819" s="23" t="e">
        <f>_xlfn.XLOOKUP(Tabla1[[#This Row],[Ean Normalizado]],Consumos!A:A,Consumos!E:E)</f>
        <v>#VALUE!</v>
      </c>
      <c r="R819" s="22" t="e">
        <f>_xlfn.XLOOKUP(Tabla1[[#This Row],[Ean Normalizado]],tabla_consumos[EAN],tabla_consumos[UM])</f>
        <v>#VALUE!</v>
      </c>
      <c r="S819" s="22" t="e">
        <f>Tabla1[[#This Row],[StockDisp]]*Tabla1[[#This Row],[UM producto]]</f>
        <v>#VALUE!</v>
      </c>
    </row>
    <row r="820" spans="1:19" x14ac:dyDescent="0.35">
      <c r="A820" s="5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6"/>
      <c r="P820" s="23" t="e">
        <f>TRIM(Tabla1[[#This Row],[Articulo]])</f>
        <v>#VALUE!</v>
      </c>
      <c r="Q820" s="23" t="e">
        <f>_xlfn.XLOOKUP(Tabla1[[#This Row],[Ean Normalizado]],Consumos!A:A,Consumos!E:E)</f>
        <v>#VALUE!</v>
      </c>
      <c r="R820" s="22" t="e">
        <f>_xlfn.XLOOKUP(Tabla1[[#This Row],[Ean Normalizado]],tabla_consumos[EAN],tabla_consumos[UM])</f>
        <v>#VALUE!</v>
      </c>
      <c r="S820" s="22" t="e">
        <f>Tabla1[[#This Row],[StockDisp]]*Tabla1[[#This Row],[UM producto]]</f>
        <v>#VALUE!</v>
      </c>
    </row>
    <row r="821" spans="1:19" x14ac:dyDescent="0.35">
      <c r="A821" s="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6"/>
      <c r="P821" s="23" t="e">
        <f>TRIM(Tabla1[[#This Row],[Articulo]])</f>
        <v>#VALUE!</v>
      </c>
      <c r="Q821" s="23" t="e">
        <f>_xlfn.XLOOKUP(Tabla1[[#This Row],[Ean Normalizado]],Consumos!A:A,Consumos!E:E)</f>
        <v>#VALUE!</v>
      </c>
      <c r="R821" s="22" t="e">
        <f>_xlfn.XLOOKUP(Tabla1[[#This Row],[Ean Normalizado]],tabla_consumos[EAN],tabla_consumos[UM])</f>
        <v>#VALUE!</v>
      </c>
      <c r="S821" s="22" t="e">
        <f>Tabla1[[#This Row],[StockDisp]]*Tabla1[[#This Row],[UM producto]]</f>
        <v>#VALUE!</v>
      </c>
    </row>
    <row r="822" spans="1:19" x14ac:dyDescent="0.35">
      <c r="A822" s="5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6"/>
      <c r="P822" s="23" t="e">
        <f>TRIM(Tabla1[[#This Row],[Articulo]])</f>
        <v>#VALUE!</v>
      </c>
      <c r="Q822" s="23" t="e">
        <f>_xlfn.XLOOKUP(Tabla1[[#This Row],[Ean Normalizado]],Consumos!A:A,Consumos!E:E)</f>
        <v>#VALUE!</v>
      </c>
      <c r="R822" s="22" t="e">
        <f>_xlfn.XLOOKUP(Tabla1[[#This Row],[Ean Normalizado]],tabla_consumos[EAN],tabla_consumos[UM])</f>
        <v>#VALUE!</v>
      </c>
      <c r="S822" s="22" t="e">
        <f>Tabla1[[#This Row],[StockDisp]]*Tabla1[[#This Row],[UM producto]]</f>
        <v>#VALUE!</v>
      </c>
    </row>
    <row r="823" spans="1:19" x14ac:dyDescent="0.35">
      <c r="A823" s="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6"/>
      <c r="P823" s="23" t="e">
        <f>TRIM(Tabla1[[#This Row],[Articulo]])</f>
        <v>#VALUE!</v>
      </c>
      <c r="Q823" s="23" t="e">
        <f>_xlfn.XLOOKUP(Tabla1[[#This Row],[Ean Normalizado]],Consumos!A:A,Consumos!E:E)</f>
        <v>#VALUE!</v>
      </c>
      <c r="R823" s="22" t="e">
        <f>_xlfn.XLOOKUP(Tabla1[[#This Row],[Ean Normalizado]],tabla_consumos[EAN],tabla_consumos[UM])</f>
        <v>#VALUE!</v>
      </c>
      <c r="S823" s="22" t="e">
        <f>Tabla1[[#This Row],[StockDisp]]*Tabla1[[#This Row],[UM producto]]</f>
        <v>#VALUE!</v>
      </c>
    </row>
    <row r="824" spans="1:19" x14ac:dyDescent="0.35">
      <c r="A824" s="5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6"/>
      <c r="P824" s="23" t="e">
        <f>TRIM(Tabla1[[#This Row],[Articulo]])</f>
        <v>#VALUE!</v>
      </c>
      <c r="Q824" s="23" t="e">
        <f>_xlfn.XLOOKUP(Tabla1[[#This Row],[Ean Normalizado]],Consumos!A:A,Consumos!E:E)</f>
        <v>#VALUE!</v>
      </c>
      <c r="R824" s="22" t="e">
        <f>_xlfn.XLOOKUP(Tabla1[[#This Row],[Ean Normalizado]],tabla_consumos[EAN],tabla_consumos[UM])</f>
        <v>#VALUE!</v>
      </c>
      <c r="S824" s="22" t="e">
        <f>Tabla1[[#This Row],[StockDisp]]*Tabla1[[#This Row],[UM producto]]</f>
        <v>#VALUE!</v>
      </c>
    </row>
    <row r="825" spans="1:19" x14ac:dyDescent="0.35">
      <c r="A825" s="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6"/>
      <c r="P825" s="23" t="e">
        <f>TRIM(Tabla1[[#This Row],[Articulo]])</f>
        <v>#VALUE!</v>
      </c>
      <c r="Q825" s="23" t="e">
        <f>_xlfn.XLOOKUP(Tabla1[[#This Row],[Ean Normalizado]],Consumos!A:A,Consumos!E:E)</f>
        <v>#VALUE!</v>
      </c>
      <c r="R825" s="22" t="e">
        <f>_xlfn.XLOOKUP(Tabla1[[#This Row],[Ean Normalizado]],tabla_consumos[EAN],tabla_consumos[UM])</f>
        <v>#VALUE!</v>
      </c>
      <c r="S825" s="22" t="e">
        <f>Tabla1[[#This Row],[StockDisp]]*Tabla1[[#This Row],[UM producto]]</f>
        <v>#VALUE!</v>
      </c>
    </row>
    <row r="826" spans="1:19" x14ac:dyDescent="0.35">
      <c r="A826" s="5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6"/>
      <c r="P826" s="23" t="e">
        <f>TRIM(Tabla1[[#This Row],[Articulo]])</f>
        <v>#VALUE!</v>
      </c>
      <c r="Q826" s="23" t="e">
        <f>_xlfn.XLOOKUP(Tabla1[[#This Row],[Ean Normalizado]],Consumos!A:A,Consumos!E:E)</f>
        <v>#VALUE!</v>
      </c>
      <c r="R826" s="22" t="e">
        <f>_xlfn.XLOOKUP(Tabla1[[#This Row],[Ean Normalizado]],tabla_consumos[EAN],tabla_consumos[UM])</f>
        <v>#VALUE!</v>
      </c>
      <c r="S826" s="22" t="e">
        <f>Tabla1[[#This Row],[StockDisp]]*Tabla1[[#This Row],[UM producto]]</f>
        <v>#VALUE!</v>
      </c>
    </row>
    <row r="827" spans="1:19" x14ac:dyDescent="0.35">
      <c r="A827" s="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6"/>
      <c r="P827" s="23" t="e">
        <f>TRIM(Tabla1[[#This Row],[Articulo]])</f>
        <v>#VALUE!</v>
      </c>
      <c r="Q827" s="23" t="e">
        <f>_xlfn.XLOOKUP(Tabla1[[#This Row],[Ean Normalizado]],Consumos!A:A,Consumos!E:E)</f>
        <v>#VALUE!</v>
      </c>
      <c r="R827" s="22" t="e">
        <f>_xlfn.XLOOKUP(Tabla1[[#This Row],[Ean Normalizado]],tabla_consumos[EAN],tabla_consumos[UM])</f>
        <v>#VALUE!</v>
      </c>
      <c r="S827" s="22" t="e">
        <f>Tabla1[[#This Row],[StockDisp]]*Tabla1[[#This Row],[UM producto]]</f>
        <v>#VALUE!</v>
      </c>
    </row>
    <row r="828" spans="1:19" x14ac:dyDescent="0.35">
      <c r="A828" s="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6"/>
      <c r="P828" s="23" t="e">
        <f>TRIM(Tabla1[[#This Row],[Articulo]])</f>
        <v>#VALUE!</v>
      </c>
      <c r="Q828" s="23" t="e">
        <f>_xlfn.XLOOKUP(Tabla1[[#This Row],[Ean Normalizado]],Consumos!A:A,Consumos!E:E)</f>
        <v>#VALUE!</v>
      </c>
      <c r="R828" s="22" t="e">
        <f>_xlfn.XLOOKUP(Tabla1[[#This Row],[Ean Normalizado]],tabla_consumos[EAN],tabla_consumos[UM])</f>
        <v>#VALUE!</v>
      </c>
      <c r="S828" s="22" t="e">
        <f>Tabla1[[#This Row],[StockDisp]]*Tabla1[[#This Row],[UM producto]]</f>
        <v>#VALUE!</v>
      </c>
    </row>
    <row r="829" spans="1:19" x14ac:dyDescent="0.35">
      <c r="A829" s="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6"/>
      <c r="P829" s="23" t="e">
        <f>TRIM(Tabla1[[#This Row],[Articulo]])</f>
        <v>#VALUE!</v>
      </c>
      <c r="Q829" s="23" t="e">
        <f>_xlfn.XLOOKUP(Tabla1[[#This Row],[Ean Normalizado]],Consumos!A:A,Consumos!E:E)</f>
        <v>#VALUE!</v>
      </c>
      <c r="R829" s="22" t="e">
        <f>_xlfn.XLOOKUP(Tabla1[[#This Row],[Ean Normalizado]],tabla_consumos[EAN],tabla_consumos[UM])</f>
        <v>#VALUE!</v>
      </c>
      <c r="S829" s="22" t="e">
        <f>Tabla1[[#This Row],[StockDisp]]*Tabla1[[#This Row],[UM producto]]</f>
        <v>#VALUE!</v>
      </c>
    </row>
    <row r="830" spans="1:19" x14ac:dyDescent="0.35">
      <c r="A830" s="5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6"/>
      <c r="P830" s="23" t="e">
        <f>TRIM(Tabla1[[#This Row],[Articulo]])</f>
        <v>#VALUE!</v>
      </c>
      <c r="Q830" s="23" t="e">
        <f>_xlfn.XLOOKUP(Tabla1[[#This Row],[Ean Normalizado]],Consumos!A:A,Consumos!E:E)</f>
        <v>#VALUE!</v>
      </c>
      <c r="R830" s="22" t="e">
        <f>_xlfn.XLOOKUP(Tabla1[[#This Row],[Ean Normalizado]],tabla_consumos[EAN],tabla_consumos[UM])</f>
        <v>#VALUE!</v>
      </c>
      <c r="S830" s="22" t="e">
        <f>Tabla1[[#This Row],[StockDisp]]*Tabla1[[#This Row],[UM producto]]</f>
        <v>#VALUE!</v>
      </c>
    </row>
    <row r="831" spans="1:19" x14ac:dyDescent="0.35">
      <c r="A831" s="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6"/>
      <c r="P831" s="23" t="e">
        <f>TRIM(Tabla1[[#This Row],[Articulo]])</f>
        <v>#VALUE!</v>
      </c>
      <c r="Q831" s="23" t="e">
        <f>_xlfn.XLOOKUP(Tabla1[[#This Row],[Ean Normalizado]],Consumos!A:A,Consumos!E:E)</f>
        <v>#VALUE!</v>
      </c>
      <c r="R831" s="22" t="e">
        <f>_xlfn.XLOOKUP(Tabla1[[#This Row],[Ean Normalizado]],tabla_consumos[EAN],tabla_consumos[UM])</f>
        <v>#VALUE!</v>
      </c>
      <c r="S831" s="22" t="e">
        <f>Tabla1[[#This Row],[StockDisp]]*Tabla1[[#This Row],[UM producto]]</f>
        <v>#VALUE!</v>
      </c>
    </row>
    <row r="832" spans="1:19" x14ac:dyDescent="0.35">
      <c r="A832" s="5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6"/>
      <c r="P832" s="23" t="e">
        <f>TRIM(Tabla1[[#This Row],[Articulo]])</f>
        <v>#VALUE!</v>
      </c>
      <c r="Q832" s="23" t="e">
        <f>_xlfn.XLOOKUP(Tabla1[[#This Row],[Ean Normalizado]],Consumos!A:A,Consumos!E:E)</f>
        <v>#VALUE!</v>
      </c>
      <c r="R832" s="22" t="e">
        <f>_xlfn.XLOOKUP(Tabla1[[#This Row],[Ean Normalizado]],tabla_consumos[EAN],tabla_consumos[UM])</f>
        <v>#VALUE!</v>
      </c>
      <c r="S832" s="22" t="e">
        <f>Tabla1[[#This Row],[StockDisp]]*Tabla1[[#This Row],[UM producto]]</f>
        <v>#VALUE!</v>
      </c>
    </row>
    <row r="833" spans="1:19" x14ac:dyDescent="0.35">
      <c r="A833" s="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6"/>
      <c r="P833" s="23" t="e">
        <f>TRIM(Tabla1[[#This Row],[Articulo]])</f>
        <v>#VALUE!</v>
      </c>
      <c r="Q833" s="23" t="e">
        <f>_xlfn.XLOOKUP(Tabla1[[#This Row],[Ean Normalizado]],Consumos!A:A,Consumos!E:E)</f>
        <v>#VALUE!</v>
      </c>
      <c r="R833" s="22" t="e">
        <f>_xlfn.XLOOKUP(Tabla1[[#This Row],[Ean Normalizado]],tabla_consumos[EAN],tabla_consumos[UM])</f>
        <v>#VALUE!</v>
      </c>
      <c r="S833" s="22" t="e">
        <f>Tabla1[[#This Row],[StockDisp]]*Tabla1[[#This Row],[UM producto]]</f>
        <v>#VALUE!</v>
      </c>
    </row>
    <row r="834" spans="1:19" x14ac:dyDescent="0.35">
      <c r="A834" s="5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6"/>
      <c r="P834" s="23" t="e">
        <f>TRIM(Tabla1[[#This Row],[Articulo]])</f>
        <v>#VALUE!</v>
      </c>
      <c r="Q834" s="23" t="e">
        <f>_xlfn.XLOOKUP(Tabla1[[#This Row],[Ean Normalizado]],Consumos!A:A,Consumos!E:E)</f>
        <v>#VALUE!</v>
      </c>
      <c r="R834" s="22" t="e">
        <f>_xlfn.XLOOKUP(Tabla1[[#This Row],[Ean Normalizado]],tabla_consumos[EAN],tabla_consumos[UM])</f>
        <v>#VALUE!</v>
      </c>
      <c r="S834" s="22" t="e">
        <f>Tabla1[[#This Row],[StockDisp]]*Tabla1[[#This Row],[UM producto]]</f>
        <v>#VALUE!</v>
      </c>
    </row>
    <row r="835" spans="1:19" x14ac:dyDescent="0.35">
      <c r="A835" s="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6"/>
      <c r="P835" s="23" t="e">
        <f>TRIM(Tabla1[[#This Row],[Articulo]])</f>
        <v>#VALUE!</v>
      </c>
      <c r="Q835" s="23" t="e">
        <f>_xlfn.XLOOKUP(Tabla1[[#This Row],[Ean Normalizado]],Consumos!A:A,Consumos!E:E)</f>
        <v>#VALUE!</v>
      </c>
      <c r="R835" s="22" t="e">
        <f>_xlfn.XLOOKUP(Tabla1[[#This Row],[Ean Normalizado]],tabla_consumos[EAN],tabla_consumos[UM])</f>
        <v>#VALUE!</v>
      </c>
      <c r="S835" s="22" t="e">
        <f>Tabla1[[#This Row],[StockDisp]]*Tabla1[[#This Row],[UM producto]]</f>
        <v>#VALUE!</v>
      </c>
    </row>
    <row r="836" spans="1:19" x14ac:dyDescent="0.35">
      <c r="A836" s="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6"/>
      <c r="P836" s="23" t="e">
        <f>TRIM(Tabla1[[#This Row],[Articulo]])</f>
        <v>#VALUE!</v>
      </c>
      <c r="Q836" s="23" t="e">
        <f>_xlfn.XLOOKUP(Tabla1[[#This Row],[Ean Normalizado]],Consumos!A:A,Consumos!E:E)</f>
        <v>#VALUE!</v>
      </c>
      <c r="R836" s="22" t="e">
        <f>_xlfn.XLOOKUP(Tabla1[[#This Row],[Ean Normalizado]],tabla_consumos[EAN],tabla_consumos[UM])</f>
        <v>#VALUE!</v>
      </c>
      <c r="S836" s="22" t="e">
        <f>Tabla1[[#This Row],[StockDisp]]*Tabla1[[#This Row],[UM producto]]</f>
        <v>#VALUE!</v>
      </c>
    </row>
    <row r="837" spans="1:19" x14ac:dyDescent="0.35">
      <c r="A837" s="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6"/>
      <c r="P837" s="23" t="e">
        <f>TRIM(Tabla1[[#This Row],[Articulo]])</f>
        <v>#VALUE!</v>
      </c>
      <c r="Q837" s="23" t="e">
        <f>_xlfn.XLOOKUP(Tabla1[[#This Row],[Ean Normalizado]],Consumos!A:A,Consumos!E:E)</f>
        <v>#VALUE!</v>
      </c>
      <c r="R837" s="22" t="e">
        <f>_xlfn.XLOOKUP(Tabla1[[#This Row],[Ean Normalizado]],tabla_consumos[EAN],tabla_consumos[UM])</f>
        <v>#VALUE!</v>
      </c>
      <c r="S837" s="22" t="e">
        <f>Tabla1[[#This Row],[StockDisp]]*Tabla1[[#This Row],[UM producto]]</f>
        <v>#VALUE!</v>
      </c>
    </row>
    <row r="838" spans="1:19" x14ac:dyDescent="0.35">
      <c r="A838" s="5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6"/>
      <c r="P838" s="23" t="e">
        <f>TRIM(Tabla1[[#This Row],[Articulo]])</f>
        <v>#VALUE!</v>
      </c>
      <c r="Q838" s="23" t="e">
        <f>_xlfn.XLOOKUP(Tabla1[[#This Row],[Ean Normalizado]],Consumos!A:A,Consumos!E:E)</f>
        <v>#VALUE!</v>
      </c>
      <c r="R838" s="22" t="e">
        <f>_xlfn.XLOOKUP(Tabla1[[#This Row],[Ean Normalizado]],tabla_consumos[EAN],tabla_consumos[UM])</f>
        <v>#VALUE!</v>
      </c>
      <c r="S838" s="22" t="e">
        <f>Tabla1[[#This Row],[StockDisp]]*Tabla1[[#This Row],[UM producto]]</f>
        <v>#VALUE!</v>
      </c>
    </row>
    <row r="839" spans="1:19" x14ac:dyDescent="0.35">
      <c r="A839" s="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6"/>
      <c r="P839" s="23" t="e">
        <f>TRIM(Tabla1[[#This Row],[Articulo]])</f>
        <v>#VALUE!</v>
      </c>
      <c r="Q839" s="23" t="e">
        <f>_xlfn.XLOOKUP(Tabla1[[#This Row],[Ean Normalizado]],Consumos!A:A,Consumos!E:E)</f>
        <v>#VALUE!</v>
      </c>
      <c r="R839" s="22" t="e">
        <f>_xlfn.XLOOKUP(Tabla1[[#This Row],[Ean Normalizado]],tabla_consumos[EAN],tabla_consumos[UM])</f>
        <v>#VALUE!</v>
      </c>
      <c r="S839" s="22" t="e">
        <f>Tabla1[[#This Row],[StockDisp]]*Tabla1[[#This Row],[UM producto]]</f>
        <v>#VALUE!</v>
      </c>
    </row>
    <row r="840" spans="1:19" x14ac:dyDescent="0.35">
      <c r="A840" s="5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6"/>
      <c r="P840" s="23" t="e">
        <f>TRIM(Tabla1[[#This Row],[Articulo]])</f>
        <v>#VALUE!</v>
      </c>
      <c r="Q840" s="23" t="e">
        <f>_xlfn.XLOOKUP(Tabla1[[#This Row],[Ean Normalizado]],Consumos!A:A,Consumos!E:E)</f>
        <v>#VALUE!</v>
      </c>
      <c r="R840" s="22" t="e">
        <f>_xlfn.XLOOKUP(Tabla1[[#This Row],[Ean Normalizado]],tabla_consumos[EAN],tabla_consumos[UM])</f>
        <v>#VALUE!</v>
      </c>
      <c r="S840" s="22" t="e">
        <f>Tabla1[[#This Row],[StockDisp]]*Tabla1[[#This Row],[UM producto]]</f>
        <v>#VALUE!</v>
      </c>
    </row>
    <row r="841" spans="1:19" x14ac:dyDescent="0.35">
      <c r="A841" s="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6"/>
      <c r="P841" s="23" t="e">
        <f>TRIM(Tabla1[[#This Row],[Articulo]])</f>
        <v>#VALUE!</v>
      </c>
      <c r="Q841" s="23" t="e">
        <f>_xlfn.XLOOKUP(Tabla1[[#This Row],[Ean Normalizado]],Consumos!A:A,Consumos!E:E)</f>
        <v>#VALUE!</v>
      </c>
      <c r="R841" s="22" t="e">
        <f>_xlfn.XLOOKUP(Tabla1[[#This Row],[Ean Normalizado]],tabla_consumos[EAN],tabla_consumos[UM])</f>
        <v>#VALUE!</v>
      </c>
      <c r="S841" s="22" t="e">
        <f>Tabla1[[#This Row],[StockDisp]]*Tabla1[[#This Row],[UM producto]]</f>
        <v>#VALUE!</v>
      </c>
    </row>
    <row r="842" spans="1:19" x14ac:dyDescent="0.35">
      <c r="A842" s="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6"/>
      <c r="P842" s="23" t="e">
        <f>TRIM(Tabla1[[#This Row],[Articulo]])</f>
        <v>#VALUE!</v>
      </c>
      <c r="Q842" s="23" t="e">
        <f>_xlfn.XLOOKUP(Tabla1[[#This Row],[Ean Normalizado]],Consumos!A:A,Consumos!E:E)</f>
        <v>#VALUE!</v>
      </c>
      <c r="R842" s="22" t="e">
        <f>_xlfn.XLOOKUP(Tabla1[[#This Row],[Ean Normalizado]],tabla_consumos[EAN],tabla_consumos[UM])</f>
        <v>#VALUE!</v>
      </c>
      <c r="S842" s="22" t="e">
        <f>Tabla1[[#This Row],[StockDisp]]*Tabla1[[#This Row],[UM producto]]</f>
        <v>#VALUE!</v>
      </c>
    </row>
    <row r="843" spans="1:19" x14ac:dyDescent="0.35">
      <c r="A843" s="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6"/>
      <c r="P843" s="23" t="e">
        <f>TRIM(Tabla1[[#This Row],[Articulo]])</f>
        <v>#VALUE!</v>
      </c>
      <c r="Q843" s="23" t="e">
        <f>_xlfn.XLOOKUP(Tabla1[[#This Row],[Ean Normalizado]],Consumos!A:A,Consumos!E:E)</f>
        <v>#VALUE!</v>
      </c>
      <c r="R843" s="22" t="e">
        <f>_xlfn.XLOOKUP(Tabla1[[#This Row],[Ean Normalizado]],tabla_consumos[EAN],tabla_consumos[UM])</f>
        <v>#VALUE!</v>
      </c>
      <c r="S843" s="22" t="e">
        <f>Tabla1[[#This Row],[StockDisp]]*Tabla1[[#This Row],[UM producto]]</f>
        <v>#VALUE!</v>
      </c>
    </row>
    <row r="844" spans="1:19" x14ac:dyDescent="0.35">
      <c r="A844" s="5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6"/>
      <c r="P844" s="23" t="e">
        <f>TRIM(Tabla1[[#This Row],[Articulo]])</f>
        <v>#VALUE!</v>
      </c>
      <c r="Q844" s="23" t="e">
        <f>_xlfn.XLOOKUP(Tabla1[[#This Row],[Ean Normalizado]],Consumos!A:A,Consumos!E:E)</f>
        <v>#VALUE!</v>
      </c>
      <c r="R844" s="22" t="e">
        <f>_xlfn.XLOOKUP(Tabla1[[#This Row],[Ean Normalizado]],tabla_consumos[EAN],tabla_consumos[UM])</f>
        <v>#VALUE!</v>
      </c>
      <c r="S844" s="22" t="e">
        <f>Tabla1[[#This Row],[StockDisp]]*Tabla1[[#This Row],[UM producto]]</f>
        <v>#VALUE!</v>
      </c>
    </row>
    <row r="845" spans="1:19" x14ac:dyDescent="0.35">
      <c r="A845" s="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6"/>
      <c r="P845" s="23" t="e">
        <f>TRIM(Tabla1[[#This Row],[Articulo]])</f>
        <v>#VALUE!</v>
      </c>
      <c r="Q845" s="23" t="e">
        <f>_xlfn.XLOOKUP(Tabla1[[#This Row],[Ean Normalizado]],Consumos!A:A,Consumos!E:E)</f>
        <v>#VALUE!</v>
      </c>
      <c r="R845" s="22" t="e">
        <f>_xlfn.XLOOKUP(Tabla1[[#This Row],[Ean Normalizado]],tabla_consumos[EAN],tabla_consumos[UM])</f>
        <v>#VALUE!</v>
      </c>
      <c r="S845" s="22" t="e">
        <f>Tabla1[[#This Row],[StockDisp]]*Tabla1[[#This Row],[UM producto]]</f>
        <v>#VALUE!</v>
      </c>
    </row>
    <row r="846" spans="1:19" x14ac:dyDescent="0.35">
      <c r="A846" s="5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6"/>
      <c r="P846" s="23" t="e">
        <f>TRIM(Tabla1[[#This Row],[Articulo]])</f>
        <v>#VALUE!</v>
      </c>
      <c r="Q846" s="23" t="e">
        <f>_xlfn.XLOOKUP(Tabla1[[#This Row],[Ean Normalizado]],Consumos!A:A,Consumos!E:E)</f>
        <v>#VALUE!</v>
      </c>
      <c r="R846" s="22" t="e">
        <f>_xlfn.XLOOKUP(Tabla1[[#This Row],[Ean Normalizado]],tabla_consumos[EAN],tabla_consumos[UM])</f>
        <v>#VALUE!</v>
      </c>
      <c r="S846" s="22" t="e">
        <f>Tabla1[[#This Row],[StockDisp]]*Tabla1[[#This Row],[UM producto]]</f>
        <v>#VALUE!</v>
      </c>
    </row>
    <row r="847" spans="1:19" x14ac:dyDescent="0.35">
      <c r="A847" s="5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6"/>
      <c r="P847" s="23" t="e">
        <f>TRIM(Tabla1[[#This Row],[Articulo]])</f>
        <v>#VALUE!</v>
      </c>
      <c r="Q847" s="23" t="e">
        <f>_xlfn.XLOOKUP(Tabla1[[#This Row],[Ean Normalizado]],Consumos!A:A,Consumos!E:E)</f>
        <v>#VALUE!</v>
      </c>
      <c r="R847" s="22" t="e">
        <f>_xlfn.XLOOKUP(Tabla1[[#This Row],[Ean Normalizado]],tabla_consumos[EAN],tabla_consumos[UM])</f>
        <v>#VALUE!</v>
      </c>
      <c r="S847" s="22" t="e">
        <f>Tabla1[[#This Row],[StockDisp]]*Tabla1[[#This Row],[UM producto]]</f>
        <v>#VALUE!</v>
      </c>
    </row>
    <row r="848" spans="1:19" x14ac:dyDescent="0.35">
      <c r="A848" s="5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6"/>
      <c r="P848" s="23" t="e">
        <f>TRIM(Tabla1[[#This Row],[Articulo]])</f>
        <v>#VALUE!</v>
      </c>
      <c r="Q848" s="23" t="e">
        <f>_xlfn.XLOOKUP(Tabla1[[#This Row],[Ean Normalizado]],Consumos!A:A,Consumos!E:E)</f>
        <v>#VALUE!</v>
      </c>
      <c r="R848" s="22" t="e">
        <f>_xlfn.XLOOKUP(Tabla1[[#This Row],[Ean Normalizado]],tabla_consumos[EAN],tabla_consumos[UM])</f>
        <v>#VALUE!</v>
      </c>
      <c r="S848" s="22" t="e">
        <f>Tabla1[[#This Row],[StockDisp]]*Tabla1[[#This Row],[UM producto]]</f>
        <v>#VALUE!</v>
      </c>
    </row>
    <row r="849" spans="1:19" x14ac:dyDescent="0.35">
      <c r="A849" s="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6"/>
      <c r="P849" s="23" t="e">
        <f>TRIM(Tabla1[[#This Row],[Articulo]])</f>
        <v>#VALUE!</v>
      </c>
      <c r="Q849" s="23" t="e">
        <f>_xlfn.XLOOKUP(Tabla1[[#This Row],[Ean Normalizado]],Consumos!A:A,Consumos!E:E)</f>
        <v>#VALUE!</v>
      </c>
      <c r="R849" s="22" t="e">
        <f>_xlfn.XLOOKUP(Tabla1[[#This Row],[Ean Normalizado]],tabla_consumos[EAN],tabla_consumos[UM])</f>
        <v>#VALUE!</v>
      </c>
      <c r="S849" s="22" t="e">
        <f>Tabla1[[#This Row],[StockDisp]]*Tabla1[[#This Row],[UM producto]]</f>
        <v>#VALUE!</v>
      </c>
    </row>
    <row r="850" spans="1:19" x14ac:dyDescent="0.35">
      <c r="A850" s="5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6"/>
      <c r="P850" s="23" t="e">
        <f>TRIM(Tabla1[[#This Row],[Articulo]])</f>
        <v>#VALUE!</v>
      </c>
      <c r="Q850" s="23" t="e">
        <f>_xlfn.XLOOKUP(Tabla1[[#This Row],[Ean Normalizado]],Consumos!A:A,Consumos!E:E)</f>
        <v>#VALUE!</v>
      </c>
      <c r="R850" s="22" t="e">
        <f>_xlfn.XLOOKUP(Tabla1[[#This Row],[Ean Normalizado]],tabla_consumos[EAN],tabla_consumos[UM])</f>
        <v>#VALUE!</v>
      </c>
      <c r="S850" s="22" t="e">
        <f>Tabla1[[#This Row],[StockDisp]]*Tabla1[[#This Row],[UM producto]]</f>
        <v>#VALUE!</v>
      </c>
    </row>
    <row r="851" spans="1:19" x14ac:dyDescent="0.35">
      <c r="A851" s="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6"/>
      <c r="P851" s="23" t="e">
        <f>TRIM(Tabla1[[#This Row],[Articulo]])</f>
        <v>#VALUE!</v>
      </c>
      <c r="Q851" s="23" t="e">
        <f>_xlfn.XLOOKUP(Tabla1[[#This Row],[Ean Normalizado]],Consumos!A:A,Consumos!E:E)</f>
        <v>#VALUE!</v>
      </c>
      <c r="R851" s="22" t="e">
        <f>_xlfn.XLOOKUP(Tabla1[[#This Row],[Ean Normalizado]],tabla_consumos[EAN],tabla_consumos[UM])</f>
        <v>#VALUE!</v>
      </c>
      <c r="S851" s="22" t="e">
        <f>Tabla1[[#This Row],[StockDisp]]*Tabla1[[#This Row],[UM producto]]</f>
        <v>#VALUE!</v>
      </c>
    </row>
    <row r="852" spans="1:19" x14ac:dyDescent="0.35">
      <c r="A852" s="5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6"/>
      <c r="P852" s="23" t="e">
        <f>TRIM(Tabla1[[#This Row],[Articulo]])</f>
        <v>#VALUE!</v>
      </c>
      <c r="Q852" s="23" t="e">
        <f>_xlfn.XLOOKUP(Tabla1[[#This Row],[Ean Normalizado]],Consumos!A:A,Consumos!E:E)</f>
        <v>#VALUE!</v>
      </c>
      <c r="R852" s="22" t="e">
        <f>_xlfn.XLOOKUP(Tabla1[[#This Row],[Ean Normalizado]],tabla_consumos[EAN],tabla_consumos[UM])</f>
        <v>#VALUE!</v>
      </c>
      <c r="S852" s="22" t="e">
        <f>Tabla1[[#This Row],[StockDisp]]*Tabla1[[#This Row],[UM producto]]</f>
        <v>#VALUE!</v>
      </c>
    </row>
    <row r="853" spans="1:19" x14ac:dyDescent="0.35">
      <c r="A853" s="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6"/>
      <c r="P853" s="23" t="e">
        <f>TRIM(Tabla1[[#This Row],[Articulo]])</f>
        <v>#VALUE!</v>
      </c>
      <c r="Q853" s="23" t="e">
        <f>_xlfn.XLOOKUP(Tabla1[[#This Row],[Ean Normalizado]],Consumos!A:A,Consumos!E:E)</f>
        <v>#VALUE!</v>
      </c>
      <c r="R853" s="22" t="e">
        <f>_xlfn.XLOOKUP(Tabla1[[#This Row],[Ean Normalizado]],tabla_consumos[EAN],tabla_consumos[UM])</f>
        <v>#VALUE!</v>
      </c>
      <c r="S853" s="22" t="e">
        <f>Tabla1[[#This Row],[StockDisp]]*Tabla1[[#This Row],[UM producto]]</f>
        <v>#VALUE!</v>
      </c>
    </row>
    <row r="854" spans="1:19" x14ac:dyDescent="0.35">
      <c r="A854" s="5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6"/>
      <c r="P854" s="23" t="e">
        <f>TRIM(Tabla1[[#This Row],[Articulo]])</f>
        <v>#VALUE!</v>
      </c>
      <c r="Q854" s="23" t="e">
        <f>_xlfn.XLOOKUP(Tabla1[[#This Row],[Ean Normalizado]],Consumos!A:A,Consumos!E:E)</f>
        <v>#VALUE!</v>
      </c>
      <c r="R854" s="22" t="e">
        <f>_xlfn.XLOOKUP(Tabla1[[#This Row],[Ean Normalizado]],tabla_consumos[EAN],tabla_consumos[UM])</f>
        <v>#VALUE!</v>
      </c>
      <c r="S854" s="22" t="e">
        <f>Tabla1[[#This Row],[StockDisp]]*Tabla1[[#This Row],[UM producto]]</f>
        <v>#VALUE!</v>
      </c>
    </row>
    <row r="855" spans="1:19" x14ac:dyDescent="0.35">
      <c r="A855" s="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6"/>
      <c r="P855" s="23" t="e">
        <f>TRIM(Tabla1[[#This Row],[Articulo]])</f>
        <v>#VALUE!</v>
      </c>
      <c r="Q855" s="23" t="e">
        <f>_xlfn.XLOOKUP(Tabla1[[#This Row],[Ean Normalizado]],Consumos!A:A,Consumos!E:E)</f>
        <v>#VALUE!</v>
      </c>
      <c r="R855" s="22" t="e">
        <f>_xlfn.XLOOKUP(Tabla1[[#This Row],[Ean Normalizado]],tabla_consumos[EAN],tabla_consumos[UM])</f>
        <v>#VALUE!</v>
      </c>
      <c r="S855" s="22" t="e">
        <f>Tabla1[[#This Row],[StockDisp]]*Tabla1[[#This Row],[UM producto]]</f>
        <v>#VALUE!</v>
      </c>
    </row>
    <row r="856" spans="1:19" x14ac:dyDescent="0.35">
      <c r="A856" s="5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6"/>
      <c r="P856" s="23" t="e">
        <f>TRIM(Tabla1[[#This Row],[Articulo]])</f>
        <v>#VALUE!</v>
      </c>
      <c r="Q856" s="23" t="e">
        <f>_xlfn.XLOOKUP(Tabla1[[#This Row],[Ean Normalizado]],Consumos!A:A,Consumos!E:E)</f>
        <v>#VALUE!</v>
      </c>
      <c r="R856" s="22" t="e">
        <f>_xlfn.XLOOKUP(Tabla1[[#This Row],[Ean Normalizado]],tabla_consumos[EAN],tabla_consumos[UM])</f>
        <v>#VALUE!</v>
      </c>
      <c r="S856" s="22" t="e">
        <f>Tabla1[[#This Row],[StockDisp]]*Tabla1[[#This Row],[UM producto]]</f>
        <v>#VALUE!</v>
      </c>
    </row>
    <row r="857" spans="1:19" x14ac:dyDescent="0.35">
      <c r="A857" s="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6"/>
      <c r="P857" s="23" t="e">
        <f>TRIM(Tabla1[[#This Row],[Articulo]])</f>
        <v>#VALUE!</v>
      </c>
      <c r="Q857" s="23" t="e">
        <f>_xlfn.XLOOKUP(Tabla1[[#This Row],[Ean Normalizado]],Consumos!A:A,Consumos!E:E)</f>
        <v>#VALUE!</v>
      </c>
      <c r="R857" s="22" t="e">
        <f>_xlfn.XLOOKUP(Tabla1[[#This Row],[Ean Normalizado]],tabla_consumos[EAN],tabla_consumos[UM])</f>
        <v>#VALUE!</v>
      </c>
      <c r="S857" s="22" t="e">
        <f>Tabla1[[#This Row],[StockDisp]]*Tabla1[[#This Row],[UM producto]]</f>
        <v>#VALUE!</v>
      </c>
    </row>
    <row r="858" spans="1:19" x14ac:dyDescent="0.35">
      <c r="A858" s="5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6"/>
      <c r="P858" s="23" t="e">
        <f>TRIM(Tabla1[[#This Row],[Articulo]])</f>
        <v>#VALUE!</v>
      </c>
      <c r="Q858" s="23" t="e">
        <f>_xlfn.XLOOKUP(Tabla1[[#This Row],[Ean Normalizado]],Consumos!A:A,Consumos!E:E)</f>
        <v>#VALUE!</v>
      </c>
      <c r="R858" s="22" t="e">
        <f>_xlfn.XLOOKUP(Tabla1[[#This Row],[Ean Normalizado]],tabla_consumos[EAN],tabla_consumos[UM])</f>
        <v>#VALUE!</v>
      </c>
      <c r="S858" s="22" t="e">
        <f>Tabla1[[#This Row],[StockDisp]]*Tabla1[[#This Row],[UM producto]]</f>
        <v>#VALUE!</v>
      </c>
    </row>
    <row r="859" spans="1:19" x14ac:dyDescent="0.35">
      <c r="A859" s="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6"/>
      <c r="P859" s="23" t="e">
        <f>TRIM(Tabla1[[#This Row],[Articulo]])</f>
        <v>#VALUE!</v>
      </c>
      <c r="Q859" s="23" t="e">
        <f>_xlfn.XLOOKUP(Tabla1[[#This Row],[Ean Normalizado]],Consumos!A:A,Consumos!E:E)</f>
        <v>#VALUE!</v>
      </c>
      <c r="R859" s="22" t="e">
        <f>_xlfn.XLOOKUP(Tabla1[[#This Row],[Ean Normalizado]],tabla_consumos[EAN],tabla_consumos[UM])</f>
        <v>#VALUE!</v>
      </c>
      <c r="S859" s="22" t="e">
        <f>Tabla1[[#This Row],[StockDisp]]*Tabla1[[#This Row],[UM producto]]</f>
        <v>#VALUE!</v>
      </c>
    </row>
    <row r="860" spans="1:19" x14ac:dyDescent="0.35">
      <c r="A860" s="5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6"/>
      <c r="P860" s="23" t="e">
        <f>TRIM(Tabla1[[#This Row],[Articulo]])</f>
        <v>#VALUE!</v>
      </c>
      <c r="Q860" s="23" t="e">
        <f>_xlfn.XLOOKUP(Tabla1[[#This Row],[Ean Normalizado]],Consumos!A:A,Consumos!E:E)</f>
        <v>#VALUE!</v>
      </c>
      <c r="R860" s="22" t="e">
        <f>_xlfn.XLOOKUP(Tabla1[[#This Row],[Ean Normalizado]],tabla_consumos[EAN],tabla_consumos[UM])</f>
        <v>#VALUE!</v>
      </c>
      <c r="S860" s="22" t="e">
        <f>Tabla1[[#This Row],[StockDisp]]*Tabla1[[#This Row],[UM producto]]</f>
        <v>#VALUE!</v>
      </c>
    </row>
    <row r="861" spans="1:19" x14ac:dyDescent="0.35">
      <c r="A861" s="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6"/>
      <c r="P861" s="23" t="e">
        <f>TRIM(Tabla1[[#This Row],[Articulo]])</f>
        <v>#VALUE!</v>
      </c>
      <c r="Q861" s="23" t="e">
        <f>_xlfn.XLOOKUP(Tabla1[[#This Row],[Ean Normalizado]],Consumos!A:A,Consumos!E:E)</f>
        <v>#VALUE!</v>
      </c>
      <c r="R861" s="22" t="e">
        <f>_xlfn.XLOOKUP(Tabla1[[#This Row],[Ean Normalizado]],tabla_consumos[EAN],tabla_consumos[UM])</f>
        <v>#VALUE!</v>
      </c>
      <c r="S861" s="22" t="e">
        <f>Tabla1[[#This Row],[StockDisp]]*Tabla1[[#This Row],[UM producto]]</f>
        <v>#VALUE!</v>
      </c>
    </row>
    <row r="862" spans="1:19" x14ac:dyDescent="0.35">
      <c r="A862" s="5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6"/>
      <c r="P862" s="23" t="e">
        <f>TRIM(Tabla1[[#This Row],[Articulo]])</f>
        <v>#VALUE!</v>
      </c>
      <c r="Q862" s="23" t="e">
        <f>_xlfn.XLOOKUP(Tabla1[[#This Row],[Ean Normalizado]],Consumos!A:A,Consumos!E:E)</f>
        <v>#VALUE!</v>
      </c>
      <c r="R862" s="22" t="e">
        <f>_xlfn.XLOOKUP(Tabla1[[#This Row],[Ean Normalizado]],tabla_consumos[EAN],tabla_consumos[UM])</f>
        <v>#VALUE!</v>
      </c>
      <c r="S862" s="22" t="e">
        <f>Tabla1[[#This Row],[StockDisp]]*Tabla1[[#This Row],[UM producto]]</f>
        <v>#VALUE!</v>
      </c>
    </row>
    <row r="863" spans="1:19" x14ac:dyDescent="0.35">
      <c r="A863" s="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6"/>
      <c r="P863" s="23" t="e">
        <f>TRIM(Tabla1[[#This Row],[Articulo]])</f>
        <v>#VALUE!</v>
      </c>
      <c r="Q863" s="23" t="e">
        <f>_xlfn.XLOOKUP(Tabla1[[#This Row],[Ean Normalizado]],Consumos!A:A,Consumos!E:E)</f>
        <v>#VALUE!</v>
      </c>
      <c r="R863" s="22" t="e">
        <f>_xlfn.XLOOKUP(Tabla1[[#This Row],[Ean Normalizado]],tabla_consumos[EAN],tabla_consumos[UM])</f>
        <v>#VALUE!</v>
      </c>
      <c r="S863" s="22" t="e">
        <f>Tabla1[[#This Row],[StockDisp]]*Tabla1[[#This Row],[UM producto]]</f>
        <v>#VALUE!</v>
      </c>
    </row>
    <row r="864" spans="1:19" x14ac:dyDescent="0.35">
      <c r="A864" s="5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6"/>
      <c r="P864" s="23" t="e">
        <f>TRIM(Tabla1[[#This Row],[Articulo]])</f>
        <v>#VALUE!</v>
      </c>
      <c r="Q864" s="23" t="e">
        <f>_xlfn.XLOOKUP(Tabla1[[#This Row],[Ean Normalizado]],Consumos!A:A,Consumos!E:E)</f>
        <v>#VALUE!</v>
      </c>
      <c r="R864" s="22" t="e">
        <f>_xlfn.XLOOKUP(Tabla1[[#This Row],[Ean Normalizado]],tabla_consumos[EAN],tabla_consumos[UM])</f>
        <v>#VALUE!</v>
      </c>
      <c r="S864" s="22" t="e">
        <f>Tabla1[[#This Row],[StockDisp]]*Tabla1[[#This Row],[UM producto]]</f>
        <v>#VALUE!</v>
      </c>
    </row>
    <row r="865" spans="1:19" x14ac:dyDescent="0.35">
      <c r="A865" s="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6"/>
      <c r="P865" s="23" t="e">
        <f>TRIM(Tabla1[[#This Row],[Articulo]])</f>
        <v>#VALUE!</v>
      </c>
      <c r="Q865" s="23" t="e">
        <f>_xlfn.XLOOKUP(Tabla1[[#This Row],[Ean Normalizado]],Consumos!A:A,Consumos!E:E)</f>
        <v>#VALUE!</v>
      </c>
      <c r="R865" s="22" t="e">
        <f>_xlfn.XLOOKUP(Tabla1[[#This Row],[Ean Normalizado]],tabla_consumos[EAN],tabla_consumos[UM])</f>
        <v>#VALUE!</v>
      </c>
      <c r="S865" s="22" t="e">
        <f>Tabla1[[#This Row],[StockDisp]]*Tabla1[[#This Row],[UM producto]]</f>
        <v>#VALUE!</v>
      </c>
    </row>
    <row r="866" spans="1:19" x14ac:dyDescent="0.35">
      <c r="A866" s="5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6"/>
      <c r="P866" s="23" t="e">
        <f>TRIM(Tabla1[[#This Row],[Articulo]])</f>
        <v>#VALUE!</v>
      </c>
      <c r="Q866" s="23" t="e">
        <f>_xlfn.XLOOKUP(Tabla1[[#This Row],[Ean Normalizado]],Consumos!A:A,Consumos!E:E)</f>
        <v>#VALUE!</v>
      </c>
      <c r="R866" s="22" t="e">
        <f>_xlfn.XLOOKUP(Tabla1[[#This Row],[Ean Normalizado]],tabla_consumos[EAN],tabla_consumos[UM])</f>
        <v>#VALUE!</v>
      </c>
      <c r="S866" s="22" t="e">
        <f>Tabla1[[#This Row],[StockDisp]]*Tabla1[[#This Row],[UM producto]]</f>
        <v>#VALUE!</v>
      </c>
    </row>
    <row r="867" spans="1:19" x14ac:dyDescent="0.35">
      <c r="A867" s="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6"/>
      <c r="P867" s="23" t="e">
        <f>TRIM(Tabla1[[#This Row],[Articulo]])</f>
        <v>#VALUE!</v>
      </c>
      <c r="Q867" s="23" t="e">
        <f>_xlfn.XLOOKUP(Tabla1[[#This Row],[Ean Normalizado]],Consumos!A:A,Consumos!E:E)</f>
        <v>#VALUE!</v>
      </c>
      <c r="R867" s="22" t="e">
        <f>_xlfn.XLOOKUP(Tabla1[[#This Row],[Ean Normalizado]],tabla_consumos[EAN],tabla_consumos[UM])</f>
        <v>#VALUE!</v>
      </c>
      <c r="S867" s="22" t="e">
        <f>Tabla1[[#This Row],[StockDisp]]*Tabla1[[#This Row],[UM producto]]</f>
        <v>#VALUE!</v>
      </c>
    </row>
    <row r="868" spans="1:19" x14ac:dyDescent="0.35">
      <c r="A868" s="5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6"/>
      <c r="P868" s="23" t="e">
        <f>TRIM(Tabla1[[#This Row],[Articulo]])</f>
        <v>#VALUE!</v>
      </c>
      <c r="Q868" s="23" t="e">
        <f>_xlfn.XLOOKUP(Tabla1[[#This Row],[Ean Normalizado]],Consumos!A:A,Consumos!E:E)</f>
        <v>#VALUE!</v>
      </c>
      <c r="R868" s="22" t="e">
        <f>_xlfn.XLOOKUP(Tabla1[[#This Row],[Ean Normalizado]],tabla_consumos[EAN],tabla_consumos[UM])</f>
        <v>#VALUE!</v>
      </c>
      <c r="S868" s="22" t="e">
        <f>Tabla1[[#This Row],[StockDisp]]*Tabla1[[#This Row],[UM producto]]</f>
        <v>#VALUE!</v>
      </c>
    </row>
    <row r="869" spans="1:19" x14ac:dyDescent="0.35">
      <c r="A869" s="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6"/>
      <c r="P869" s="23" t="e">
        <f>TRIM(Tabla1[[#This Row],[Articulo]])</f>
        <v>#VALUE!</v>
      </c>
      <c r="Q869" s="23" t="e">
        <f>_xlfn.XLOOKUP(Tabla1[[#This Row],[Ean Normalizado]],Consumos!A:A,Consumos!E:E)</f>
        <v>#VALUE!</v>
      </c>
      <c r="R869" s="22" t="e">
        <f>_xlfn.XLOOKUP(Tabla1[[#This Row],[Ean Normalizado]],tabla_consumos[EAN],tabla_consumos[UM])</f>
        <v>#VALUE!</v>
      </c>
      <c r="S869" s="22" t="e">
        <f>Tabla1[[#This Row],[StockDisp]]*Tabla1[[#This Row],[UM producto]]</f>
        <v>#VALUE!</v>
      </c>
    </row>
    <row r="870" spans="1:19" x14ac:dyDescent="0.35">
      <c r="A870" s="5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6"/>
      <c r="P870" s="23" t="e">
        <f>TRIM(Tabla1[[#This Row],[Articulo]])</f>
        <v>#VALUE!</v>
      </c>
      <c r="Q870" s="23" t="e">
        <f>_xlfn.XLOOKUP(Tabla1[[#This Row],[Ean Normalizado]],Consumos!A:A,Consumos!E:E)</f>
        <v>#VALUE!</v>
      </c>
      <c r="R870" s="22" t="e">
        <f>_xlfn.XLOOKUP(Tabla1[[#This Row],[Ean Normalizado]],tabla_consumos[EAN],tabla_consumos[UM])</f>
        <v>#VALUE!</v>
      </c>
      <c r="S870" s="22" t="e">
        <f>Tabla1[[#This Row],[StockDisp]]*Tabla1[[#This Row],[UM producto]]</f>
        <v>#VALUE!</v>
      </c>
    </row>
    <row r="871" spans="1:19" x14ac:dyDescent="0.35">
      <c r="A871" s="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6"/>
      <c r="P871" s="23" t="e">
        <f>TRIM(Tabla1[[#This Row],[Articulo]])</f>
        <v>#VALUE!</v>
      </c>
      <c r="Q871" s="23" t="e">
        <f>_xlfn.XLOOKUP(Tabla1[[#This Row],[Ean Normalizado]],Consumos!A:A,Consumos!E:E)</f>
        <v>#VALUE!</v>
      </c>
      <c r="R871" s="22" t="e">
        <f>_xlfn.XLOOKUP(Tabla1[[#This Row],[Ean Normalizado]],tabla_consumos[EAN],tabla_consumos[UM])</f>
        <v>#VALUE!</v>
      </c>
      <c r="S871" s="22" t="e">
        <f>Tabla1[[#This Row],[StockDisp]]*Tabla1[[#This Row],[UM producto]]</f>
        <v>#VALUE!</v>
      </c>
    </row>
    <row r="872" spans="1:19" x14ac:dyDescent="0.35">
      <c r="A872" s="5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6"/>
      <c r="P872" s="23" t="e">
        <f>TRIM(Tabla1[[#This Row],[Articulo]])</f>
        <v>#VALUE!</v>
      </c>
      <c r="Q872" s="23" t="e">
        <f>_xlfn.XLOOKUP(Tabla1[[#This Row],[Ean Normalizado]],Consumos!A:A,Consumos!E:E)</f>
        <v>#VALUE!</v>
      </c>
      <c r="R872" s="22" t="e">
        <f>_xlfn.XLOOKUP(Tabla1[[#This Row],[Ean Normalizado]],tabla_consumos[EAN],tabla_consumos[UM])</f>
        <v>#VALUE!</v>
      </c>
      <c r="S872" s="22" t="e">
        <f>Tabla1[[#This Row],[StockDisp]]*Tabla1[[#This Row],[UM producto]]</f>
        <v>#VALUE!</v>
      </c>
    </row>
    <row r="873" spans="1:19" x14ac:dyDescent="0.35">
      <c r="A873" s="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6"/>
      <c r="P873" s="23" t="e">
        <f>TRIM(Tabla1[[#This Row],[Articulo]])</f>
        <v>#VALUE!</v>
      </c>
      <c r="Q873" s="23" t="e">
        <f>_xlfn.XLOOKUP(Tabla1[[#This Row],[Ean Normalizado]],Consumos!A:A,Consumos!E:E)</f>
        <v>#VALUE!</v>
      </c>
      <c r="R873" s="22" t="e">
        <f>_xlfn.XLOOKUP(Tabla1[[#This Row],[Ean Normalizado]],tabla_consumos[EAN],tabla_consumos[UM])</f>
        <v>#VALUE!</v>
      </c>
      <c r="S873" s="22" t="e">
        <f>Tabla1[[#This Row],[StockDisp]]*Tabla1[[#This Row],[UM producto]]</f>
        <v>#VALUE!</v>
      </c>
    </row>
    <row r="874" spans="1:19" x14ac:dyDescent="0.35">
      <c r="A874" s="5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6"/>
      <c r="P874" s="23" t="e">
        <f>TRIM(Tabla1[[#This Row],[Articulo]])</f>
        <v>#VALUE!</v>
      </c>
      <c r="Q874" s="23" t="e">
        <f>_xlfn.XLOOKUP(Tabla1[[#This Row],[Ean Normalizado]],Consumos!A:A,Consumos!E:E)</f>
        <v>#VALUE!</v>
      </c>
      <c r="R874" s="22" t="e">
        <f>_xlfn.XLOOKUP(Tabla1[[#This Row],[Ean Normalizado]],tabla_consumos[EAN],tabla_consumos[UM])</f>
        <v>#VALUE!</v>
      </c>
      <c r="S874" s="22" t="e">
        <f>Tabla1[[#This Row],[StockDisp]]*Tabla1[[#This Row],[UM producto]]</f>
        <v>#VALUE!</v>
      </c>
    </row>
    <row r="875" spans="1:19" x14ac:dyDescent="0.35">
      <c r="A875" s="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6"/>
      <c r="P875" s="23" t="e">
        <f>TRIM(Tabla1[[#This Row],[Articulo]])</f>
        <v>#VALUE!</v>
      </c>
      <c r="Q875" s="23" t="e">
        <f>_xlfn.XLOOKUP(Tabla1[[#This Row],[Ean Normalizado]],Consumos!A:A,Consumos!E:E)</f>
        <v>#VALUE!</v>
      </c>
      <c r="R875" s="22" t="e">
        <f>_xlfn.XLOOKUP(Tabla1[[#This Row],[Ean Normalizado]],tabla_consumos[EAN],tabla_consumos[UM])</f>
        <v>#VALUE!</v>
      </c>
      <c r="S875" s="22" t="e">
        <f>Tabla1[[#This Row],[StockDisp]]*Tabla1[[#This Row],[UM producto]]</f>
        <v>#VALUE!</v>
      </c>
    </row>
    <row r="876" spans="1:19" x14ac:dyDescent="0.35">
      <c r="A876" s="5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6"/>
      <c r="P876" s="23" t="e">
        <f>TRIM(Tabla1[[#This Row],[Articulo]])</f>
        <v>#VALUE!</v>
      </c>
      <c r="Q876" s="23" t="e">
        <f>_xlfn.XLOOKUP(Tabla1[[#This Row],[Ean Normalizado]],Consumos!A:A,Consumos!E:E)</f>
        <v>#VALUE!</v>
      </c>
      <c r="R876" s="22" t="e">
        <f>_xlfn.XLOOKUP(Tabla1[[#This Row],[Ean Normalizado]],tabla_consumos[EAN],tabla_consumos[UM])</f>
        <v>#VALUE!</v>
      </c>
      <c r="S876" s="22" t="e">
        <f>Tabla1[[#This Row],[StockDisp]]*Tabla1[[#This Row],[UM producto]]</f>
        <v>#VALUE!</v>
      </c>
    </row>
    <row r="877" spans="1:19" x14ac:dyDescent="0.35">
      <c r="A877" s="5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6"/>
      <c r="P877" s="23" t="e">
        <f>TRIM(Tabla1[[#This Row],[Articulo]])</f>
        <v>#VALUE!</v>
      </c>
      <c r="Q877" s="23" t="e">
        <f>_xlfn.XLOOKUP(Tabla1[[#This Row],[Ean Normalizado]],Consumos!A:A,Consumos!E:E)</f>
        <v>#VALUE!</v>
      </c>
      <c r="R877" s="22" t="e">
        <f>_xlfn.XLOOKUP(Tabla1[[#This Row],[Ean Normalizado]],tabla_consumos[EAN],tabla_consumos[UM])</f>
        <v>#VALUE!</v>
      </c>
      <c r="S877" s="22" t="e">
        <f>Tabla1[[#This Row],[StockDisp]]*Tabla1[[#This Row],[UM producto]]</f>
        <v>#VALUE!</v>
      </c>
    </row>
    <row r="878" spans="1:19" x14ac:dyDescent="0.35">
      <c r="A878" s="5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6"/>
      <c r="P878" s="23" t="e">
        <f>TRIM(Tabla1[[#This Row],[Articulo]])</f>
        <v>#VALUE!</v>
      </c>
      <c r="Q878" s="23" t="e">
        <f>_xlfn.XLOOKUP(Tabla1[[#This Row],[Ean Normalizado]],Consumos!A:A,Consumos!E:E)</f>
        <v>#VALUE!</v>
      </c>
      <c r="R878" s="22" t="e">
        <f>_xlfn.XLOOKUP(Tabla1[[#This Row],[Ean Normalizado]],tabla_consumos[EAN],tabla_consumos[UM])</f>
        <v>#VALUE!</v>
      </c>
      <c r="S878" s="22" t="e">
        <f>Tabla1[[#This Row],[StockDisp]]*Tabla1[[#This Row],[UM producto]]</f>
        <v>#VALUE!</v>
      </c>
    </row>
    <row r="879" spans="1:19" x14ac:dyDescent="0.35">
      <c r="A879" s="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6"/>
      <c r="P879" s="23" t="e">
        <f>TRIM(Tabla1[[#This Row],[Articulo]])</f>
        <v>#VALUE!</v>
      </c>
      <c r="Q879" s="23" t="e">
        <f>_xlfn.XLOOKUP(Tabla1[[#This Row],[Ean Normalizado]],Consumos!A:A,Consumos!E:E)</f>
        <v>#VALUE!</v>
      </c>
      <c r="R879" s="22" t="e">
        <f>_xlfn.XLOOKUP(Tabla1[[#This Row],[Ean Normalizado]],tabla_consumos[EAN],tabla_consumos[UM])</f>
        <v>#VALUE!</v>
      </c>
      <c r="S879" s="22" t="e">
        <f>Tabla1[[#This Row],[StockDisp]]*Tabla1[[#This Row],[UM producto]]</f>
        <v>#VALUE!</v>
      </c>
    </row>
    <row r="880" spans="1:19" x14ac:dyDescent="0.35">
      <c r="A880" s="5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6"/>
      <c r="P880" s="23" t="e">
        <f>TRIM(Tabla1[[#This Row],[Articulo]])</f>
        <v>#VALUE!</v>
      </c>
      <c r="Q880" s="23" t="e">
        <f>_xlfn.XLOOKUP(Tabla1[[#This Row],[Ean Normalizado]],Consumos!A:A,Consumos!E:E)</f>
        <v>#VALUE!</v>
      </c>
      <c r="R880" s="22" t="e">
        <f>_xlfn.XLOOKUP(Tabla1[[#This Row],[Ean Normalizado]],tabla_consumos[EAN],tabla_consumos[UM])</f>
        <v>#VALUE!</v>
      </c>
      <c r="S880" s="22" t="e">
        <f>Tabla1[[#This Row],[StockDisp]]*Tabla1[[#This Row],[UM producto]]</f>
        <v>#VALUE!</v>
      </c>
    </row>
    <row r="881" spans="1:19" x14ac:dyDescent="0.35">
      <c r="A881" s="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6"/>
      <c r="P881" s="23" t="e">
        <f>TRIM(Tabla1[[#This Row],[Articulo]])</f>
        <v>#VALUE!</v>
      </c>
      <c r="Q881" s="23" t="e">
        <f>_xlfn.XLOOKUP(Tabla1[[#This Row],[Ean Normalizado]],Consumos!A:A,Consumos!E:E)</f>
        <v>#VALUE!</v>
      </c>
      <c r="R881" s="22" t="e">
        <f>_xlfn.XLOOKUP(Tabla1[[#This Row],[Ean Normalizado]],tabla_consumos[EAN],tabla_consumos[UM])</f>
        <v>#VALUE!</v>
      </c>
      <c r="S881" s="22" t="e">
        <f>Tabla1[[#This Row],[StockDisp]]*Tabla1[[#This Row],[UM producto]]</f>
        <v>#VALUE!</v>
      </c>
    </row>
    <row r="882" spans="1:19" x14ac:dyDescent="0.35">
      <c r="A882" s="5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6"/>
      <c r="P882" s="23" t="e">
        <f>TRIM(Tabla1[[#This Row],[Articulo]])</f>
        <v>#VALUE!</v>
      </c>
      <c r="Q882" s="23" t="e">
        <f>_xlfn.XLOOKUP(Tabla1[[#This Row],[Ean Normalizado]],Consumos!A:A,Consumos!E:E)</f>
        <v>#VALUE!</v>
      </c>
      <c r="R882" s="22" t="e">
        <f>_xlfn.XLOOKUP(Tabla1[[#This Row],[Ean Normalizado]],tabla_consumos[EAN],tabla_consumos[UM])</f>
        <v>#VALUE!</v>
      </c>
      <c r="S882" s="22" t="e">
        <f>Tabla1[[#This Row],[StockDisp]]*Tabla1[[#This Row],[UM producto]]</f>
        <v>#VALUE!</v>
      </c>
    </row>
    <row r="883" spans="1:19" x14ac:dyDescent="0.35">
      <c r="A883" s="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6"/>
      <c r="P883" s="23" t="e">
        <f>TRIM(Tabla1[[#This Row],[Articulo]])</f>
        <v>#VALUE!</v>
      </c>
      <c r="Q883" s="23" t="e">
        <f>_xlfn.XLOOKUP(Tabla1[[#This Row],[Ean Normalizado]],Consumos!A:A,Consumos!E:E)</f>
        <v>#VALUE!</v>
      </c>
      <c r="R883" s="22" t="e">
        <f>_xlfn.XLOOKUP(Tabla1[[#This Row],[Ean Normalizado]],tabla_consumos[EAN],tabla_consumos[UM])</f>
        <v>#VALUE!</v>
      </c>
      <c r="S883" s="22" t="e">
        <f>Tabla1[[#This Row],[StockDisp]]*Tabla1[[#This Row],[UM producto]]</f>
        <v>#VALUE!</v>
      </c>
    </row>
    <row r="884" spans="1:19" x14ac:dyDescent="0.35">
      <c r="A884" s="5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6"/>
      <c r="P884" s="23" t="e">
        <f>TRIM(Tabla1[[#This Row],[Articulo]])</f>
        <v>#VALUE!</v>
      </c>
      <c r="Q884" s="23" t="e">
        <f>_xlfn.XLOOKUP(Tabla1[[#This Row],[Ean Normalizado]],Consumos!A:A,Consumos!E:E)</f>
        <v>#VALUE!</v>
      </c>
      <c r="R884" s="22" t="e">
        <f>_xlfn.XLOOKUP(Tabla1[[#This Row],[Ean Normalizado]],tabla_consumos[EAN],tabla_consumos[UM])</f>
        <v>#VALUE!</v>
      </c>
      <c r="S884" s="22" t="e">
        <f>Tabla1[[#This Row],[StockDisp]]*Tabla1[[#This Row],[UM producto]]</f>
        <v>#VALUE!</v>
      </c>
    </row>
    <row r="885" spans="1:19" x14ac:dyDescent="0.35">
      <c r="A885" s="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6"/>
      <c r="P885" s="23" t="e">
        <f>TRIM(Tabla1[[#This Row],[Articulo]])</f>
        <v>#VALUE!</v>
      </c>
      <c r="Q885" s="23" t="e">
        <f>_xlfn.XLOOKUP(Tabla1[[#This Row],[Ean Normalizado]],Consumos!A:A,Consumos!E:E)</f>
        <v>#VALUE!</v>
      </c>
      <c r="R885" s="22" t="e">
        <f>_xlfn.XLOOKUP(Tabla1[[#This Row],[Ean Normalizado]],tabla_consumos[EAN],tabla_consumos[UM])</f>
        <v>#VALUE!</v>
      </c>
      <c r="S885" s="22" t="e">
        <f>Tabla1[[#This Row],[StockDisp]]*Tabla1[[#This Row],[UM producto]]</f>
        <v>#VALUE!</v>
      </c>
    </row>
    <row r="886" spans="1:19" x14ac:dyDescent="0.35">
      <c r="A886" s="5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6"/>
      <c r="P886" s="23" t="e">
        <f>TRIM(Tabla1[[#This Row],[Articulo]])</f>
        <v>#VALUE!</v>
      </c>
      <c r="Q886" s="23" t="e">
        <f>_xlfn.XLOOKUP(Tabla1[[#This Row],[Ean Normalizado]],Consumos!A:A,Consumos!E:E)</f>
        <v>#VALUE!</v>
      </c>
      <c r="R886" s="22" t="e">
        <f>_xlfn.XLOOKUP(Tabla1[[#This Row],[Ean Normalizado]],tabla_consumos[EAN],tabla_consumos[UM])</f>
        <v>#VALUE!</v>
      </c>
      <c r="S886" s="22" t="e">
        <f>Tabla1[[#This Row],[StockDisp]]*Tabla1[[#This Row],[UM producto]]</f>
        <v>#VALUE!</v>
      </c>
    </row>
    <row r="887" spans="1:19" x14ac:dyDescent="0.35">
      <c r="A887" s="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6"/>
      <c r="P887" s="23" t="e">
        <f>TRIM(Tabla1[[#This Row],[Articulo]])</f>
        <v>#VALUE!</v>
      </c>
      <c r="Q887" s="23" t="e">
        <f>_xlfn.XLOOKUP(Tabla1[[#This Row],[Ean Normalizado]],Consumos!A:A,Consumos!E:E)</f>
        <v>#VALUE!</v>
      </c>
      <c r="R887" s="22" t="e">
        <f>_xlfn.XLOOKUP(Tabla1[[#This Row],[Ean Normalizado]],tabla_consumos[EAN],tabla_consumos[UM])</f>
        <v>#VALUE!</v>
      </c>
      <c r="S887" s="22" t="e">
        <f>Tabla1[[#This Row],[StockDisp]]*Tabla1[[#This Row],[UM producto]]</f>
        <v>#VALUE!</v>
      </c>
    </row>
    <row r="888" spans="1:19" x14ac:dyDescent="0.35">
      <c r="A888" s="5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6"/>
      <c r="P888" s="23" t="e">
        <f>TRIM(Tabla1[[#This Row],[Articulo]])</f>
        <v>#VALUE!</v>
      </c>
      <c r="Q888" s="23" t="e">
        <f>_xlfn.XLOOKUP(Tabla1[[#This Row],[Ean Normalizado]],Consumos!A:A,Consumos!E:E)</f>
        <v>#VALUE!</v>
      </c>
      <c r="R888" s="22" t="e">
        <f>_xlfn.XLOOKUP(Tabla1[[#This Row],[Ean Normalizado]],tabla_consumos[EAN],tabla_consumos[UM])</f>
        <v>#VALUE!</v>
      </c>
      <c r="S888" s="22" t="e">
        <f>Tabla1[[#This Row],[StockDisp]]*Tabla1[[#This Row],[UM producto]]</f>
        <v>#VALUE!</v>
      </c>
    </row>
    <row r="889" spans="1:19" x14ac:dyDescent="0.35">
      <c r="A889" s="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6"/>
      <c r="P889" s="23" t="e">
        <f>TRIM(Tabla1[[#This Row],[Articulo]])</f>
        <v>#VALUE!</v>
      </c>
      <c r="Q889" s="23" t="e">
        <f>_xlfn.XLOOKUP(Tabla1[[#This Row],[Ean Normalizado]],Consumos!A:A,Consumos!E:E)</f>
        <v>#VALUE!</v>
      </c>
      <c r="R889" s="22" t="e">
        <f>_xlfn.XLOOKUP(Tabla1[[#This Row],[Ean Normalizado]],tabla_consumos[EAN],tabla_consumos[UM])</f>
        <v>#VALUE!</v>
      </c>
      <c r="S889" s="22" t="e">
        <f>Tabla1[[#This Row],[StockDisp]]*Tabla1[[#This Row],[UM producto]]</f>
        <v>#VALUE!</v>
      </c>
    </row>
    <row r="890" spans="1:19" x14ac:dyDescent="0.35">
      <c r="A890" s="5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6"/>
      <c r="P890" s="23" t="e">
        <f>TRIM(Tabla1[[#This Row],[Articulo]])</f>
        <v>#VALUE!</v>
      </c>
      <c r="Q890" s="23" t="e">
        <f>_xlfn.XLOOKUP(Tabla1[[#This Row],[Ean Normalizado]],Consumos!A:A,Consumos!E:E)</f>
        <v>#VALUE!</v>
      </c>
      <c r="R890" s="22" t="e">
        <f>_xlfn.XLOOKUP(Tabla1[[#This Row],[Ean Normalizado]],tabla_consumos[EAN],tabla_consumos[UM])</f>
        <v>#VALUE!</v>
      </c>
      <c r="S890" s="22" t="e">
        <f>Tabla1[[#This Row],[StockDisp]]*Tabla1[[#This Row],[UM producto]]</f>
        <v>#VALUE!</v>
      </c>
    </row>
    <row r="891" spans="1:19" x14ac:dyDescent="0.35">
      <c r="A891" s="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6"/>
      <c r="P891" s="23" t="e">
        <f>TRIM(Tabla1[[#This Row],[Articulo]])</f>
        <v>#VALUE!</v>
      </c>
      <c r="Q891" s="23" t="e">
        <f>_xlfn.XLOOKUP(Tabla1[[#This Row],[Ean Normalizado]],Consumos!A:A,Consumos!E:E)</f>
        <v>#VALUE!</v>
      </c>
      <c r="R891" s="22" t="e">
        <f>_xlfn.XLOOKUP(Tabla1[[#This Row],[Ean Normalizado]],tabla_consumos[EAN],tabla_consumos[UM])</f>
        <v>#VALUE!</v>
      </c>
      <c r="S891" s="22" t="e">
        <f>Tabla1[[#This Row],[StockDisp]]*Tabla1[[#This Row],[UM producto]]</f>
        <v>#VALUE!</v>
      </c>
    </row>
    <row r="892" spans="1:19" x14ac:dyDescent="0.35">
      <c r="A892" s="5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6"/>
      <c r="P892" s="23" t="e">
        <f>TRIM(Tabla1[[#This Row],[Articulo]])</f>
        <v>#VALUE!</v>
      </c>
      <c r="Q892" s="23" t="e">
        <f>_xlfn.XLOOKUP(Tabla1[[#This Row],[Ean Normalizado]],Consumos!A:A,Consumos!E:E)</f>
        <v>#VALUE!</v>
      </c>
      <c r="R892" s="22" t="e">
        <f>_xlfn.XLOOKUP(Tabla1[[#This Row],[Ean Normalizado]],tabla_consumos[EAN],tabla_consumos[UM])</f>
        <v>#VALUE!</v>
      </c>
      <c r="S892" s="22" t="e">
        <f>Tabla1[[#This Row],[StockDisp]]*Tabla1[[#This Row],[UM producto]]</f>
        <v>#VALUE!</v>
      </c>
    </row>
    <row r="893" spans="1:19" x14ac:dyDescent="0.35">
      <c r="A893" s="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6"/>
      <c r="P893" s="23" t="e">
        <f>TRIM(Tabla1[[#This Row],[Articulo]])</f>
        <v>#VALUE!</v>
      </c>
      <c r="Q893" s="23" t="e">
        <f>_xlfn.XLOOKUP(Tabla1[[#This Row],[Ean Normalizado]],Consumos!A:A,Consumos!E:E)</f>
        <v>#VALUE!</v>
      </c>
      <c r="R893" s="22" t="e">
        <f>_xlfn.XLOOKUP(Tabla1[[#This Row],[Ean Normalizado]],tabla_consumos[EAN],tabla_consumos[UM])</f>
        <v>#VALUE!</v>
      </c>
      <c r="S893" s="22" t="e">
        <f>Tabla1[[#This Row],[StockDisp]]*Tabla1[[#This Row],[UM producto]]</f>
        <v>#VALUE!</v>
      </c>
    </row>
    <row r="894" spans="1:19" x14ac:dyDescent="0.35">
      <c r="A894" s="5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6"/>
      <c r="P894" s="23" t="e">
        <f>TRIM(Tabla1[[#This Row],[Articulo]])</f>
        <v>#VALUE!</v>
      </c>
      <c r="Q894" s="23" t="e">
        <f>_xlfn.XLOOKUP(Tabla1[[#This Row],[Ean Normalizado]],Consumos!A:A,Consumos!E:E)</f>
        <v>#VALUE!</v>
      </c>
      <c r="R894" s="22" t="e">
        <f>_xlfn.XLOOKUP(Tabla1[[#This Row],[Ean Normalizado]],tabla_consumos[EAN],tabla_consumos[UM])</f>
        <v>#VALUE!</v>
      </c>
      <c r="S894" s="22" t="e">
        <f>Tabla1[[#This Row],[StockDisp]]*Tabla1[[#This Row],[UM producto]]</f>
        <v>#VALUE!</v>
      </c>
    </row>
    <row r="895" spans="1:19" x14ac:dyDescent="0.35">
      <c r="A895" s="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6"/>
      <c r="P895" s="23" t="e">
        <f>TRIM(Tabla1[[#This Row],[Articulo]])</f>
        <v>#VALUE!</v>
      </c>
      <c r="Q895" s="23" t="e">
        <f>_xlfn.XLOOKUP(Tabla1[[#This Row],[Ean Normalizado]],Consumos!A:A,Consumos!E:E)</f>
        <v>#VALUE!</v>
      </c>
      <c r="R895" s="22" t="e">
        <f>_xlfn.XLOOKUP(Tabla1[[#This Row],[Ean Normalizado]],tabla_consumos[EAN],tabla_consumos[UM])</f>
        <v>#VALUE!</v>
      </c>
      <c r="S895" s="22" t="e">
        <f>Tabla1[[#This Row],[StockDisp]]*Tabla1[[#This Row],[UM producto]]</f>
        <v>#VALUE!</v>
      </c>
    </row>
    <row r="896" spans="1:19" x14ac:dyDescent="0.35">
      <c r="A896" s="5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6"/>
      <c r="P896" s="23" t="e">
        <f>TRIM(Tabla1[[#This Row],[Articulo]])</f>
        <v>#VALUE!</v>
      </c>
      <c r="Q896" s="23" t="e">
        <f>_xlfn.XLOOKUP(Tabla1[[#This Row],[Ean Normalizado]],Consumos!A:A,Consumos!E:E)</f>
        <v>#VALUE!</v>
      </c>
      <c r="R896" s="22" t="e">
        <f>_xlfn.XLOOKUP(Tabla1[[#This Row],[Ean Normalizado]],tabla_consumos[EAN],tabla_consumos[UM])</f>
        <v>#VALUE!</v>
      </c>
      <c r="S896" s="22" t="e">
        <f>Tabla1[[#This Row],[StockDisp]]*Tabla1[[#This Row],[UM producto]]</f>
        <v>#VALUE!</v>
      </c>
    </row>
    <row r="897" spans="1:19" x14ac:dyDescent="0.35">
      <c r="A897" s="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6"/>
      <c r="P897" s="23" t="e">
        <f>TRIM(Tabla1[[#This Row],[Articulo]])</f>
        <v>#VALUE!</v>
      </c>
      <c r="Q897" s="23" t="e">
        <f>_xlfn.XLOOKUP(Tabla1[[#This Row],[Ean Normalizado]],Consumos!A:A,Consumos!E:E)</f>
        <v>#VALUE!</v>
      </c>
      <c r="R897" s="22" t="e">
        <f>_xlfn.XLOOKUP(Tabla1[[#This Row],[Ean Normalizado]],tabla_consumos[EAN],tabla_consumos[UM])</f>
        <v>#VALUE!</v>
      </c>
      <c r="S897" s="22" t="e">
        <f>Tabla1[[#This Row],[StockDisp]]*Tabla1[[#This Row],[UM producto]]</f>
        <v>#VALUE!</v>
      </c>
    </row>
    <row r="898" spans="1:19" x14ac:dyDescent="0.35">
      <c r="A898" s="5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6"/>
      <c r="P898" s="23" t="e">
        <f>TRIM(Tabla1[[#This Row],[Articulo]])</f>
        <v>#VALUE!</v>
      </c>
      <c r="Q898" s="23" t="e">
        <f>_xlfn.XLOOKUP(Tabla1[[#This Row],[Ean Normalizado]],Consumos!A:A,Consumos!E:E)</f>
        <v>#VALUE!</v>
      </c>
      <c r="R898" s="22" t="e">
        <f>_xlfn.XLOOKUP(Tabla1[[#This Row],[Ean Normalizado]],tabla_consumos[EAN],tabla_consumos[UM])</f>
        <v>#VALUE!</v>
      </c>
      <c r="S898" s="22" t="e">
        <f>Tabla1[[#This Row],[StockDisp]]*Tabla1[[#This Row],[UM producto]]</f>
        <v>#VALUE!</v>
      </c>
    </row>
    <row r="899" spans="1:19" x14ac:dyDescent="0.35">
      <c r="A899" s="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6"/>
      <c r="P899" s="23" t="e">
        <f>TRIM(Tabla1[[#This Row],[Articulo]])</f>
        <v>#VALUE!</v>
      </c>
      <c r="Q899" s="23" t="e">
        <f>_xlfn.XLOOKUP(Tabla1[[#This Row],[Ean Normalizado]],Consumos!A:A,Consumos!E:E)</f>
        <v>#VALUE!</v>
      </c>
      <c r="R899" s="22" t="e">
        <f>_xlfn.XLOOKUP(Tabla1[[#This Row],[Ean Normalizado]],tabla_consumos[EAN],tabla_consumos[UM])</f>
        <v>#VALUE!</v>
      </c>
      <c r="S899" s="22" t="e">
        <f>Tabla1[[#This Row],[StockDisp]]*Tabla1[[#This Row],[UM producto]]</f>
        <v>#VALUE!</v>
      </c>
    </row>
    <row r="900" spans="1:19" x14ac:dyDescent="0.35">
      <c r="A900" s="5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6"/>
      <c r="P900" s="23" t="e">
        <f>TRIM(Tabla1[[#This Row],[Articulo]])</f>
        <v>#VALUE!</v>
      </c>
      <c r="Q900" s="23" t="e">
        <f>_xlfn.XLOOKUP(Tabla1[[#This Row],[Ean Normalizado]],Consumos!A:A,Consumos!E:E)</f>
        <v>#VALUE!</v>
      </c>
      <c r="R900" s="22" t="e">
        <f>_xlfn.XLOOKUP(Tabla1[[#This Row],[Ean Normalizado]],tabla_consumos[EAN],tabla_consumos[UM])</f>
        <v>#VALUE!</v>
      </c>
      <c r="S900" s="22" t="e">
        <f>Tabla1[[#This Row],[StockDisp]]*Tabla1[[#This Row],[UM producto]]</f>
        <v>#VALUE!</v>
      </c>
    </row>
    <row r="901" spans="1:19" x14ac:dyDescent="0.35">
      <c r="A901" s="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6"/>
      <c r="P901" s="23" t="e">
        <f>TRIM(Tabla1[[#This Row],[Articulo]])</f>
        <v>#VALUE!</v>
      </c>
      <c r="Q901" s="23" t="e">
        <f>_xlfn.XLOOKUP(Tabla1[[#This Row],[Ean Normalizado]],Consumos!A:A,Consumos!E:E)</f>
        <v>#VALUE!</v>
      </c>
      <c r="R901" s="22" t="e">
        <f>_xlfn.XLOOKUP(Tabla1[[#This Row],[Ean Normalizado]],tabla_consumos[EAN],tabla_consumos[UM])</f>
        <v>#VALUE!</v>
      </c>
      <c r="S901" s="22" t="e">
        <f>Tabla1[[#This Row],[StockDisp]]*Tabla1[[#This Row],[UM producto]]</f>
        <v>#VALUE!</v>
      </c>
    </row>
    <row r="902" spans="1:19" x14ac:dyDescent="0.35">
      <c r="A902" s="5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6"/>
      <c r="P902" s="23" t="e">
        <f>TRIM(Tabla1[[#This Row],[Articulo]])</f>
        <v>#VALUE!</v>
      </c>
      <c r="Q902" s="23" t="e">
        <f>_xlfn.XLOOKUP(Tabla1[[#This Row],[Ean Normalizado]],Consumos!A:A,Consumos!E:E)</f>
        <v>#VALUE!</v>
      </c>
      <c r="R902" s="22" t="e">
        <f>_xlfn.XLOOKUP(Tabla1[[#This Row],[Ean Normalizado]],tabla_consumos[EAN],tabla_consumos[UM])</f>
        <v>#VALUE!</v>
      </c>
      <c r="S902" s="22" t="e">
        <f>Tabla1[[#This Row],[StockDisp]]*Tabla1[[#This Row],[UM producto]]</f>
        <v>#VALUE!</v>
      </c>
    </row>
    <row r="903" spans="1:19" x14ac:dyDescent="0.35">
      <c r="A903" s="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6"/>
      <c r="P903" s="23" t="e">
        <f>TRIM(Tabla1[[#This Row],[Articulo]])</f>
        <v>#VALUE!</v>
      </c>
      <c r="Q903" s="23" t="e">
        <f>_xlfn.XLOOKUP(Tabla1[[#This Row],[Ean Normalizado]],Consumos!A:A,Consumos!E:E)</f>
        <v>#VALUE!</v>
      </c>
      <c r="R903" s="22" t="e">
        <f>_xlfn.XLOOKUP(Tabla1[[#This Row],[Ean Normalizado]],tabla_consumos[EAN],tabla_consumos[UM])</f>
        <v>#VALUE!</v>
      </c>
      <c r="S903" s="22" t="e">
        <f>Tabla1[[#This Row],[StockDisp]]*Tabla1[[#This Row],[UM producto]]</f>
        <v>#VALUE!</v>
      </c>
    </row>
    <row r="904" spans="1:19" x14ac:dyDescent="0.35">
      <c r="A904" s="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6"/>
      <c r="P904" s="23" t="e">
        <f>TRIM(Tabla1[[#This Row],[Articulo]])</f>
        <v>#VALUE!</v>
      </c>
      <c r="Q904" s="23" t="e">
        <f>_xlfn.XLOOKUP(Tabla1[[#This Row],[Ean Normalizado]],Consumos!A:A,Consumos!E:E)</f>
        <v>#VALUE!</v>
      </c>
      <c r="R904" s="22" t="e">
        <f>_xlfn.XLOOKUP(Tabla1[[#This Row],[Ean Normalizado]],tabla_consumos[EAN],tabla_consumos[UM])</f>
        <v>#VALUE!</v>
      </c>
      <c r="S904" s="22" t="e">
        <f>Tabla1[[#This Row],[StockDisp]]*Tabla1[[#This Row],[UM producto]]</f>
        <v>#VALUE!</v>
      </c>
    </row>
    <row r="905" spans="1:19" x14ac:dyDescent="0.35">
      <c r="A905" s="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6"/>
      <c r="P905" s="23" t="e">
        <f>TRIM(Tabla1[[#This Row],[Articulo]])</f>
        <v>#VALUE!</v>
      </c>
      <c r="Q905" s="23" t="e">
        <f>_xlfn.XLOOKUP(Tabla1[[#This Row],[Ean Normalizado]],Consumos!A:A,Consumos!E:E)</f>
        <v>#VALUE!</v>
      </c>
      <c r="R905" s="22" t="e">
        <f>_xlfn.XLOOKUP(Tabla1[[#This Row],[Ean Normalizado]],tabla_consumos[EAN],tabla_consumos[UM])</f>
        <v>#VALUE!</v>
      </c>
      <c r="S905" s="22" t="e">
        <f>Tabla1[[#This Row],[StockDisp]]*Tabla1[[#This Row],[UM producto]]</f>
        <v>#VALUE!</v>
      </c>
    </row>
    <row r="906" spans="1:19" x14ac:dyDescent="0.35">
      <c r="A906" s="5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6"/>
      <c r="P906" s="23" t="e">
        <f>TRIM(Tabla1[[#This Row],[Articulo]])</f>
        <v>#VALUE!</v>
      </c>
      <c r="Q906" s="23" t="e">
        <f>_xlfn.XLOOKUP(Tabla1[[#This Row],[Ean Normalizado]],Consumos!A:A,Consumos!E:E)</f>
        <v>#VALUE!</v>
      </c>
      <c r="R906" s="22" t="e">
        <f>_xlfn.XLOOKUP(Tabla1[[#This Row],[Ean Normalizado]],tabla_consumos[EAN],tabla_consumos[UM])</f>
        <v>#VALUE!</v>
      </c>
      <c r="S906" s="22" t="e">
        <f>Tabla1[[#This Row],[StockDisp]]*Tabla1[[#This Row],[UM producto]]</f>
        <v>#VALUE!</v>
      </c>
    </row>
    <row r="907" spans="1:19" x14ac:dyDescent="0.35">
      <c r="A907" s="5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6"/>
      <c r="P907" s="23" t="e">
        <f>TRIM(Tabla1[[#This Row],[Articulo]])</f>
        <v>#VALUE!</v>
      </c>
      <c r="Q907" s="23" t="e">
        <f>_xlfn.XLOOKUP(Tabla1[[#This Row],[Ean Normalizado]],Consumos!A:A,Consumos!E:E)</f>
        <v>#VALUE!</v>
      </c>
      <c r="R907" s="22" t="e">
        <f>_xlfn.XLOOKUP(Tabla1[[#This Row],[Ean Normalizado]],tabla_consumos[EAN],tabla_consumos[UM])</f>
        <v>#VALUE!</v>
      </c>
      <c r="S907" s="22" t="e">
        <f>Tabla1[[#This Row],[StockDisp]]*Tabla1[[#This Row],[UM producto]]</f>
        <v>#VALUE!</v>
      </c>
    </row>
    <row r="908" spans="1:19" x14ac:dyDescent="0.35">
      <c r="A908" s="5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6"/>
      <c r="P908" s="23" t="e">
        <f>TRIM(Tabla1[[#This Row],[Articulo]])</f>
        <v>#VALUE!</v>
      </c>
      <c r="Q908" s="23" t="e">
        <f>_xlfn.XLOOKUP(Tabla1[[#This Row],[Ean Normalizado]],Consumos!A:A,Consumos!E:E)</f>
        <v>#VALUE!</v>
      </c>
      <c r="R908" s="22" t="e">
        <f>_xlfn.XLOOKUP(Tabla1[[#This Row],[Ean Normalizado]],tabla_consumos[EAN],tabla_consumos[UM])</f>
        <v>#VALUE!</v>
      </c>
      <c r="S908" s="22" t="e">
        <f>Tabla1[[#This Row],[StockDisp]]*Tabla1[[#This Row],[UM producto]]</f>
        <v>#VALUE!</v>
      </c>
    </row>
    <row r="909" spans="1:19" x14ac:dyDescent="0.35">
      <c r="A909" s="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6"/>
      <c r="P909" s="23" t="e">
        <f>TRIM(Tabla1[[#This Row],[Articulo]])</f>
        <v>#VALUE!</v>
      </c>
      <c r="Q909" s="23" t="e">
        <f>_xlfn.XLOOKUP(Tabla1[[#This Row],[Ean Normalizado]],Consumos!A:A,Consumos!E:E)</f>
        <v>#VALUE!</v>
      </c>
      <c r="R909" s="22" t="e">
        <f>_xlfn.XLOOKUP(Tabla1[[#This Row],[Ean Normalizado]],tabla_consumos[EAN],tabla_consumos[UM])</f>
        <v>#VALUE!</v>
      </c>
      <c r="S909" s="22" t="e">
        <f>Tabla1[[#This Row],[StockDisp]]*Tabla1[[#This Row],[UM producto]]</f>
        <v>#VALUE!</v>
      </c>
    </row>
    <row r="910" spans="1:19" x14ac:dyDescent="0.35">
      <c r="A910" s="5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6"/>
      <c r="P910" s="23" t="e">
        <f>TRIM(Tabla1[[#This Row],[Articulo]])</f>
        <v>#VALUE!</v>
      </c>
      <c r="Q910" s="23" t="e">
        <f>_xlfn.XLOOKUP(Tabla1[[#This Row],[Ean Normalizado]],Consumos!A:A,Consumos!E:E)</f>
        <v>#VALUE!</v>
      </c>
      <c r="R910" s="22" t="e">
        <f>_xlfn.XLOOKUP(Tabla1[[#This Row],[Ean Normalizado]],tabla_consumos[EAN],tabla_consumos[UM])</f>
        <v>#VALUE!</v>
      </c>
      <c r="S910" s="22" t="e">
        <f>Tabla1[[#This Row],[StockDisp]]*Tabla1[[#This Row],[UM producto]]</f>
        <v>#VALUE!</v>
      </c>
    </row>
    <row r="911" spans="1:19" x14ac:dyDescent="0.35">
      <c r="A911" s="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6"/>
      <c r="P911" s="23" t="e">
        <f>TRIM(Tabla1[[#This Row],[Articulo]])</f>
        <v>#VALUE!</v>
      </c>
      <c r="Q911" s="23" t="e">
        <f>_xlfn.XLOOKUP(Tabla1[[#This Row],[Ean Normalizado]],Consumos!A:A,Consumos!E:E)</f>
        <v>#VALUE!</v>
      </c>
      <c r="R911" s="22" t="e">
        <f>_xlfn.XLOOKUP(Tabla1[[#This Row],[Ean Normalizado]],tabla_consumos[EAN],tabla_consumos[UM])</f>
        <v>#VALUE!</v>
      </c>
      <c r="S911" s="22" t="e">
        <f>Tabla1[[#This Row],[StockDisp]]*Tabla1[[#This Row],[UM producto]]</f>
        <v>#VALUE!</v>
      </c>
    </row>
    <row r="912" spans="1:19" x14ac:dyDescent="0.35">
      <c r="A912" s="5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6"/>
      <c r="P912" s="23" t="e">
        <f>TRIM(Tabla1[[#This Row],[Articulo]])</f>
        <v>#VALUE!</v>
      </c>
      <c r="Q912" s="23" t="e">
        <f>_xlfn.XLOOKUP(Tabla1[[#This Row],[Ean Normalizado]],Consumos!A:A,Consumos!E:E)</f>
        <v>#VALUE!</v>
      </c>
      <c r="R912" s="22" t="e">
        <f>_xlfn.XLOOKUP(Tabla1[[#This Row],[Ean Normalizado]],tabla_consumos[EAN],tabla_consumos[UM])</f>
        <v>#VALUE!</v>
      </c>
      <c r="S912" s="22" t="e">
        <f>Tabla1[[#This Row],[StockDisp]]*Tabla1[[#This Row],[UM producto]]</f>
        <v>#VALUE!</v>
      </c>
    </row>
    <row r="913" spans="1:19" x14ac:dyDescent="0.35">
      <c r="A913" s="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6"/>
      <c r="P913" s="23" t="e">
        <f>TRIM(Tabla1[[#This Row],[Articulo]])</f>
        <v>#VALUE!</v>
      </c>
      <c r="Q913" s="23" t="e">
        <f>_xlfn.XLOOKUP(Tabla1[[#This Row],[Ean Normalizado]],Consumos!A:A,Consumos!E:E)</f>
        <v>#VALUE!</v>
      </c>
      <c r="R913" s="22" t="e">
        <f>_xlfn.XLOOKUP(Tabla1[[#This Row],[Ean Normalizado]],tabla_consumos[EAN],tabla_consumos[UM])</f>
        <v>#VALUE!</v>
      </c>
      <c r="S913" s="22" t="e">
        <f>Tabla1[[#This Row],[StockDisp]]*Tabla1[[#This Row],[UM producto]]</f>
        <v>#VALUE!</v>
      </c>
    </row>
    <row r="914" spans="1:19" x14ac:dyDescent="0.35">
      <c r="A914" s="5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6"/>
      <c r="P914" s="23" t="e">
        <f>TRIM(Tabla1[[#This Row],[Articulo]])</f>
        <v>#VALUE!</v>
      </c>
      <c r="Q914" s="23" t="e">
        <f>_xlfn.XLOOKUP(Tabla1[[#This Row],[Ean Normalizado]],Consumos!A:A,Consumos!E:E)</f>
        <v>#VALUE!</v>
      </c>
      <c r="R914" s="22" t="e">
        <f>_xlfn.XLOOKUP(Tabla1[[#This Row],[Ean Normalizado]],tabla_consumos[EAN],tabla_consumos[UM])</f>
        <v>#VALUE!</v>
      </c>
      <c r="S914" s="22" t="e">
        <f>Tabla1[[#This Row],[StockDisp]]*Tabla1[[#This Row],[UM producto]]</f>
        <v>#VALUE!</v>
      </c>
    </row>
    <row r="915" spans="1:19" x14ac:dyDescent="0.35">
      <c r="A915" s="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6"/>
      <c r="P915" s="23" t="e">
        <f>TRIM(Tabla1[[#This Row],[Articulo]])</f>
        <v>#VALUE!</v>
      </c>
      <c r="Q915" s="23" t="e">
        <f>_xlfn.XLOOKUP(Tabla1[[#This Row],[Ean Normalizado]],Consumos!A:A,Consumos!E:E)</f>
        <v>#VALUE!</v>
      </c>
      <c r="R915" s="22" t="e">
        <f>_xlfn.XLOOKUP(Tabla1[[#This Row],[Ean Normalizado]],tabla_consumos[EAN],tabla_consumos[UM])</f>
        <v>#VALUE!</v>
      </c>
      <c r="S915" s="22" t="e">
        <f>Tabla1[[#This Row],[StockDisp]]*Tabla1[[#This Row],[UM producto]]</f>
        <v>#VALUE!</v>
      </c>
    </row>
    <row r="916" spans="1:19" x14ac:dyDescent="0.35">
      <c r="A916" s="5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6"/>
      <c r="P916" s="23" t="e">
        <f>TRIM(Tabla1[[#This Row],[Articulo]])</f>
        <v>#VALUE!</v>
      </c>
      <c r="Q916" s="23" t="e">
        <f>_xlfn.XLOOKUP(Tabla1[[#This Row],[Ean Normalizado]],Consumos!A:A,Consumos!E:E)</f>
        <v>#VALUE!</v>
      </c>
      <c r="R916" s="22" t="e">
        <f>_xlfn.XLOOKUP(Tabla1[[#This Row],[Ean Normalizado]],tabla_consumos[EAN],tabla_consumos[UM])</f>
        <v>#VALUE!</v>
      </c>
      <c r="S916" s="22" t="e">
        <f>Tabla1[[#This Row],[StockDisp]]*Tabla1[[#This Row],[UM producto]]</f>
        <v>#VALUE!</v>
      </c>
    </row>
    <row r="917" spans="1:19" x14ac:dyDescent="0.35">
      <c r="A917" s="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6"/>
      <c r="P917" s="23" t="e">
        <f>TRIM(Tabla1[[#This Row],[Articulo]])</f>
        <v>#VALUE!</v>
      </c>
      <c r="Q917" s="23" t="e">
        <f>_xlfn.XLOOKUP(Tabla1[[#This Row],[Ean Normalizado]],Consumos!A:A,Consumos!E:E)</f>
        <v>#VALUE!</v>
      </c>
      <c r="R917" s="22" t="e">
        <f>_xlfn.XLOOKUP(Tabla1[[#This Row],[Ean Normalizado]],tabla_consumos[EAN],tabla_consumos[UM])</f>
        <v>#VALUE!</v>
      </c>
      <c r="S917" s="22" t="e">
        <f>Tabla1[[#This Row],[StockDisp]]*Tabla1[[#This Row],[UM producto]]</f>
        <v>#VALUE!</v>
      </c>
    </row>
    <row r="918" spans="1:19" x14ac:dyDescent="0.35">
      <c r="A918" s="5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6"/>
      <c r="P918" s="23" t="e">
        <f>TRIM(Tabla1[[#This Row],[Articulo]])</f>
        <v>#VALUE!</v>
      </c>
      <c r="Q918" s="23" t="e">
        <f>_xlfn.XLOOKUP(Tabla1[[#This Row],[Ean Normalizado]],Consumos!A:A,Consumos!E:E)</f>
        <v>#VALUE!</v>
      </c>
      <c r="R918" s="22" t="e">
        <f>_xlfn.XLOOKUP(Tabla1[[#This Row],[Ean Normalizado]],tabla_consumos[EAN],tabla_consumos[UM])</f>
        <v>#VALUE!</v>
      </c>
      <c r="S918" s="22" t="e">
        <f>Tabla1[[#This Row],[StockDisp]]*Tabla1[[#This Row],[UM producto]]</f>
        <v>#VALUE!</v>
      </c>
    </row>
    <row r="919" spans="1:19" x14ac:dyDescent="0.35">
      <c r="A919" s="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6"/>
      <c r="P919" s="23" t="e">
        <f>TRIM(Tabla1[[#This Row],[Articulo]])</f>
        <v>#VALUE!</v>
      </c>
      <c r="Q919" s="23" t="e">
        <f>_xlfn.XLOOKUP(Tabla1[[#This Row],[Ean Normalizado]],Consumos!A:A,Consumos!E:E)</f>
        <v>#VALUE!</v>
      </c>
      <c r="R919" s="22" t="e">
        <f>_xlfn.XLOOKUP(Tabla1[[#This Row],[Ean Normalizado]],tabla_consumos[EAN],tabla_consumos[UM])</f>
        <v>#VALUE!</v>
      </c>
      <c r="S919" s="22" t="e">
        <f>Tabla1[[#This Row],[StockDisp]]*Tabla1[[#This Row],[UM producto]]</f>
        <v>#VALUE!</v>
      </c>
    </row>
    <row r="920" spans="1:19" x14ac:dyDescent="0.35">
      <c r="A920" s="5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6"/>
      <c r="P920" s="23" t="e">
        <f>TRIM(Tabla1[[#This Row],[Articulo]])</f>
        <v>#VALUE!</v>
      </c>
      <c r="Q920" s="23" t="e">
        <f>_xlfn.XLOOKUP(Tabla1[[#This Row],[Ean Normalizado]],Consumos!A:A,Consumos!E:E)</f>
        <v>#VALUE!</v>
      </c>
      <c r="R920" s="22" t="e">
        <f>_xlfn.XLOOKUP(Tabla1[[#This Row],[Ean Normalizado]],tabla_consumos[EAN],tabla_consumos[UM])</f>
        <v>#VALUE!</v>
      </c>
      <c r="S920" s="22" t="e">
        <f>Tabla1[[#This Row],[StockDisp]]*Tabla1[[#This Row],[UM producto]]</f>
        <v>#VALUE!</v>
      </c>
    </row>
    <row r="921" spans="1:19" x14ac:dyDescent="0.35">
      <c r="A921" s="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6"/>
      <c r="P921" s="23" t="e">
        <f>TRIM(Tabla1[[#This Row],[Articulo]])</f>
        <v>#VALUE!</v>
      </c>
      <c r="Q921" s="23" t="e">
        <f>_xlfn.XLOOKUP(Tabla1[[#This Row],[Ean Normalizado]],Consumos!A:A,Consumos!E:E)</f>
        <v>#VALUE!</v>
      </c>
      <c r="R921" s="22" t="e">
        <f>_xlfn.XLOOKUP(Tabla1[[#This Row],[Ean Normalizado]],tabla_consumos[EAN],tabla_consumos[UM])</f>
        <v>#VALUE!</v>
      </c>
      <c r="S921" s="22" t="e">
        <f>Tabla1[[#This Row],[StockDisp]]*Tabla1[[#This Row],[UM producto]]</f>
        <v>#VALUE!</v>
      </c>
    </row>
    <row r="922" spans="1:19" x14ac:dyDescent="0.35">
      <c r="A922" s="5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6"/>
      <c r="P922" s="23" t="e">
        <f>TRIM(Tabla1[[#This Row],[Articulo]])</f>
        <v>#VALUE!</v>
      </c>
      <c r="Q922" s="23" t="e">
        <f>_xlfn.XLOOKUP(Tabla1[[#This Row],[Ean Normalizado]],Consumos!A:A,Consumos!E:E)</f>
        <v>#VALUE!</v>
      </c>
      <c r="R922" s="22" t="e">
        <f>_xlfn.XLOOKUP(Tabla1[[#This Row],[Ean Normalizado]],tabla_consumos[EAN],tabla_consumos[UM])</f>
        <v>#VALUE!</v>
      </c>
      <c r="S922" s="22" t="e">
        <f>Tabla1[[#This Row],[StockDisp]]*Tabla1[[#This Row],[UM producto]]</f>
        <v>#VALUE!</v>
      </c>
    </row>
    <row r="923" spans="1:19" x14ac:dyDescent="0.35">
      <c r="A923" s="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6"/>
      <c r="P923" s="23" t="e">
        <f>TRIM(Tabla1[[#This Row],[Articulo]])</f>
        <v>#VALUE!</v>
      </c>
      <c r="Q923" s="23" t="e">
        <f>_xlfn.XLOOKUP(Tabla1[[#This Row],[Ean Normalizado]],Consumos!A:A,Consumos!E:E)</f>
        <v>#VALUE!</v>
      </c>
      <c r="R923" s="22" t="e">
        <f>_xlfn.XLOOKUP(Tabla1[[#This Row],[Ean Normalizado]],tabla_consumos[EAN],tabla_consumos[UM])</f>
        <v>#VALUE!</v>
      </c>
      <c r="S923" s="22" t="e">
        <f>Tabla1[[#This Row],[StockDisp]]*Tabla1[[#This Row],[UM producto]]</f>
        <v>#VALUE!</v>
      </c>
    </row>
    <row r="924" spans="1:19" x14ac:dyDescent="0.35">
      <c r="A924" s="5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6"/>
      <c r="P924" s="23" t="e">
        <f>TRIM(Tabla1[[#This Row],[Articulo]])</f>
        <v>#VALUE!</v>
      </c>
      <c r="Q924" s="23" t="e">
        <f>_xlfn.XLOOKUP(Tabla1[[#This Row],[Ean Normalizado]],Consumos!A:A,Consumos!E:E)</f>
        <v>#VALUE!</v>
      </c>
      <c r="R924" s="22" t="e">
        <f>_xlfn.XLOOKUP(Tabla1[[#This Row],[Ean Normalizado]],tabla_consumos[EAN],tabla_consumos[UM])</f>
        <v>#VALUE!</v>
      </c>
      <c r="S924" s="22" t="e">
        <f>Tabla1[[#This Row],[StockDisp]]*Tabla1[[#This Row],[UM producto]]</f>
        <v>#VALUE!</v>
      </c>
    </row>
    <row r="925" spans="1:19" x14ac:dyDescent="0.35">
      <c r="A925" s="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6"/>
      <c r="P925" s="23" t="e">
        <f>TRIM(Tabla1[[#This Row],[Articulo]])</f>
        <v>#VALUE!</v>
      </c>
      <c r="Q925" s="23" t="e">
        <f>_xlfn.XLOOKUP(Tabla1[[#This Row],[Ean Normalizado]],Consumos!A:A,Consumos!E:E)</f>
        <v>#VALUE!</v>
      </c>
      <c r="R925" s="22" t="e">
        <f>_xlfn.XLOOKUP(Tabla1[[#This Row],[Ean Normalizado]],tabla_consumos[EAN],tabla_consumos[UM])</f>
        <v>#VALUE!</v>
      </c>
      <c r="S925" s="22" t="e">
        <f>Tabla1[[#This Row],[StockDisp]]*Tabla1[[#This Row],[UM producto]]</f>
        <v>#VALUE!</v>
      </c>
    </row>
    <row r="926" spans="1:19" x14ac:dyDescent="0.35">
      <c r="A926" s="5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6"/>
      <c r="P926" s="23" t="e">
        <f>TRIM(Tabla1[[#This Row],[Articulo]])</f>
        <v>#VALUE!</v>
      </c>
      <c r="Q926" s="23" t="e">
        <f>_xlfn.XLOOKUP(Tabla1[[#This Row],[Ean Normalizado]],Consumos!A:A,Consumos!E:E)</f>
        <v>#VALUE!</v>
      </c>
      <c r="R926" s="22" t="e">
        <f>_xlfn.XLOOKUP(Tabla1[[#This Row],[Ean Normalizado]],tabla_consumos[EAN],tabla_consumos[UM])</f>
        <v>#VALUE!</v>
      </c>
      <c r="S926" s="22" t="e">
        <f>Tabla1[[#This Row],[StockDisp]]*Tabla1[[#This Row],[UM producto]]</f>
        <v>#VALUE!</v>
      </c>
    </row>
    <row r="927" spans="1:19" x14ac:dyDescent="0.35">
      <c r="A927" s="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6"/>
      <c r="P927" s="23" t="e">
        <f>TRIM(Tabla1[[#This Row],[Articulo]])</f>
        <v>#VALUE!</v>
      </c>
      <c r="Q927" s="23" t="e">
        <f>_xlfn.XLOOKUP(Tabla1[[#This Row],[Ean Normalizado]],Consumos!A:A,Consumos!E:E)</f>
        <v>#VALUE!</v>
      </c>
      <c r="R927" s="22" t="e">
        <f>_xlfn.XLOOKUP(Tabla1[[#This Row],[Ean Normalizado]],tabla_consumos[EAN],tabla_consumos[UM])</f>
        <v>#VALUE!</v>
      </c>
      <c r="S927" s="22" t="e">
        <f>Tabla1[[#This Row],[StockDisp]]*Tabla1[[#This Row],[UM producto]]</f>
        <v>#VALUE!</v>
      </c>
    </row>
    <row r="928" spans="1:19" x14ac:dyDescent="0.35">
      <c r="A928" s="5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6"/>
      <c r="P928" s="23" t="e">
        <f>TRIM(Tabla1[[#This Row],[Articulo]])</f>
        <v>#VALUE!</v>
      </c>
      <c r="Q928" s="23" t="e">
        <f>_xlfn.XLOOKUP(Tabla1[[#This Row],[Ean Normalizado]],Consumos!A:A,Consumos!E:E)</f>
        <v>#VALUE!</v>
      </c>
      <c r="R928" s="22" t="e">
        <f>_xlfn.XLOOKUP(Tabla1[[#This Row],[Ean Normalizado]],tabla_consumos[EAN],tabla_consumos[UM])</f>
        <v>#VALUE!</v>
      </c>
      <c r="S928" s="22" t="e">
        <f>Tabla1[[#This Row],[StockDisp]]*Tabla1[[#This Row],[UM producto]]</f>
        <v>#VALUE!</v>
      </c>
    </row>
    <row r="929" spans="1:19" x14ac:dyDescent="0.35">
      <c r="A929" s="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6"/>
      <c r="P929" s="23" t="e">
        <f>TRIM(Tabla1[[#This Row],[Articulo]])</f>
        <v>#VALUE!</v>
      </c>
      <c r="Q929" s="23" t="e">
        <f>_xlfn.XLOOKUP(Tabla1[[#This Row],[Ean Normalizado]],Consumos!A:A,Consumos!E:E)</f>
        <v>#VALUE!</v>
      </c>
      <c r="R929" s="22" t="e">
        <f>_xlfn.XLOOKUP(Tabla1[[#This Row],[Ean Normalizado]],tabla_consumos[EAN],tabla_consumos[UM])</f>
        <v>#VALUE!</v>
      </c>
      <c r="S929" s="22" t="e">
        <f>Tabla1[[#This Row],[StockDisp]]*Tabla1[[#This Row],[UM producto]]</f>
        <v>#VALUE!</v>
      </c>
    </row>
    <row r="930" spans="1:19" x14ac:dyDescent="0.35">
      <c r="A930" s="5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6"/>
      <c r="P930" s="23" t="e">
        <f>TRIM(Tabla1[[#This Row],[Articulo]])</f>
        <v>#VALUE!</v>
      </c>
      <c r="Q930" s="23" t="e">
        <f>_xlfn.XLOOKUP(Tabla1[[#This Row],[Ean Normalizado]],Consumos!A:A,Consumos!E:E)</f>
        <v>#VALUE!</v>
      </c>
      <c r="R930" s="22" t="e">
        <f>_xlfn.XLOOKUP(Tabla1[[#This Row],[Ean Normalizado]],tabla_consumos[EAN],tabla_consumos[UM])</f>
        <v>#VALUE!</v>
      </c>
      <c r="S930" s="22" t="e">
        <f>Tabla1[[#This Row],[StockDisp]]*Tabla1[[#This Row],[UM producto]]</f>
        <v>#VALUE!</v>
      </c>
    </row>
    <row r="931" spans="1:19" x14ac:dyDescent="0.35">
      <c r="A931" s="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6"/>
      <c r="P931" s="23" t="e">
        <f>TRIM(Tabla1[[#This Row],[Articulo]])</f>
        <v>#VALUE!</v>
      </c>
      <c r="Q931" s="23" t="e">
        <f>_xlfn.XLOOKUP(Tabla1[[#This Row],[Ean Normalizado]],Consumos!A:A,Consumos!E:E)</f>
        <v>#VALUE!</v>
      </c>
      <c r="R931" s="22" t="e">
        <f>_xlfn.XLOOKUP(Tabla1[[#This Row],[Ean Normalizado]],tabla_consumos[EAN],tabla_consumos[UM])</f>
        <v>#VALUE!</v>
      </c>
      <c r="S931" s="22" t="e">
        <f>Tabla1[[#This Row],[StockDisp]]*Tabla1[[#This Row],[UM producto]]</f>
        <v>#VALUE!</v>
      </c>
    </row>
    <row r="932" spans="1:19" x14ac:dyDescent="0.35">
      <c r="A932" s="5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6"/>
      <c r="P932" s="23" t="e">
        <f>TRIM(Tabla1[[#This Row],[Articulo]])</f>
        <v>#VALUE!</v>
      </c>
      <c r="Q932" s="23" t="e">
        <f>_xlfn.XLOOKUP(Tabla1[[#This Row],[Ean Normalizado]],Consumos!A:A,Consumos!E:E)</f>
        <v>#VALUE!</v>
      </c>
      <c r="R932" s="22" t="e">
        <f>_xlfn.XLOOKUP(Tabla1[[#This Row],[Ean Normalizado]],tabla_consumos[EAN],tabla_consumos[UM])</f>
        <v>#VALUE!</v>
      </c>
      <c r="S932" s="22" t="e">
        <f>Tabla1[[#This Row],[StockDisp]]*Tabla1[[#This Row],[UM producto]]</f>
        <v>#VALUE!</v>
      </c>
    </row>
    <row r="933" spans="1:19" x14ac:dyDescent="0.35">
      <c r="A933" s="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6"/>
      <c r="P933" s="23" t="e">
        <f>TRIM(Tabla1[[#This Row],[Articulo]])</f>
        <v>#VALUE!</v>
      </c>
      <c r="Q933" s="23" t="e">
        <f>_xlfn.XLOOKUP(Tabla1[[#This Row],[Ean Normalizado]],Consumos!A:A,Consumos!E:E)</f>
        <v>#VALUE!</v>
      </c>
      <c r="R933" s="22" t="e">
        <f>_xlfn.XLOOKUP(Tabla1[[#This Row],[Ean Normalizado]],tabla_consumos[EAN],tabla_consumos[UM])</f>
        <v>#VALUE!</v>
      </c>
      <c r="S933" s="22" t="e">
        <f>Tabla1[[#This Row],[StockDisp]]*Tabla1[[#This Row],[UM producto]]</f>
        <v>#VALUE!</v>
      </c>
    </row>
    <row r="934" spans="1:19" x14ac:dyDescent="0.35">
      <c r="A934" s="5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6"/>
      <c r="P934" s="23" t="e">
        <f>TRIM(Tabla1[[#This Row],[Articulo]])</f>
        <v>#VALUE!</v>
      </c>
      <c r="Q934" s="23" t="e">
        <f>_xlfn.XLOOKUP(Tabla1[[#This Row],[Ean Normalizado]],Consumos!A:A,Consumos!E:E)</f>
        <v>#VALUE!</v>
      </c>
      <c r="R934" s="22" t="e">
        <f>_xlfn.XLOOKUP(Tabla1[[#This Row],[Ean Normalizado]],tabla_consumos[EAN],tabla_consumos[UM])</f>
        <v>#VALUE!</v>
      </c>
      <c r="S934" s="22" t="e">
        <f>Tabla1[[#This Row],[StockDisp]]*Tabla1[[#This Row],[UM producto]]</f>
        <v>#VALUE!</v>
      </c>
    </row>
    <row r="935" spans="1:19" x14ac:dyDescent="0.35">
      <c r="A935" s="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6"/>
      <c r="P935" s="23" t="e">
        <f>TRIM(Tabla1[[#This Row],[Articulo]])</f>
        <v>#VALUE!</v>
      </c>
      <c r="Q935" s="23" t="e">
        <f>_xlfn.XLOOKUP(Tabla1[[#This Row],[Ean Normalizado]],Consumos!A:A,Consumos!E:E)</f>
        <v>#VALUE!</v>
      </c>
      <c r="R935" s="22" t="e">
        <f>_xlfn.XLOOKUP(Tabla1[[#This Row],[Ean Normalizado]],tabla_consumos[EAN],tabla_consumos[UM])</f>
        <v>#VALUE!</v>
      </c>
      <c r="S935" s="22" t="e">
        <f>Tabla1[[#This Row],[StockDisp]]*Tabla1[[#This Row],[UM producto]]</f>
        <v>#VALUE!</v>
      </c>
    </row>
    <row r="936" spans="1:19" x14ac:dyDescent="0.35">
      <c r="A936" s="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6"/>
      <c r="P936" s="23" t="e">
        <f>TRIM(Tabla1[[#This Row],[Articulo]])</f>
        <v>#VALUE!</v>
      </c>
      <c r="Q936" s="23" t="e">
        <f>_xlfn.XLOOKUP(Tabla1[[#This Row],[Ean Normalizado]],Consumos!A:A,Consumos!E:E)</f>
        <v>#VALUE!</v>
      </c>
      <c r="R936" s="22" t="e">
        <f>_xlfn.XLOOKUP(Tabla1[[#This Row],[Ean Normalizado]],tabla_consumos[EAN],tabla_consumos[UM])</f>
        <v>#VALUE!</v>
      </c>
      <c r="S936" s="22" t="e">
        <f>Tabla1[[#This Row],[StockDisp]]*Tabla1[[#This Row],[UM producto]]</f>
        <v>#VALUE!</v>
      </c>
    </row>
    <row r="937" spans="1:19" x14ac:dyDescent="0.35">
      <c r="A937" s="5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6"/>
      <c r="P937" s="23" t="e">
        <f>TRIM(Tabla1[[#This Row],[Articulo]])</f>
        <v>#VALUE!</v>
      </c>
      <c r="Q937" s="23" t="e">
        <f>_xlfn.XLOOKUP(Tabla1[[#This Row],[Ean Normalizado]],Consumos!A:A,Consumos!E:E)</f>
        <v>#VALUE!</v>
      </c>
      <c r="R937" s="22" t="e">
        <f>_xlfn.XLOOKUP(Tabla1[[#This Row],[Ean Normalizado]],tabla_consumos[EAN],tabla_consumos[UM])</f>
        <v>#VALUE!</v>
      </c>
      <c r="S937" s="22" t="e">
        <f>Tabla1[[#This Row],[StockDisp]]*Tabla1[[#This Row],[UM producto]]</f>
        <v>#VALUE!</v>
      </c>
    </row>
    <row r="938" spans="1:19" x14ac:dyDescent="0.35">
      <c r="A938" s="5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6"/>
      <c r="P938" s="23" t="e">
        <f>TRIM(Tabla1[[#This Row],[Articulo]])</f>
        <v>#VALUE!</v>
      </c>
      <c r="Q938" s="23" t="e">
        <f>_xlfn.XLOOKUP(Tabla1[[#This Row],[Ean Normalizado]],Consumos!A:A,Consumos!E:E)</f>
        <v>#VALUE!</v>
      </c>
      <c r="R938" s="22" t="e">
        <f>_xlfn.XLOOKUP(Tabla1[[#This Row],[Ean Normalizado]],tabla_consumos[EAN],tabla_consumos[UM])</f>
        <v>#VALUE!</v>
      </c>
      <c r="S938" s="22" t="e">
        <f>Tabla1[[#This Row],[StockDisp]]*Tabla1[[#This Row],[UM producto]]</f>
        <v>#VALUE!</v>
      </c>
    </row>
    <row r="939" spans="1:19" x14ac:dyDescent="0.35">
      <c r="A939" s="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6"/>
      <c r="P939" s="23" t="e">
        <f>TRIM(Tabla1[[#This Row],[Articulo]])</f>
        <v>#VALUE!</v>
      </c>
      <c r="Q939" s="23" t="e">
        <f>_xlfn.XLOOKUP(Tabla1[[#This Row],[Ean Normalizado]],Consumos!A:A,Consumos!E:E)</f>
        <v>#VALUE!</v>
      </c>
      <c r="R939" s="22" t="e">
        <f>_xlfn.XLOOKUP(Tabla1[[#This Row],[Ean Normalizado]],tabla_consumos[EAN],tabla_consumos[UM])</f>
        <v>#VALUE!</v>
      </c>
      <c r="S939" s="22" t="e">
        <f>Tabla1[[#This Row],[StockDisp]]*Tabla1[[#This Row],[UM producto]]</f>
        <v>#VALUE!</v>
      </c>
    </row>
    <row r="940" spans="1:19" x14ac:dyDescent="0.35">
      <c r="A940" s="5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6"/>
      <c r="P940" s="23" t="e">
        <f>TRIM(Tabla1[[#This Row],[Articulo]])</f>
        <v>#VALUE!</v>
      </c>
      <c r="Q940" s="23" t="e">
        <f>_xlfn.XLOOKUP(Tabla1[[#This Row],[Ean Normalizado]],Consumos!A:A,Consumos!E:E)</f>
        <v>#VALUE!</v>
      </c>
      <c r="R940" s="22" t="e">
        <f>_xlfn.XLOOKUP(Tabla1[[#This Row],[Ean Normalizado]],tabla_consumos[EAN],tabla_consumos[UM])</f>
        <v>#VALUE!</v>
      </c>
      <c r="S940" s="22" t="e">
        <f>Tabla1[[#This Row],[StockDisp]]*Tabla1[[#This Row],[UM producto]]</f>
        <v>#VALUE!</v>
      </c>
    </row>
    <row r="941" spans="1:19" x14ac:dyDescent="0.35">
      <c r="A941" s="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6"/>
      <c r="P941" s="23" t="e">
        <f>TRIM(Tabla1[[#This Row],[Articulo]])</f>
        <v>#VALUE!</v>
      </c>
      <c r="Q941" s="23" t="e">
        <f>_xlfn.XLOOKUP(Tabla1[[#This Row],[Ean Normalizado]],Consumos!A:A,Consumos!E:E)</f>
        <v>#VALUE!</v>
      </c>
      <c r="R941" s="22" t="e">
        <f>_xlfn.XLOOKUP(Tabla1[[#This Row],[Ean Normalizado]],tabla_consumos[EAN],tabla_consumos[UM])</f>
        <v>#VALUE!</v>
      </c>
      <c r="S941" s="22" t="e">
        <f>Tabla1[[#This Row],[StockDisp]]*Tabla1[[#This Row],[UM producto]]</f>
        <v>#VALUE!</v>
      </c>
    </row>
    <row r="942" spans="1:19" x14ac:dyDescent="0.35">
      <c r="A942" s="5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6"/>
      <c r="P942" s="23" t="e">
        <f>TRIM(Tabla1[[#This Row],[Articulo]])</f>
        <v>#VALUE!</v>
      </c>
      <c r="Q942" s="23" t="e">
        <f>_xlfn.XLOOKUP(Tabla1[[#This Row],[Ean Normalizado]],Consumos!A:A,Consumos!E:E)</f>
        <v>#VALUE!</v>
      </c>
      <c r="R942" s="22" t="e">
        <f>_xlfn.XLOOKUP(Tabla1[[#This Row],[Ean Normalizado]],tabla_consumos[EAN],tabla_consumos[UM])</f>
        <v>#VALUE!</v>
      </c>
      <c r="S942" s="22" t="e">
        <f>Tabla1[[#This Row],[StockDisp]]*Tabla1[[#This Row],[UM producto]]</f>
        <v>#VALUE!</v>
      </c>
    </row>
    <row r="943" spans="1:19" x14ac:dyDescent="0.35">
      <c r="A943" s="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6"/>
      <c r="P943" s="23" t="e">
        <f>TRIM(Tabla1[[#This Row],[Articulo]])</f>
        <v>#VALUE!</v>
      </c>
      <c r="Q943" s="23" t="e">
        <f>_xlfn.XLOOKUP(Tabla1[[#This Row],[Ean Normalizado]],Consumos!A:A,Consumos!E:E)</f>
        <v>#VALUE!</v>
      </c>
      <c r="R943" s="22" t="e">
        <f>_xlfn.XLOOKUP(Tabla1[[#This Row],[Ean Normalizado]],tabla_consumos[EAN],tabla_consumos[UM])</f>
        <v>#VALUE!</v>
      </c>
      <c r="S943" s="22" t="e">
        <f>Tabla1[[#This Row],[StockDisp]]*Tabla1[[#This Row],[UM producto]]</f>
        <v>#VALUE!</v>
      </c>
    </row>
    <row r="944" spans="1:19" x14ac:dyDescent="0.35">
      <c r="A944" s="5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6"/>
      <c r="P944" s="23" t="e">
        <f>TRIM(Tabla1[[#This Row],[Articulo]])</f>
        <v>#VALUE!</v>
      </c>
      <c r="Q944" s="23" t="e">
        <f>_xlfn.XLOOKUP(Tabla1[[#This Row],[Ean Normalizado]],Consumos!A:A,Consumos!E:E)</f>
        <v>#VALUE!</v>
      </c>
      <c r="R944" s="22" t="e">
        <f>_xlfn.XLOOKUP(Tabla1[[#This Row],[Ean Normalizado]],tabla_consumos[EAN],tabla_consumos[UM])</f>
        <v>#VALUE!</v>
      </c>
      <c r="S944" s="22" t="e">
        <f>Tabla1[[#This Row],[StockDisp]]*Tabla1[[#This Row],[UM producto]]</f>
        <v>#VALUE!</v>
      </c>
    </row>
    <row r="945" spans="1:19" x14ac:dyDescent="0.35">
      <c r="A945" s="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6"/>
      <c r="P945" s="23" t="e">
        <f>TRIM(Tabla1[[#This Row],[Articulo]])</f>
        <v>#VALUE!</v>
      </c>
      <c r="Q945" s="23" t="e">
        <f>_xlfn.XLOOKUP(Tabla1[[#This Row],[Ean Normalizado]],Consumos!A:A,Consumos!E:E)</f>
        <v>#VALUE!</v>
      </c>
      <c r="R945" s="22" t="e">
        <f>_xlfn.XLOOKUP(Tabla1[[#This Row],[Ean Normalizado]],tabla_consumos[EAN],tabla_consumos[UM])</f>
        <v>#VALUE!</v>
      </c>
      <c r="S945" s="22" t="e">
        <f>Tabla1[[#This Row],[StockDisp]]*Tabla1[[#This Row],[UM producto]]</f>
        <v>#VALUE!</v>
      </c>
    </row>
    <row r="946" spans="1:19" x14ac:dyDescent="0.35">
      <c r="A946" s="5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6"/>
      <c r="P946" s="23" t="e">
        <f>TRIM(Tabla1[[#This Row],[Articulo]])</f>
        <v>#VALUE!</v>
      </c>
      <c r="Q946" s="23" t="e">
        <f>_xlfn.XLOOKUP(Tabla1[[#This Row],[Ean Normalizado]],Consumos!A:A,Consumos!E:E)</f>
        <v>#VALUE!</v>
      </c>
      <c r="R946" s="22" t="e">
        <f>_xlfn.XLOOKUP(Tabla1[[#This Row],[Ean Normalizado]],tabla_consumos[EAN],tabla_consumos[UM])</f>
        <v>#VALUE!</v>
      </c>
      <c r="S946" s="22" t="e">
        <f>Tabla1[[#This Row],[StockDisp]]*Tabla1[[#This Row],[UM producto]]</f>
        <v>#VALUE!</v>
      </c>
    </row>
    <row r="947" spans="1:19" x14ac:dyDescent="0.35">
      <c r="A947" s="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6"/>
      <c r="P947" s="23" t="e">
        <f>TRIM(Tabla1[[#This Row],[Articulo]])</f>
        <v>#VALUE!</v>
      </c>
      <c r="Q947" s="23" t="e">
        <f>_xlfn.XLOOKUP(Tabla1[[#This Row],[Ean Normalizado]],Consumos!A:A,Consumos!E:E)</f>
        <v>#VALUE!</v>
      </c>
      <c r="R947" s="22" t="e">
        <f>_xlfn.XLOOKUP(Tabla1[[#This Row],[Ean Normalizado]],tabla_consumos[EAN],tabla_consumos[UM])</f>
        <v>#VALUE!</v>
      </c>
      <c r="S947" s="22" t="e">
        <f>Tabla1[[#This Row],[StockDisp]]*Tabla1[[#This Row],[UM producto]]</f>
        <v>#VALUE!</v>
      </c>
    </row>
    <row r="948" spans="1:19" x14ac:dyDescent="0.35">
      <c r="A948" s="5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6"/>
      <c r="P948" s="23" t="e">
        <f>TRIM(Tabla1[[#This Row],[Articulo]])</f>
        <v>#VALUE!</v>
      </c>
      <c r="Q948" s="23" t="e">
        <f>_xlfn.XLOOKUP(Tabla1[[#This Row],[Ean Normalizado]],Consumos!A:A,Consumos!E:E)</f>
        <v>#VALUE!</v>
      </c>
      <c r="R948" s="22" t="e">
        <f>_xlfn.XLOOKUP(Tabla1[[#This Row],[Ean Normalizado]],tabla_consumos[EAN],tabla_consumos[UM])</f>
        <v>#VALUE!</v>
      </c>
      <c r="S948" s="22" t="e">
        <f>Tabla1[[#This Row],[StockDisp]]*Tabla1[[#This Row],[UM producto]]</f>
        <v>#VALUE!</v>
      </c>
    </row>
    <row r="949" spans="1:19" x14ac:dyDescent="0.35">
      <c r="A949" s="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6"/>
      <c r="P949" s="23" t="e">
        <f>TRIM(Tabla1[[#This Row],[Articulo]])</f>
        <v>#VALUE!</v>
      </c>
      <c r="Q949" s="23" t="e">
        <f>_xlfn.XLOOKUP(Tabla1[[#This Row],[Ean Normalizado]],Consumos!A:A,Consumos!E:E)</f>
        <v>#VALUE!</v>
      </c>
      <c r="R949" s="22" t="e">
        <f>_xlfn.XLOOKUP(Tabla1[[#This Row],[Ean Normalizado]],tabla_consumos[EAN],tabla_consumos[UM])</f>
        <v>#VALUE!</v>
      </c>
      <c r="S949" s="22" t="e">
        <f>Tabla1[[#This Row],[StockDisp]]*Tabla1[[#This Row],[UM producto]]</f>
        <v>#VALUE!</v>
      </c>
    </row>
    <row r="950" spans="1:19" x14ac:dyDescent="0.35">
      <c r="A950" s="5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6"/>
      <c r="P950" s="23" t="e">
        <f>TRIM(Tabla1[[#This Row],[Articulo]])</f>
        <v>#VALUE!</v>
      </c>
      <c r="Q950" s="23" t="e">
        <f>_xlfn.XLOOKUP(Tabla1[[#This Row],[Ean Normalizado]],Consumos!A:A,Consumos!E:E)</f>
        <v>#VALUE!</v>
      </c>
      <c r="R950" s="22" t="e">
        <f>_xlfn.XLOOKUP(Tabla1[[#This Row],[Ean Normalizado]],tabla_consumos[EAN],tabla_consumos[UM])</f>
        <v>#VALUE!</v>
      </c>
      <c r="S950" s="22" t="e">
        <f>Tabla1[[#This Row],[StockDisp]]*Tabla1[[#This Row],[UM producto]]</f>
        <v>#VALUE!</v>
      </c>
    </row>
    <row r="951" spans="1:19" x14ac:dyDescent="0.35">
      <c r="A951" s="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6"/>
      <c r="P951" s="23" t="e">
        <f>TRIM(Tabla1[[#This Row],[Articulo]])</f>
        <v>#VALUE!</v>
      </c>
      <c r="Q951" s="23" t="e">
        <f>_xlfn.XLOOKUP(Tabla1[[#This Row],[Ean Normalizado]],Consumos!A:A,Consumos!E:E)</f>
        <v>#VALUE!</v>
      </c>
      <c r="R951" s="22" t="e">
        <f>_xlfn.XLOOKUP(Tabla1[[#This Row],[Ean Normalizado]],tabla_consumos[EAN],tabla_consumos[UM])</f>
        <v>#VALUE!</v>
      </c>
      <c r="S951" s="22" t="e">
        <f>Tabla1[[#This Row],[StockDisp]]*Tabla1[[#This Row],[UM producto]]</f>
        <v>#VALUE!</v>
      </c>
    </row>
    <row r="952" spans="1:19" x14ac:dyDescent="0.35">
      <c r="A952" s="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6"/>
      <c r="P952" s="23" t="e">
        <f>TRIM(Tabla1[[#This Row],[Articulo]])</f>
        <v>#VALUE!</v>
      </c>
      <c r="Q952" s="23" t="e">
        <f>_xlfn.XLOOKUP(Tabla1[[#This Row],[Ean Normalizado]],Consumos!A:A,Consumos!E:E)</f>
        <v>#VALUE!</v>
      </c>
      <c r="R952" s="22" t="e">
        <f>_xlfn.XLOOKUP(Tabla1[[#This Row],[Ean Normalizado]],tabla_consumos[EAN],tabla_consumos[UM])</f>
        <v>#VALUE!</v>
      </c>
      <c r="S952" s="22" t="e">
        <f>Tabla1[[#This Row],[StockDisp]]*Tabla1[[#This Row],[UM producto]]</f>
        <v>#VALUE!</v>
      </c>
    </row>
    <row r="953" spans="1:19" x14ac:dyDescent="0.35">
      <c r="A953" s="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6"/>
      <c r="P953" s="23" t="e">
        <f>TRIM(Tabla1[[#This Row],[Articulo]])</f>
        <v>#VALUE!</v>
      </c>
      <c r="Q953" s="23" t="e">
        <f>_xlfn.XLOOKUP(Tabla1[[#This Row],[Ean Normalizado]],Consumos!A:A,Consumos!E:E)</f>
        <v>#VALUE!</v>
      </c>
      <c r="R953" s="22" t="e">
        <f>_xlfn.XLOOKUP(Tabla1[[#This Row],[Ean Normalizado]],tabla_consumos[EAN],tabla_consumos[UM])</f>
        <v>#VALUE!</v>
      </c>
      <c r="S953" s="22" t="e">
        <f>Tabla1[[#This Row],[StockDisp]]*Tabla1[[#This Row],[UM producto]]</f>
        <v>#VALUE!</v>
      </c>
    </row>
    <row r="954" spans="1:19" x14ac:dyDescent="0.35">
      <c r="A954" s="5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6"/>
      <c r="P954" s="23" t="e">
        <f>TRIM(Tabla1[[#This Row],[Articulo]])</f>
        <v>#VALUE!</v>
      </c>
      <c r="Q954" s="23" t="e">
        <f>_xlfn.XLOOKUP(Tabla1[[#This Row],[Ean Normalizado]],Consumos!A:A,Consumos!E:E)</f>
        <v>#VALUE!</v>
      </c>
      <c r="R954" s="22" t="e">
        <f>_xlfn.XLOOKUP(Tabla1[[#This Row],[Ean Normalizado]],tabla_consumos[EAN],tabla_consumos[UM])</f>
        <v>#VALUE!</v>
      </c>
      <c r="S954" s="22" t="e">
        <f>Tabla1[[#This Row],[StockDisp]]*Tabla1[[#This Row],[UM producto]]</f>
        <v>#VALUE!</v>
      </c>
    </row>
    <row r="955" spans="1:19" x14ac:dyDescent="0.35">
      <c r="A955" s="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6"/>
      <c r="P955" s="23" t="e">
        <f>TRIM(Tabla1[[#This Row],[Articulo]])</f>
        <v>#VALUE!</v>
      </c>
      <c r="Q955" s="23" t="e">
        <f>_xlfn.XLOOKUP(Tabla1[[#This Row],[Ean Normalizado]],Consumos!A:A,Consumos!E:E)</f>
        <v>#VALUE!</v>
      </c>
      <c r="R955" s="22" t="e">
        <f>_xlfn.XLOOKUP(Tabla1[[#This Row],[Ean Normalizado]],tabla_consumos[EAN],tabla_consumos[UM])</f>
        <v>#VALUE!</v>
      </c>
      <c r="S955" s="22" t="e">
        <f>Tabla1[[#This Row],[StockDisp]]*Tabla1[[#This Row],[UM producto]]</f>
        <v>#VALUE!</v>
      </c>
    </row>
    <row r="956" spans="1:19" x14ac:dyDescent="0.35">
      <c r="A956" s="5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6"/>
      <c r="P956" s="23" t="e">
        <f>TRIM(Tabla1[[#This Row],[Articulo]])</f>
        <v>#VALUE!</v>
      </c>
      <c r="Q956" s="23" t="e">
        <f>_xlfn.XLOOKUP(Tabla1[[#This Row],[Ean Normalizado]],Consumos!A:A,Consumos!E:E)</f>
        <v>#VALUE!</v>
      </c>
      <c r="R956" s="22" t="e">
        <f>_xlfn.XLOOKUP(Tabla1[[#This Row],[Ean Normalizado]],tabla_consumos[EAN],tabla_consumos[UM])</f>
        <v>#VALUE!</v>
      </c>
      <c r="S956" s="22" t="e">
        <f>Tabla1[[#This Row],[StockDisp]]*Tabla1[[#This Row],[UM producto]]</f>
        <v>#VALUE!</v>
      </c>
    </row>
    <row r="957" spans="1:19" x14ac:dyDescent="0.35">
      <c r="A957" s="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6"/>
      <c r="P957" s="23" t="e">
        <f>TRIM(Tabla1[[#This Row],[Articulo]])</f>
        <v>#VALUE!</v>
      </c>
      <c r="Q957" s="23" t="e">
        <f>_xlfn.XLOOKUP(Tabla1[[#This Row],[Ean Normalizado]],Consumos!A:A,Consumos!E:E)</f>
        <v>#VALUE!</v>
      </c>
      <c r="R957" s="22" t="e">
        <f>_xlfn.XLOOKUP(Tabla1[[#This Row],[Ean Normalizado]],tabla_consumos[EAN],tabla_consumos[UM])</f>
        <v>#VALUE!</v>
      </c>
      <c r="S957" s="22" t="e">
        <f>Tabla1[[#This Row],[StockDisp]]*Tabla1[[#This Row],[UM producto]]</f>
        <v>#VALUE!</v>
      </c>
    </row>
    <row r="958" spans="1:19" x14ac:dyDescent="0.35">
      <c r="A958" s="5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6"/>
      <c r="P958" s="23" t="e">
        <f>TRIM(Tabla1[[#This Row],[Articulo]])</f>
        <v>#VALUE!</v>
      </c>
      <c r="Q958" s="23" t="e">
        <f>_xlfn.XLOOKUP(Tabla1[[#This Row],[Ean Normalizado]],Consumos!A:A,Consumos!E:E)</f>
        <v>#VALUE!</v>
      </c>
      <c r="R958" s="22" t="e">
        <f>_xlfn.XLOOKUP(Tabla1[[#This Row],[Ean Normalizado]],tabla_consumos[EAN],tabla_consumos[UM])</f>
        <v>#VALUE!</v>
      </c>
      <c r="S958" s="22" t="e">
        <f>Tabla1[[#This Row],[StockDisp]]*Tabla1[[#This Row],[UM producto]]</f>
        <v>#VALUE!</v>
      </c>
    </row>
    <row r="959" spans="1:19" x14ac:dyDescent="0.35">
      <c r="A959" s="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6"/>
      <c r="P959" s="23" t="e">
        <f>TRIM(Tabla1[[#This Row],[Articulo]])</f>
        <v>#VALUE!</v>
      </c>
      <c r="Q959" s="23" t="e">
        <f>_xlfn.XLOOKUP(Tabla1[[#This Row],[Ean Normalizado]],Consumos!A:A,Consumos!E:E)</f>
        <v>#VALUE!</v>
      </c>
      <c r="R959" s="22" t="e">
        <f>_xlfn.XLOOKUP(Tabla1[[#This Row],[Ean Normalizado]],tabla_consumos[EAN],tabla_consumos[UM])</f>
        <v>#VALUE!</v>
      </c>
      <c r="S959" s="22" t="e">
        <f>Tabla1[[#This Row],[StockDisp]]*Tabla1[[#This Row],[UM producto]]</f>
        <v>#VALUE!</v>
      </c>
    </row>
    <row r="960" spans="1:19" x14ac:dyDescent="0.35">
      <c r="A960" s="5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6"/>
      <c r="P960" s="23" t="e">
        <f>TRIM(Tabla1[[#This Row],[Articulo]])</f>
        <v>#VALUE!</v>
      </c>
      <c r="Q960" s="23" t="e">
        <f>_xlfn.XLOOKUP(Tabla1[[#This Row],[Ean Normalizado]],Consumos!A:A,Consumos!E:E)</f>
        <v>#VALUE!</v>
      </c>
      <c r="R960" s="22" t="e">
        <f>_xlfn.XLOOKUP(Tabla1[[#This Row],[Ean Normalizado]],tabla_consumos[EAN],tabla_consumos[UM])</f>
        <v>#VALUE!</v>
      </c>
      <c r="S960" s="22" t="e">
        <f>Tabla1[[#This Row],[StockDisp]]*Tabla1[[#This Row],[UM producto]]</f>
        <v>#VALUE!</v>
      </c>
    </row>
    <row r="961" spans="1:19" x14ac:dyDescent="0.35">
      <c r="A961" s="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6"/>
      <c r="P961" s="23" t="e">
        <f>TRIM(Tabla1[[#This Row],[Articulo]])</f>
        <v>#VALUE!</v>
      </c>
      <c r="Q961" s="23" t="e">
        <f>_xlfn.XLOOKUP(Tabla1[[#This Row],[Ean Normalizado]],Consumos!A:A,Consumos!E:E)</f>
        <v>#VALUE!</v>
      </c>
      <c r="R961" s="22" t="e">
        <f>_xlfn.XLOOKUP(Tabla1[[#This Row],[Ean Normalizado]],tabla_consumos[EAN],tabla_consumos[UM])</f>
        <v>#VALUE!</v>
      </c>
      <c r="S961" s="22" t="e">
        <f>Tabla1[[#This Row],[StockDisp]]*Tabla1[[#This Row],[UM producto]]</f>
        <v>#VALUE!</v>
      </c>
    </row>
    <row r="962" spans="1:19" x14ac:dyDescent="0.35">
      <c r="A962" s="5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6"/>
      <c r="P962" s="23" t="e">
        <f>TRIM(Tabla1[[#This Row],[Articulo]])</f>
        <v>#VALUE!</v>
      </c>
      <c r="Q962" s="23" t="e">
        <f>_xlfn.XLOOKUP(Tabla1[[#This Row],[Ean Normalizado]],Consumos!A:A,Consumos!E:E)</f>
        <v>#VALUE!</v>
      </c>
      <c r="R962" s="22" t="e">
        <f>_xlfn.XLOOKUP(Tabla1[[#This Row],[Ean Normalizado]],tabla_consumos[EAN],tabla_consumos[UM])</f>
        <v>#VALUE!</v>
      </c>
      <c r="S962" s="22" t="e">
        <f>Tabla1[[#This Row],[StockDisp]]*Tabla1[[#This Row],[UM producto]]</f>
        <v>#VALUE!</v>
      </c>
    </row>
    <row r="963" spans="1:19" x14ac:dyDescent="0.35">
      <c r="A963" s="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6"/>
      <c r="P963" s="23" t="e">
        <f>TRIM(Tabla1[[#This Row],[Articulo]])</f>
        <v>#VALUE!</v>
      </c>
      <c r="Q963" s="23" t="e">
        <f>_xlfn.XLOOKUP(Tabla1[[#This Row],[Ean Normalizado]],Consumos!A:A,Consumos!E:E)</f>
        <v>#VALUE!</v>
      </c>
      <c r="R963" s="22" t="e">
        <f>_xlfn.XLOOKUP(Tabla1[[#This Row],[Ean Normalizado]],tabla_consumos[EAN],tabla_consumos[UM])</f>
        <v>#VALUE!</v>
      </c>
      <c r="S963" s="22" t="e">
        <f>Tabla1[[#This Row],[StockDisp]]*Tabla1[[#This Row],[UM producto]]</f>
        <v>#VALUE!</v>
      </c>
    </row>
    <row r="964" spans="1:19" x14ac:dyDescent="0.35">
      <c r="A964" s="5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6"/>
      <c r="P964" s="23" t="e">
        <f>TRIM(Tabla1[[#This Row],[Articulo]])</f>
        <v>#VALUE!</v>
      </c>
      <c r="Q964" s="23" t="e">
        <f>_xlfn.XLOOKUP(Tabla1[[#This Row],[Ean Normalizado]],Consumos!A:A,Consumos!E:E)</f>
        <v>#VALUE!</v>
      </c>
      <c r="R964" s="22" t="e">
        <f>_xlfn.XLOOKUP(Tabla1[[#This Row],[Ean Normalizado]],tabla_consumos[EAN],tabla_consumos[UM])</f>
        <v>#VALUE!</v>
      </c>
      <c r="S964" s="22" t="e">
        <f>Tabla1[[#This Row],[StockDisp]]*Tabla1[[#This Row],[UM producto]]</f>
        <v>#VALUE!</v>
      </c>
    </row>
    <row r="965" spans="1:19" x14ac:dyDescent="0.35">
      <c r="A965" s="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6"/>
      <c r="P965" s="23" t="e">
        <f>TRIM(Tabla1[[#This Row],[Articulo]])</f>
        <v>#VALUE!</v>
      </c>
      <c r="Q965" s="23" t="e">
        <f>_xlfn.XLOOKUP(Tabla1[[#This Row],[Ean Normalizado]],Consumos!A:A,Consumos!E:E)</f>
        <v>#VALUE!</v>
      </c>
      <c r="R965" s="22" t="e">
        <f>_xlfn.XLOOKUP(Tabla1[[#This Row],[Ean Normalizado]],tabla_consumos[EAN],tabla_consumos[UM])</f>
        <v>#VALUE!</v>
      </c>
      <c r="S965" s="22" t="e">
        <f>Tabla1[[#This Row],[StockDisp]]*Tabla1[[#This Row],[UM producto]]</f>
        <v>#VALUE!</v>
      </c>
    </row>
    <row r="966" spans="1:19" x14ac:dyDescent="0.35">
      <c r="A966" s="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6"/>
      <c r="P966" s="23" t="e">
        <f>TRIM(Tabla1[[#This Row],[Articulo]])</f>
        <v>#VALUE!</v>
      </c>
      <c r="Q966" s="23" t="e">
        <f>_xlfn.XLOOKUP(Tabla1[[#This Row],[Ean Normalizado]],Consumos!A:A,Consumos!E:E)</f>
        <v>#VALUE!</v>
      </c>
      <c r="R966" s="22" t="e">
        <f>_xlfn.XLOOKUP(Tabla1[[#This Row],[Ean Normalizado]],tabla_consumos[EAN],tabla_consumos[UM])</f>
        <v>#VALUE!</v>
      </c>
      <c r="S966" s="22" t="e">
        <f>Tabla1[[#This Row],[StockDisp]]*Tabla1[[#This Row],[UM producto]]</f>
        <v>#VALUE!</v>
      </c>
    </row>
    <row r="967" spans="1:19" x14ac:dyDescent="0.35">
      <c r="A967" s="5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6"/>
      <c r="P967" s="23" t="e">
        <f>TRIM(Tabla1[[#This Row],[Articulo]])</f>
        <v>#VALUE!</v>
      </c>
      <c r="Q967" s="23" t="e">
        <f>_xlfn.XLOOKUP(Tabla1[[#This Row],[Ean Normalizado]],Consumos!A:A,Consumos!E:E)</f>
        <v>#VALUE!</v>
      </c>
      <c r="R967" s="22" t="e">
        <f>_xlfn.XLOOKUP(Tabla1[[#This Row],[Ean Normalizado]],tabla_consumos[EAN],tabla_consumos[UM])</f>
        <v>#VALUE!</v>
      </c>
      <c r="S967" s="22" t="e">
        <f>Tabla1[[#This Row],[StockDisp]]*Tabla1[[#This Row],[UM producto]]</f>
        <v>#VALUE!</v>
      </c>
    </row>
    <row r="968" spans="1:19" x14ac:dyDescent="0.35">
      <c r="A968" s="5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6"/>
      <c r="P968" s="23" t="e">
        <f>TRIM(Tabla1[[#This Row],[Articulo]])</f>
        <v>#VALUE!</v>
      </c>
      <c r="Q968" s="23" t="e">
        <f>_xlfn.XLOOKUP(Tabla1[[#This Row],[Ean Normalizado]],Consumos!A:A,Consumos!E:E)</f>
        <v>#VALUE!</v>
      </c>
      <c r="R968" s="22" t="e">
        <f>_xlfn.XLOOKUP(Tabla1[[#This Row],[Ean Normalizado]],tabla_consumos[EAN],tabla_consumos[UM])</f>
        <v>#VALUE!</v>
      </c>
      <c r="S968" s="22" t="e">
        <f>Tabla1[[#This Row],[StockDisp]]*Tabla1[[#This Row],[UM producto]]</f>
        <v>#VALUE!</v>
      </c>
    </row>
    <row r="969" spans="1:19" x14ac:dyDescent="0.35">
      <c r="A969" s="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6"/>
      <c r="P969" s="23" t="e">
        <f>TRIM(Tabla1[[#This Row],[Articulo]])</f>
        <v>#VALUE!</v>
      </c>
      <c r="Q969" s="23" t="e">
        <f>_xlfn.XLOOKUP(Tabla1[[#This Row],[Ean Normalizado]],Consumos!A:A,Consumos!E:E)</f>
        <v>#VALUE!</v>
      </c>
      <c r="R969" s="22" t="e">
        <f>_xlfn.XLOOKUP(Tabla1[[#This Row],[Ean Normalizado]],tabla_consumos[EAN],tabla_consumos[UM])</f>
        <v>#VALUE!</v>
      </c>
      <c r="S969" s="22" t="e">
        <f>Tabla1[[#This Row],[StockDisp]]*Tabla1[[#This Row],[UM producto]]</f>
        <v>#VALUE!</v>
      </c>
    </row>
    <row r="970" spans="1:19" x14ac:dyDescent="0.35">
      <c r="A970" s="5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6"/>
      <c r="P970" s="23" t="e">
        <f>TRIM(Tabla1[[#This Row],[Articulo]])</f>
        <v>#VALUE!</v>
      </c>
      <c r="Q970" s="23" t="e">
        <f>_xlfn.XLOOKUP(Tabla1[[#This Row],[Ean Normalizado]],Consumos!A:A,Consumos!E:E)</f>
        <v>#VALUE!</v>
      </c>
      <c r="R970" s="22" t="e">
        <f>_xlfn.XLOOKUP(Tabla1[[#This Row],[Ean Normalizado]],tabla_consumos[EAN],tabla_consumos[UM])</f>
        <v>#VALUE!</v>
      </c>
      <c r="S970" s="22" t="e">
        <f>Tabla1[[#This Row],[StockDisp]]*Tabla1[[#This Row],[UM producto]]</f>
        <v>#VALUE!</v>
      </c>
    </row>
    <row r="971" spans="1:19" x14ac:dyDescent="0.35">
      <c r="A971" s="5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6"/>
      <c r="P971" s="23" t="e">
        <f>TRIM(Tabla1[[#This Row],[Articulo]])</f>
        <v>#VALUE!</v>
      </c>
      <c r="Q971" s="23" t="e">
        <f>_xlfn.XLOOKUP(Tabla1[[#This Row],[Ean Normalizado]],Consumos!A:A,Consumos!E:E)</f>
        <v>#VALUE!</v>
      </c>
      <c r="R971" s="22" t="e">
        <f>_xlfn.XLOOKUP(Tabla1[[#This Row],[Ean Normalizado]],tabla_consumos[EAN],tabla_consumos[UM])</f>
        <v>#VALUE!</v>
      </c>
      <c r="S971" s="22" t="e">
        <f>Tabla1[[#This Row],[StockDisp]]*Tabla1[[#This Row],[UM producto]]</f>
        <v>#VALUE!</v>
      </c>
    </row>
    <row r="972" spans="1:19" x14ac:dyDescent="0.35">
      <c r="A972" s="5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6"/>
      <c r="P972" s="23" t="e">
        <f>TRIM(Tabla1[[#This Row],[Articulo]])</f>
        <v>#VALUE!</v>
      </c>
      <c r="Q972" s="23" t="e">
        <f>_xlfn.XLOOKUP(Tabla1[[#This Row],[Ean Normalizado]],Consumos!A:A,Consumos!E:E)</f>
        <v>#VALUE!</v>
      </c>
      <c r="R972" s="22" t="e">
        <f>_xlfn.XLOOKUP(Tabla1[[#This Row],[Ean Normalizado]],tabla_consumos[EAN],tabla_consumos[UM])</f>
        <v>#VALUE!</v>
      </c>
      <c r="S972" s="22" t="e">
        <f>Tabla1[[#This Row],[StockDisp]]*Tabla1[[#This Row],[UM producto]]</f>
        <v>#VALUE!</v>
      </c>
    </row>
    <row r="973" spans="1:19" x14ac:dyDescent="0.35">
      <c r="A973" s="5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6"/>
      <c r="P973" s="23" t="e">
        <f>TRIM(Tabla1[[#This Row],[Articulo]])</f>
        <v>#VALUE!</v>
      </c>
      <c r="Q973" s="23" t="e">
        <f>_xlfn.XLOOKUP(Tabla1[[#This Row],[Ean Normalizado]],Consumos!A:A,Consumos!E:E)</f>
        <v>#VALUE!</v>
      </c>
      <c r="R973" s="22" t="e">
        <f>_xlfn.XLOOKUP(Tabla1[[#This Row],[Ean Normalizado]],tabla_consumos[EAN],tabla_consumos[UM])</f>
        <v>#VALUE!</v>
      </c>
      <c r="S973" s="22" t="e">
        <f>Tabla1[[#This Row],[StockDisp]]*Tabla1[[#This Row],[UM producto]]</f>
        <v>#VALUE!</v>
      </c>
    </row>
    <row r="974" spans="1:19" x14ac:dyDescent="0.35">
      <c r="A974" s="5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6"/>
      <c r="P974" s="23" t="e">
        <f>TRIM(Tabla1[[#This Row],[Articulo]])</f>
        <v>#VALUE!</v>
      </c>
      <c r="Q974" s="23" t="e">
        <f>_xlfn.XLOOKUP(Tabla1[[#This Row],[Ean Normalizado]],Consumos!A:A,Consumos!E:E)</f>
        <v>#VALUE!</v>
      </c>
      <c r="R974" s="22" t="e">
        <f>_xlfn.XLOOKUP(Tabla1[[#This Row],[Ean Normalizado]],tabla_consumos[EAN],tabla_consumos[UM])</f>
        <v>#VALUE!</v>
      </c>
      <c r="S974" s="22" t="e">
        <f>Tabla1[[#This Row],[StockDisp]]*Tabla1[[#This Row],[UM producto]]</f>
        <v>#VALUE!</v>
      </c>
    </row>
    <row r="975" spans="1:19" x14ac:dyDescent="0.35">
      <c r="A975" s="5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6"/>
      <c r="P975" s="23" t="e">
        <f>TRIM(Tabla1[[#This Row],[Articulo]])</f>
        <v>#VALUE!</v>
      </c>
      <c r="Q975" s="23" t="e">
        <f>_xlfn.XLOOKUP(Tabla1[[#This Row],[Ean Normalizado]],Consumos!A:A,Consumos!E:E)</f>
        <v>#VALUE!</v>
      </c>
      <c r="R975" s="22" t="e">
        <f>_xlfn.XLOOKUP(Tabla1[[#This Row],[Ean Normalizado]],tabla_consumos[EAN],tabla_consumos[UM])</f>
        <v>#VALUE!</v>
      </c>
      <c r="S975" s="22" t="e">
        <f>Tabla1[[#This Row],[StockDisp]]*Tabla1[[#This Row],[UM producto]]</f>
        <v>#VALUE!</v>
      </c>
    </row>
    <row r="976" spans="1:19" x14ac:dyDescent="0.35">
      <c r="A976" s="5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6"/>
      <c r="P976" s="23" t="e">
        <f>TRIM(Tabla1[[#This Row],[Articulo]])</f>
        <v>#VALUE!</v>
      </c>
      <c r="Q976" s="23" t="e">
        <f>_xlfn.XLOOKUP(Tabla1[[#This Row],[Ean Normalizado]],Consumos!A:A,Consumos!E:E)</f>
        <v>#VALUE!</v>
      </c>
      <c r="R976" s="22" t="e">
        <f>_xlfn.XLOOKUP(Tabla1[[#This Row],[Ean Normalizado]],tabla_consumos[EAN],tabla_consumos[UM])</f>
        <v>#VALUE!</v>
      </c>
      <c r="S976" s="22" t="e">
        <f>Tabla1[[#This Row],[StockDisp]]*Tabla1[[#This Row],[UM producto]]</f>
        <v>#VALUE!</v>
      </c>
    </row>
    <row r="977" spans="1:19" x14ac:dyDescent="0.35">
      <c r="A977" s="5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6"/>
      <c r="P977" s="23" t="e">
        <f>TRIM(Tabla1[[#This Row],[Articulo]])</f>
        <v>#VALUE!</v>
      </c>
      <c r="Q977" s="23" t="e">
        <f>_xlfn.XLOOKUP(Tabla1[[#This Row],[Ean Normalizado]],Consumos!A:A,Consumos!E:E)</f>
        <v>#VALUE!</v>
      </c>
      <c r="R977" s="22" t="e">
        <f>_xlfn.XLOOKUP(Tabla1[[#This Row],[Ean Normalizado]],tabla_consumos[EAN],tabla_consumos[UM])</f>
        <v>#VALUE!</v>
      </c>
      <c r="S977" s="22" t="e">
        <f>Tabla1[[#This Row],[StockDisp]]*Tabla1[[#This Row],[UM producto]]</f>
        <v>#VALUE!</v>
      </c>
    </row>
    <row r="978" spans="1:19" x14ac:dyDescent="0.35">
      <c r="A978" s="5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6"/>
      <c r="P978" s="23" t="e">
        <f>TRIM(Tabla1[[#This Row],[Articulo]])</f>
        <v>#VALUE!</v>
      </c>
      <c r="Q978" s="23" t="e">
        <f>_xlfn.XLOOKUP(Tabla1[[#This Row],[Ean Normalizado]],Consumos!A:A,Consumos!E:E)</f>
        <v>#VALUE!</v>
      </c>
      <c r="R978" s="22" t="e">
        <f>_xlfn.XLOOKUP(Tabla1[[#This Row],[Ean Normalizado]],tabla_consumos[EAN],tabla_consumos[UM])</f>
        <v>#VALUE!</v>
      </c>
      <c r="S978" s="22" t="e">
        <f>Tabla1[[#This Row],[StockDisp]]*Tabla1[[#This Row],[UM producto]]</f>
        <v>#VALUE!</v>
      </c>
    </row>
    <row r="979" spans="1:19" x14ac:dyDescent="0.35">
      <c r="A979" s="5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6"/>
      <c r="P979" s="23" t="e">
        <f>TRIM(Tabla1[[#This Row],[Articulo]])</f>
        <v>#VALUE!</v>
      </c>
      <c r="Q979" s="23" t="e">
        <f>_xlfn.XLOOKUP(Tabla1[[#This Row],[Ean Normalizado]],Consumos!A:A,Consumos!E:E)</f>
        <v>#VALUE!</v>
      </c>
      <c r="R979" s="22" t="e">
        <f>_xlfn.XLOOKUP(Tabla1[[#This Row],[Ean Normalizado]],tabla_consumos[EAN],tabla_consumos[UM])</f>
        <v>#VALUE!</v>
      </c>
      <c r="S979" s="22" t="e">
        <f>Tabla1[[#This Row],[StockDisp]]*Tabla1[[#This Row],[UM producto]]</f>
        <v>#VALUE!</v>
      </c>
    </row>
    <row r="980" spans="1:19" x14ac:dyDescent="0.35">
      <c r="A980" s="5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6"/>
      <c r="P980" s="23" t="e">
        <f>TRIM(Tabla1[[#This Row],[Articulo]])</f>
        <v>#VALUE!</v>
      </c>
      <c r="Q980" s="23" t="e">
        <f>_xlfn.XLOOKUP(Tabla1[[#This Row],[Ean Normalizado]],Consumos!A:A,Consumos!E:E)</f>
        <v>#VALUE!</v>
      </c>
      <c r="R980" s="22" t="e">
        <f>_xlfn.XLOOKUP(Tabla1[[#This Row],[Ean Normalizado]],tabla_consumos[EAN],tabla_consumos[UM])</f>
        <v>#VALUE!</v>
      </c>
      <c r="S980" s="22" t="e">
        <f>Tabla1[[#This Row],[StockDisp]]*Tabla1[[#This Row],[UM producto]]</f>
        <v>#VALUE!</v>
      </c>
    </row>
    <row r="981" spans="1:19" x14ac:dyDescent="0.35">
      <c r="A981" s="5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6"/>
      <c r="P981" s="23" t="e">
        <f>TRIM(Tabla1[[#This Row],[Articulo]])</f>
        <v>#VALUE!</v>
      </c>
      <c r="Q981" s="23" t="e">
        <f>_xlfn.XLOOKUP(Tabla1[[#This Row],[Ean Normalizado]],Consumos!A:A,Consumos!E:E)</f>
        <v>#VALUE!</v>
      </c>
      <c r="R981" s="22" t="e">
        <f>_xlfn.XLOOKUP(Tabla1[[#This Row],[Ean Normalizado]],tabla_consumos[EAN],tabla_consumos[UM])</f>
        <v>#VALUE!</v>
      </c>
      <c r="S981" s="22" t="e">
        <f>Tabla1[[#This Row],[StockDisp]]*Tabla1[[#This Row],[UM producto]]</f>
        <v>#VALUE!</v>
      </c>
    </row>
    <row r="982" spans="1:19" x14ac:dyDescent="0.35">
      <c r="A982" s="5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6"/>
      <c r="P982" s="23" t="e">
        <f>TRIM(Tabla1[[#This Row],[Articulo]])</f>
        <v>#VALUE!</v>
      </c>
      <c r="Q982" s="23" t="e">
        <f>_xlfn.XLOOKUP(Tabla1[[#This Row],[Ean Normalizado]],Consumos!A:A,Consumos!E:E)</f>
        <v>#VALUE!</v>
      </c>
      <c r="R982" s="22" t="e">
        <f>_xlfn.XLOOKUP(Tabla1[[#This Row],[Ean Normalizado]],tabla_consumos[EAN],tabla_consumos[UM])</f>
        <v>#VALUE!</v>
      </c>
      <c r="S982" s="22" t="e">
        <f>Tabla1[[#This Row],[StockDisp]]*Tabla1[[#This Row],[UM producto]]</f>
        <v>#VALUE!</v>
      </c>
    </row>
    <row r="983" spans="1:19" x14ac:dyDescent="0.35">
      <c r="A983" s="5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6"/>
      <c r="P983" s="23" t="e">
        <f>TRIM(Tabla1[[#This Row],[Articulo]])</f>
        <v>#VALUE!</v>
      </c>
      <c r="Q983" s="23" t="e">
        <f>_xlfn.XLOOKUP(Tabla1[[#This Row],[Ean Normalizado]],Consumos!A:A,Consumos!E:E)</f>
        <v>#VALUE!</v>
      </c>
      <c r="R983" s="22" t="e">
        <f>_xlfn.XLOOKUP(Tabla1[[#This Row],[Ean Normalizado]],tabla_consumos[EAN],tabla_consumos[UM])</f>
        <v>#VALUE!</v>
      </c>
      <c r="S983" s="22" t="e">
        <f>Tabla1[[#This Row],[StockDisp]]*Tabla1[[#This Row],[UM producto]]</f>
        <v>#VALUE!</v>
      </c>
    </row>
    <row r="984" spans="1:19" x14ac:dyDescent="0.35">
      <c r="A984" s="5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6"/>
      <c r="P984" s="23" t="e">
        <f>TRIM(Tabla1[[#This Row],[Articulo]])</f>
        <v>#VALUE!</v>
      </c>
      <c r="Q984" s="23" t="e">
        <f>_xlfn.XLOOKUP(Tabla1[[#This Row],[Ean Normalizado]],Consumos!A:A,Consumos!E:E)</f>
        <v>#VALUE!</v>
      </c>
      <c r="R984" s="22" t="e">
        <f>_xlfn.XLOOKUP(Tabla1[[#This Row],[Ean Normalizado]],tabla_consumos[EAN],tabla_consumos[UM])</f>
        <v>#VALUE!</v>
      </c>
      <c r="S984" s="22" t="e">
        <f>Tabla1[[#This Row],[StockDisp]]*Tabla1[[#This Row],[UM producto]]</f>
        <v>#VALUE!</v>
      </c>
    </row>
    <row r="985" spans="1:19" x14ac:dyDescent="0.35">
      <c r="A985" s="5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6"/>
      <c r="P985" s="23" t="e">
        <f>TRIM(Tabla1[[#This Row],[Articulo]])</f>
        <v>#VALUE!</v>
      </c>
      <c r="Q985" s="23" t="e">
        <f>_xlfn.XLOOKUP(Tabla1[[#This Row],[Ean Normalizado]],Consumos!A:A,Consumos!E:E)</f>
        <v>#VALUE!</v>
      </c>
      <c r="R985" s="22" t="e">
        <f>_xlfn.XLOOKUP(Tabla1[[#This Row],[Ean Normalizado]],tabla_consumos[EAN],tabla_consumos[UM])</f>
        <v>#VALUE!</v>
      </c>
      <c r="S985" s="22" t="e">
        <f>Tabla1[[#This Row],[StockDisp]]*Tabla1[[#This Row],[UM producto]]</f>
        <v>#VALUE!</v>
      </c>
    </row>
    <row r="986" spans="1:19" x14ac:dyDescent="0.35">
      <c r="A986" s="5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6"/>
      <c r="P986" s="23" t="e">
        <f>TRIM(Tabla1[[#This Row],[Articulo]])</f>
        <v>#VALUE!</v>
      </c>
      <c r="Q986" s="23" t="e">
        <f>_xlfn.XLOOKUP(Tabla1[[#This Row],[Ean Normalizado]],Consumos!A:A,Consumos!E:E)</f>
        <v>#VALUE!</v>
      </c>
      <c r="R986" s="22" t="e">
        <f>_xlfn.XLOOKUP(Tabla1[[#This Row],[Ean Normalizado]],tabla_consumos[EAN],tabla_consumos[UM])</f>
        <v>#VALUE!</v>
      </c>
      <c r="S986" s="22" t="e">
        <f>Tabla1[[#This Row],[StockDisp]]*Tabla1[[#This Row],[UM producto]]</f>
        <v>#VALUE!</v>
      </c>
    </row>
    <row r="987" spans="1:19" x14ac:dyDescent="0.35">
      <c r="A987" s="5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6"/>
      <c r="P987" s="23" t="e">
        <f>TRIM(Tabla1[[#This Row],[Articulo]])</f>
        <v>#VALUE!</v>
      </c>
      <c r="Q987" s="23" t="e">
        <f>_xlfn.XLOOKUP(Tabla1[[#This Row],[Ean Normalizado]],Consumos!A:A,Consumos!E:E)</f>
        <v>#VALUE!</v>
      </c>
      <c r="R987" s="22" t="e">
        <f>_xlfn.XLOOKUP(Tabla1[[#This Row],[Ean Normalizado]],tabla_consumos[EAN],tabla_consumos[UM])</f>
        <v>#VALUE!</v>
      </c>
      <c r="S987" s="22" t="e">
        <f>Tabla1[[#This Row],[StockDisp]]*Tabla1[[#This Row],[UM producto]]</f>
        <v>#VALUE!</v>
      </c>
    </row>
    <row r="988" spans="1:19" x14ac:dyDescent="0.35">
      <c r="A988" s="5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6"/>
      <c r="P988" s="23" t="e">
        <f>TRIM(Tabla1[[#This Row],[Articulo]])</f>
        <v>#VALUE!</v>
      </c>
      <c r="Q988" s="23" t="e">
        <f>_xlfn.XLOOKUP(Tabla1[[#This Row],[Ean Normalizado]],Consumos!A:A,Consumos!E:E)</f>
        <v>#VALUE!</v>
      </c>
      <c r="R988" s="22" t="e">
        <f>_xlfn.XLOOKUP(Tabla1[[#This Row],[Ean Normalizado]],tabla_consumos[EAN],tabla_consumos[UM])</f>
        <v>#VALUE!</v>
      </c>
      <c r="S988" s="22" t="e">
        <f>Tabla1[[#This Row],[StockDisp]]*Tabla1[[#This Row],[UM producto]]</f>
        <v>#VALUE!</v>
      </c>
    </row>
    <row r="989" spans="1:19" x14ac:dyDescent="0.35">
      <c r="A989" s="5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6"/>
      <c r="P989" s="23" t="e">
        <f>TRIM(Tabla1[[#This Row],[Articulo]])</f>
        <v>#VALUE!</v>
      </c>
      <c r="Q989" s="23" t="e">
        <f>_xlfn.XLOOKUP(Tabla1[[#This Row],[Ean Normalizado]],Consumos!A:A,Consumos!E:E)</f>
        <v>#VALUE!</v>
      </c>
      <c r="R989" s="22" t="e">
        <f>_xlfn.XLOOKUP(Tabla1[[#This Row],[Ean Normalizado]],tabla_consumos[EAN],tabla_consumos[UM])</f>
        <v>#VALUE!</v>
      </c>
      <c r="S989" s="22" t="e">
        <f>Tabla1[[#This Row],[StockDisp]]*Tabla1[[#This Row],[UM producto]]</f>
        <v>#VALUE!</v>
      </c>
    </row>
    <row r="990" spans="1:19" x14ac:dyDescent="0.35">
      <c r="A990" s="5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6"/>
      <c r="P990" s="23" t="e">
        <f>TRIM(Tabla1[[#This Row],[Articulo]])</f>
        <v>#VALUE!</v>
      </c>
      <c r="Q990" s="23" t="e">
        <f>_xlfn.XLOOKUP(Tabla1[[#This Row],[Ean Normalizado]],Consumos!A:A,Consumos!E:E)</f>
        <v>#VALUE!</v>
      </c>
      <c r="R990" s="22" t="e">
        <f>_xlfn.XLOOKUP(Tabla1[[#This Row],[Ean Normalizado]],tabla_consumos[EAN],tabla_consumos[UM])</f>
        <v>#VALUE!</v>
      </c>
      <c r="S990" s="22" t="e">
        <f>Tabla1[[#This Row],[StockDisp]]*Tabla1[[#This Row],[UM producto]]</f>
        <v>#VALUE!</v>
      </c>
    </row>
    <row r="991" spans="1:19" x14ac:dyDescent="0.35">
      <c r="A991" s="5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6"/>
      <c r="P991" s="23" t="e">
        <f>TRIM(Tabla1[[#This Row],[Articulo]])</f>
        <v>#VALUE!</v>
      </c>
      <c r="Q991" s="23" t="e">
        <f>_xlfn.XLOOKUP(Tabla1[[#This Row],[Ean Normalizado]],Consumos!A:A,Consumos!E:E)</f>
        <v>#VALUE!</v>
      </c>
      <c r="R991" s="22" t="e">
        <f>_xlfn.XLOOKUP(Tabla1[[#This Row],[Ean Normalizado]],tabla_consumos[EAN],tabla_consumos[UM])</f>
        <v>#VALUE!</v>
      </c>
      <c r="S991" s="22" t="e">
        <f>Tabla1[[#This Row],[StockDisp]]*Tabla1[[#This Row],[UM producto]]</f>
        <v>#VALUE!</v>
      </c>
    </row>
    <row r="992" spans="1:19" x14ac:dyDescent="0.35">
      <c r="A992" s="5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6"/>
      <c r="P992" s="23" t="e">
        <f>TRIM(Tabla1[[#This Row],[Articulo]])</f>
        <v>#VALUE!</v>
      </c>
      <c r="Q992" s="23" t="e">
        <f>_xlfn.XLOOKUP(Tabla1[[#This Row],[Ean Normalizado]],Consumos!A:A,Consumos!E:E)</f>
        <v>#VALUE!</v>
      </c>
      <c r="R992" s="22" t="e">
        <f>_xlfn.XLOOKUP(Tabla1[[#This Row],[Ean Normalizado]],tabla_consumos[EAN],tabla_consumos[UM])</f>
        <v>#VALUE!</v>
      </c>
      <c r="S992" s="22" t="e">
        <f>Tabla1[[#This Row],[StockDisp]]*Tabla1[[#This Row],[UM producto]]</f>
        <v>#VALUE!</v>
      </c>
    </row>
    <row r="993" spans="1:19" x14ac:dyDescent="0.35">
      <c r="A993" s="5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6"/>
      <c r="P993" s="23" t="e">
        <f>TRIM(Tabla1[[#This Row],[Articulo]])</f>
        <v>#VALUE!</v>
      </c>
      <c r="Q993" s="23" t="e">
        <f>_xlfn.XLOOKUP(Tabla1[[#This Row],[Ean Normalizado]],Consumos!A:A,Consumos!E:E)</f>
        <v>#VALUE!</v>
      </c>
      <c r="R993" s="22" t="e">
        <f>_xlfn.XLOOKUP(Tabla1[[#This Row],[Ean Normalizado]],tabla_consumos[EAN],tabla_consumos[UM])</f>
        <v>#VALUE!</v>
      </c>
      <c r="S993" s="22" t="e">
        <f>Tabla1[[#This Row],[StockDisp]]*Tabla1[[#This Row],[UM producto]]</f>
        <v>#VALUE!</v>
      </c>
    </row>
    <row r="994" spans="1:19" x14ac:dyDescent="0.35">
      <c r="A994" s="5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6"/>
      <c r="P994" s="23" t="e">
        <f>TRIM(Tabla1[[#This Row],[Articulo]])</f>
        <v>#VALUE!</v>
      </c>
      <c r="Q994" s="23" t="e">
        <f>_xlfn.XLOOKUP(Tabla1[[#This Row],[Ean Normalizado]],Consumos!A:A,Consumos!E:E)</f>
        <v>#VALUE!</v>
      </c>
      <c r="R994" s="22" t="e">
        <f>_xlfn.XLOOKUP(Tabla1[[#This Row],[Ean Normalizado]],tabla_consumos[EAN],tabla_consumos[UM])</f>
        <v>#VALUE!</v>
      </c>
      <c r="S994" s="22" t="e">
        <f>Tabla1[[#This Row],[StockDisp]]*Tabla1[[#This Row],[UM producto]]</f>
        <v>#VALUE!</v>
      </c>
    </row>
    <row r="995" spans="1:19" x14ac:dyDescent="0.35">
      <c r="A995" s="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6"/>
      <c r="P995" s="23" t="e">
        <f>TRIM(Tabla1[[#This Row],[Articulo]])</f>
        <v>#VALUE!</v>
      </c>
      <c r="Q995" s="23" t="e">
        <f>_xlfn.XLOOKUP(Tabla1[[#This Row],[Ean Normalizado]],Consumos!A:A,Consumos!E:E)</f>
        <v>#VALUE!</v>
      </c>
      <c r="R995" s="22" t="e">
        <f>_xlfn.XLOOKUP(Tabla1[[#This Row],[Ean Normalizado]],tabla_consumos[EAN],tabla_consumos[UM])</f>
        <v>#VALUE!</v>
      </c>
      <c r="S995" s="22" t="e">
        <f>Tabla1[[#This Row],[StockDisp]]*Tabla1[[#This Row],[UM producto]]</f>
        <v>#VALUE!</v>
      </c>
    </row>
    <row r="996" spans="1:19" x14ac:dyDescent="0.35">
      <c r="A996" s="5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6"/>
      <c r="P996" s="23" t="e">
        <f>TRIM(Tabla1[[#This Row],[Articulo]])</f>
        <v>#VALUE!</v>
      </c>
      <c r="Q996" s="23" t="e">
        <f>_xlfn.XLOOKUP(Tabla1[[#This Row],[Ean Normalizado]],Consumos!A:A,Consumos!E:E)</f>
        <v>#VALUE!</v>
      </c>
      <c r="R996" s="22" t="e">
        <f>_xlfn.XLOOKUP(Tabla1[[#This Row],[Ean Normalizado]],tabla_consumos[EAN],tabla_consumos[UM])</f>
        <v>#VALUE!</v>
      </c>
      <c r="S996" s="22" t="e">
        <f>Tabla1[[#This Row],[StockDisp]]*Tabla1[[#This Row],[UM producto]]</f>
        <v>#VALUE!</v>
      </c>
    </row>
    <row r="997" spans="1:19" x14ac:dyDescent="0.35">
      <c r="A997" s="5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6"/>
      <c r="P997" s="23" t="e">
        <f>TRIM(Tabla1[[#This Row],[Articulo]])</f>
        <v>#VALUE!</v>
      </c>
      <c r="Q997" s="23" t="e">
        <f>_xlfn.XLOOKUP(Tabla1[[#This Row],[Ean Normalizado]],Consumos!A:A,Consumos!E:E)</f>
        <v>#VALUE!</v>
      </c>
      <c r="R997" s="22" t="e">
        <f>_xlfn.XLOOKUP(Tabla1[[#This Row],[Ean Normalizado]],tabla_consumos[EAN],tabla_consumos[UM])</f>
        <v>#VALUE!</v>
      </c>
      <c r="S997" s="22" t="e">
        <f>Tabla1[[#This Row],[StockDisp]]*Tabla1[[#This Row],[UM producto]]</f>
        <v>#VALUE!</v>
      </c>
    </row>
    <row r="998" spans="1:19" x14ac:dyDescent="0.35">
      <c r="A998" s="5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6"/>
      <c r="P998" s="23" t="e">
        <f>TRIM(Tabla1[[#This Row],[Articulo]])</f>
        <v>#VALUE!</v>
      </c>
      <c r="Q998" s="23" t="e">
        <f>_xlfn.XLOOKUP(Tabla1[[#This Row],[Ean Normalizado]],Consumos!A:A,Consumos!E:E)</f>
        <v>#VALUE!</v>
      </c>
      <c r="R998" s="22" t="e">
        <f>_xlfn.XLOOKUP(Tabla1[[#This Row],[Ean Normalizado]],tabla_consumos[EAN],tabla_consumos[UM])</f>
        <v>#VALUE!</v>
      </c>
      <c r="S998" s="22" t="e">
        <f>Tabla1[[#This Row],[StockDisp]]*Tabla1[[#This Row],[UM producto]]</f>
        <v>#VALUE!</v>
      </c>
    </row>
    <row r="999" spans="1:19" x14ac:dyDescent="0.35">
      <c r="A999" s="5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6"/>
      <c r="P999" s="23" t="e">
        <f>TRIM(Tabla1[[#This Row],[Articulo]])</f>
        <v>#VALUE!</v>
      </c>
      <c r="Q999" s="23" t="e">
        <f>_xlfn.XLOOKUP(Tabla1[[#This Row],[Ean Normalizado]],Consumos!A:A,Consumos!E:E)</f>
        <v>#VALUE!</v>
      </c>
      <c r="R999" s="22" t="e">
        <f>_xlfn.XLOOKUP(Tabla1[[#This Row],[Ean Normalizado]],tabla_consumos[EAN],tabla_consumos[UM])</f>
        <v>#VALUE!</v>
      </c>
      <c r="S999" s="22" t="e">
        <f>Tabla1[[#This Row],[StockDisp]]*Tabla1[[#This Row],[UM producto]]</f>
        <v>#VALUE!</v>
      </c>
    </row>
    <row r="1000" spans="1:19" x14ac:dyDescent="0.35">
      <c r="A1000" s="5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6"/>
      <c r="P1000" s="23" t="e">
        <f>TRIM(Tabla1[[#This Row],[Articulo]])</f>
        <v>#VALUE!</v>
      </c>
      <c r="Q1000" s="23" t="e">
        <f>_xlfn.XLOOKUP(Tabla1[[#This Row],[Ean Normalizado]],Consumos!A:A,Consumos!E:E)</f>
        <v>#VALUE!</v>
      </c>
      <c r="R1000" s="22" t="e">
        <f>_xlfn.XLOOKUP(Tabla1[[#This Row],[Ean Normalizado]],tabla_consumos[EAN],tabla_consumos[UM])</f>
        <v>#VALUE!</v>
      </c>
      <c r="S1000" s="22" t="e">
        <f>Tabla1[[#This Row],[StockDisp]]*Tabla1[[#This Row],[UM producto]]</f>
        <v>#VALUE!</v>
      </c>
    </row>
    <row r="1001" spans="1:19" x14ac:dyDescent="0.35">
      <c r="A1001" s="5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6"/>
      <c r="P1001" s="23" t="e">
        <f>TRIM(Tabla1[[#This Row],[Articulo]])</f>
        <v>#VALUE!</v>
      </c>
      <c r="Q1001" s="23" t="e">
        <f>_xlfn.XLOOKUP(Tabla1[[#This Row],[Ean Normalizado]],Consumos!A:A,Consumos!E:E)</f>
        <v>#VALUE!</v>
      </c>
      <c r="R1001" s="22" t="e">
        <f>_xlfn.XLOOKUP(Tabla1[[#This Row],[Ean Normalizado]],tabla_consumos[EAN],tabla_consumos[UM])</f>
        <v>#VALUE!</v>
      </c>
      <c r="S1001" s="22" t="e">
        <f>Tabla1[[#This Row],[StockDisp]]*Tabla1[[#This Row],[UM producto]]</f>
        <v>#VALUE!</v>
      </c>
    </row>
    <row r="1002" spans="1:19" x14ac:dyDescent="0.35">
      <c r="A1002" s="5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6"/>
      <c r="P1002" s="23" t="e">
        <f>TRIM(Tabla1[[#This Row],[Articulo]])</f>
        <v>#VALUE!</v>
      </c>
      <c r="Q1002" s="23" t="e">
        <f>_xlfn.XLOOKUP(Tabla1[[#This Row],[Ean Normalizado]],Consumos!A:A,Consumos!E:E)</f>
        <v>#VALUE!</v>
      </c>
      <c r="R1002" s="22" t="e">
        <f>_xlfn.XLOOKUP(Tabla1[[#This Row],[Ean Normalizado]],tabla_consumos[EAN],tabla_consumos[UM])</f>
        <v>#VALUE!</v>
      </c>
      <c r="S1002" s="22" t="e">
        <f>Tabla1[[#This Row],[StockDisp]]*Tabla1[[#This Row],[UM producto]]</f>
        <v>#VALUE!</v>
      </c>
    </row>
    <row r="1003" spans="1:19" x14ac:dyDescent="0.35">
      <c r="A1003" s="5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6"/>
      <c r="P1003" s="23" t="e">
        <f>TRIM(Tabla1[[#This Row],[Articulo]])</f>
        <v>#VALUE!</v>
      </c>
      <c r="Q1003" s="23" t="e">
        <f>_xlfn.XLOOKUP(Tabla1[[#This Row],[Ean Normalizado]],Consumos!A:A,Consumos!E:E)</f>
        <v>#VALUE!</v>
      </c>
      <c r="R1003" s="22" t="e">
        <f>_xlfn.XLOOKUP(Tabla1[[#This Row],[Ean Normalizado]],tabla_consumos[EAN],tabla_consumos[UM])</f>
        <v>#VALUE!</v>
      </c>
      <c r="S1003" s="22" t="e">
        <f>Tabla1[[#This Row],[StockDisp]]*Tabla1[[#This Row],[UM producto]]</f>
        <v>#VALUE!</v>
      </c>
    </row>
    <row r="1004" spans="1:19" x14ac:dyDescent="0.35">
      <c r="A1004" s="5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6"/>
      <c r="P1004" s="23" t="e">
        <f>TRIM(Tabla1[[#This Row],[Articulo]])</f>
        <v>#VALUE!</v>
      </c>
      <c r="Q1004" s="23" t="e">
        <f>_xlfn.XLOOKUP(Tabla1[[#This Row],[Ean Normalizado]],Consumos!A:A,Consumos!E:E)</f>
        <v>#VALUE!</v>
      </c>
      <c r="R1004" s="22" t="e">
        <f>_xlfn.XLOOKUP(Tabla1[[#This Row],[Ean Normalizado]],tabla_consumos[EAN],tabla_consumos[UM])</f>
        <v>#VALUE!</v>
      </c>
      <c r="S1004" s="22" t="e">
        <f>Tabla1[[#This Row],[StockDisp]]*Tabla1[[#This Row],[UM producto]]</f>
        <v>#VALUE!</v>
      </c>
    </row>
    <row r="1005" spans="1:19" x14ac:dyDescent="0.35">
      <c r="A1005" s="5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6"/>
      <c r="P1005" s="23" t="e">
        <f>TRIM(Tabla1[[#This Row],[Articulo]])</f>
        <v>#VALUE!</v>
      </c>
      <c r="Q1005" s="23" t="e">
        <f>_xlfn.XLOOKUP(Tabla1[[#This Row],[Ean Normalizado]],Consumos!A:A,Consumos!E:E)</f>
        <v>#VALUE!</v>
      </c>
      <c r="R1005" s="22" t="e">
        <f>_xlfn.XLOOKUP(Tabla1[[#This Row],[Ean Normalizado]],tabla_consumos[EAN],tabla_consumos[UM])</f>
        <v>#VALUE!</v>
      </c>
      <c r="S1005" s="22" t="e">
        <f>Tabla1[[#This Row],[StockDisp]]*Tabla1[[#This Row],[UM producto]]</f>
        <v>#VALUE!</v>
      </c>
    </row>
    <row r="1006" spans="1:19" x14ac:dyDescent="0.35">
      <c r="A1006" s="5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6"/>
      <c r="P1006" s="23" t="e">
        <f>TRIM(Tabla1[[#This Row],[Articulo]])</f>
        <v>#VALUE!</v>
      </c>
      <c r="Q1006" s="23" t="e">
        <f>_xlfn.XLOOKUP(Tabla1[[#This Row],[Ean Normalizado]],Consumos!A:A,Consumos!E:E)</f>
        <v>#VALUE!</v>
      </c>
      <c r="R1006" s="22" t="e">
        <f>_xlfn.XLOOKUP(Tabla1[[#This Row],[Ean Normalizado]],tabla_consumos[EAN],tabla_consumos[UM])</f>
        <v>#VALUE!</v>
      </c>
      <c r="S1006" s="22" t="e">
        <f>Tabla1[[#This Row],[StockDisp]]*Tabla1[[#This Row],[UM producto]]</f>
        <v>#VALUE!</v>
      </c>
    </row>
    <row r="1007" spans="1:19" x14ac:dyDescent="0.35">
      <c r="A1007" s="5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6"/>
      <c r="P1007" s="23" t="e">
        <f>TRIM(Tabla1[[#This Row],[Articulo]])</f>
        <v>#VALUE!</v>
      </c>
      <c r="Q1007" s="23" t="e">
        <f>_xlfn.XLOOKUP(Tabla1[[#This Row],[Ean Normalizado]],Consumos!A:A,Consumos!E:E)</f>
        <v>#VALUE!</v>
      </c>
      <c r="R1007" s="22" t="e">
        <f>_xlfn.XLOOKUP(Tabla1[[#This Row],[Ean Normalizado]],tabla_consumos[EAN],tabla_consumos[UM])</f>
        <v>#VALUE!</v>
      </c>
      <c r="S1007" s="22" t="e">
        <f>Tabla1[[#This Row],[StockDisp]]*Tabla1[[#This Row],[UM producto]]</f>
        <v>#VALUE!</v>
      </c>
    </row>
    <row r="1008" spans="1:19" x14ac:dyDescent="0.35">
      <c r="A1008" s="5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6"/>
      <c r="P1008" s="23" t="e">
        <f>TRIM(Tabla1[[#This Row],[Articulo]])</f>
        <v>#VALUE!</v>
      </c>
      <c r="Q1008" s="23" t="e">
        <f>_xlfn.XLOOKUP(Tabla1[[#This Row],[Ean Normalizado]],Consumos!A:A,Consumos!E:E)</f>
        <v>#VALUE!</v>
      </c>
      <c r="R1008" s="22" t="e">
        <f>_xlfn.XLOOKUP(Tabla1[[#This Row],[Ean Normalizado]],tabla_consumos[EAN],tabla_consumos[UM])</f>
        <v>#VALUE!</v>
      </c>
      <c r="S1008" s="22" t="e">
        <f>Tabla1[[#This Row],[StockDisp]]*Tabla1[[#This Row],[UM producto]]</f>
        <v>#VALUE!</v>
      </c>
    </row>
    <row r="1009" spans="1:19" x14ac:dyDescent="0.35">
      <c r="A1009" s="5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6"/>
      <c r="P1009" s="23" t="e">
        <f>TRIM(Tabla1[[#This Row],[Articulo]])</f>
        <v>#VALUE!</v>
      </c>
      <c r="Q1009" s="23" t="e">
        <f>_xlfn.XLOOKUP(Tabla1[[#This Row],[Ean Normalizado]],Consumos!A:A,Consumos!E:E)</f>
        <v>#VALUE!</v>
      </c>
      <c r="R1009" s="22" t="e">
        <f>_xlfn.XLOOKUP(Tabla1[[#This Row],[Ean Normalizado]],tabla_consumos[EAN],tabla_consumos[UM])</f>
        <v>#VALUE!</v>
      </c>
      <c r="S1009" s="22" t="e">
        <f>Tabla1[[#This Row],[StockDisp]]*Tabla1[[#This Row],[UM producto]]</f>
        <v>#VALUE!</v>
      </c>
    </row>
    <row r="1010" spans="1:19" x14ac:dyDescent="0.35">
      <c r="A1010" s="5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6"/>
      <c r="P1010" s="23" t="e">
        <f>TRIM(Tabla1[[#This Row],[Articulo]])</f>
        <v>#VALUE!</v>
      </c>
      <c r="Q1010" s="23" t="e">
        <f>_xlfn.XLOOKUP(Tabla1[[#This Row],[Ean Normalizado]],Consumos!A:A,Consumos!E:E)</f>
        <v>#VALUE!</v>
      </c>
      <c r="R1010" s="22" t="e">
        <f>_xlfn.XLOOKUP(Tabla1[[#This Row],[Ean Normalizado]],tabla_consumos[EAN],tabla_consumos[UM])</f>
        <v>#VALUE!</v>
      </c>
      <c r="S1010" s="22" t="e">
        <f>Tabla1[[#This Row],[StockDisp]]*Tabla1[[#This Row],[UM producto]]</f>
        <v>#VALUE!</v>
      </c>
    </row>
    <row r="1011" spans="1:19" x14ac:dyDescent="0.35">
      <c r="A1011" s="5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6"/>
      <c r="P1011" s="23" t="e">
        <f>TRIM(Tabla1[[#This Row],[Articulo]])</f>
        <v>#VALUE!</v>
      </c>
      <c r="Q1011" s="23" t="e">
        <f>_xlfn.XLOOKUP(Tabla1[[#This Row],[Ean Normalizado]],Consumos!A:A,Consumos!E:E)</f>
        <v>#VALUE!</v>
      </c>
      <c r="R1011" s="22" t="e">
        <f>_xlfn.XLOOKUP(Tabla1[[#This Row],[Ean Normalizado]],tabla_consumos[EAN],tabla_consumos[UM])</f>
        <v>#VALUE!</v>
      </c>
      <c r="S1011" s="22" t="e">
        <f>Tabla1[[#This Row],[StockDisp]]*Tabla1[[#This Row],[UM producto]]</f>
        <v>#VALUE!</v>
      </c>
    </row>
    <row r="1012" spans="1:19" x14ac:dyDescent="0.35">
      <c r="A1012" s="5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6"/>
      <c r="P1012" s="23" t="e">
        <f>TRIM(Tabla1[[#This Row],[Articulo]])</f>
        <v>#VALUE!</v>
      </c>
      <c r="Q1012" s="23" t="e">
        <f>_xlfn.XLOOKUP(Tabla1[[#This Row],[Ean Normalizado]],Consumos!A:A,Consumos!E:E)</f>
        <v>#VALUE!</v>
      </c>
      <c r="R1012" s="22" t="e">
        <f>_xlfn.XLOOKUP(Tabla1[[#This Row],[Ean Normalizado]],tabla_consumos[EAN],tabla_consumos[UM])</f>
        <v>#VALUE!</v>
      </c>
      <c r="S1012" s="22" t="e">
        <f>Tabla1[[#This Row],[StockDisp]]*Tabla1[[#This Row],[UM producto]]</f>
        <v>#VALUE!</v>
      </c>
    </row>
    <row r="1013" spans="1:19" x14ac:dyDescent="0.35">
      <c r="A1013" s="5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6"/>
      <c r="P1013" s="23" t="e">
        <f>TRIM(Tabla1[[#This Row],[Articulo]])</f>
        <v>#VALUE!</v>
      </c>
      <c r="Q1013" s="23" t="e">
        <f>_xlfn.XLOOKUP(Tabla1[[#This Row],[Ean Normalizado]],Consumos!A:A,Consumos!E:E)</f>
        <v>#VALUE!</v>
      </c>
      <c r="R1013" s="22" t="e">
        <f>_xlfn.XLOOKUP(Tabla1[[#This Row],[Ean Normalizado]],tabla_consumos[EAN],tabla_consumos[UM])</f>
        <v>#VALUE!</v>
      </c>
      <c r="S1013" s="22" t="e">
        <f>Tabla1[[#This Row],[StockDisp]]*Tabla1[[#This Row],[UM producto]]</f>
        <v>#VALUE!</v>
      </c>
    </row>
    <row r="1014" spans="1:19" x14ac:dyDescent="0.35">
      <c r="A1014" s="5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6"/>
      <c r="P1014" s="23" t="e">
        <f>TRIM(Tabla1[[#This Row],[Articulo]])</f>
        <v>#VALUE!</v>
      </c>
      <c r="Q1014" s="23" t="e">
        <f>_xlfn.XLOOKUP(Tabla1[[#This Row],[Ean Normalizado]],Consumos!A:A,Consumos!E:E)</f>
        <v>#VALUE!</v>
      </c>
      <c r="R1014" s="22" t="e">
        <f>_xlfn.XLOOKUP(Tabla1[[#This Row],[Ean Normalizado]],tabla_consumos[EAN],tabla_consumos[UM])</f>
        <v>#VALUE!</v>
      </c>
      <c r="S1014" s="22" t="e">
        <f>Tabla1[[#This Row],[StockDisp]]*Tabla1[[#This Row],[UM producto]]</f>
        <v>#VALUE!</v>
      </c>
    </row>
    <row r="1015" spans="1:19" x14ac:dyDescent="0.35">
      <c r="A1015" s="5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6"/>
      <c r="P1015" s="23" t="e">
        <f>TRIM(Tabla1[[#This Row],[Articulo]])</f>
        <v>#VALUE!</v>
      </c>
      <c r="Q1015" s="23" t="e">
        <f>_xlfn.XLOOKUP(Tabla1[[#This Row],[Ean Normalizado]],Consumos!A:A,Consumos!E:E)</f>
        <v>#VALUE!</v>
      </c>
      <c r="R1015" s="22" t="e">
        <f>_xlfn.XLOOKUP(Tabla1[[#This Row],[Ean Normalizado]],tabla_consumos[EAN],tabla_consumos[UM])</f>
        <v>#VALUE!</v>
      </c>
      <c r="S1015" s="22" t="e">
        <f>Tabla1[[#This Row],[StockDisp]]*Tabla1[[#This Row],[UM producto]]</f>
        <v>#VALUE!</v>
      </c>
    </row>
    <row r="1016" spans="1:19" x14ac:dyDescent="0.35">
      <c r="A1016" s="5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6"/>
      <c r="P1016" s="23" t="e">
        <f>TRIM(Tabla1[[#This Row],[Articulo]])</f>
        <v>#VALUE!</v>
      </c>
      <c r="Q1016" s="23" t="e">
        <f>_xlfn.XLOOKUP(Tabla1[[#This Row],[Ean Normalizado]],Consumos!A:A,Consumos!E:E)</f>
        <v>#VALUE!</v>
      </c>
      <c r="R1016" s="22" t="e">
        <f>_xlfn.XLOOKUP(Tabla1[[#This Row],[Ean Normalizado]],tabla_consumos[EAN],tabla_consumos[UM])</f>
        <v>#VALUE!</v>
      </c>
      <c r="S1016" s="22" t="e">
        <f>Tabla1[[#This Row],[StockDisp]]*Tabla1[[#This Row],[UM producto]]</f>
        <v>#VALUE!</v>
      </c>
    </row>
    <row r="1017" spans="1:19" x14ac:dyDescent="0.35">
      <c r="A1017" s="5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6"/>
      <c r="P1017" s="23" t="e">
        <f>TRIM(Tabla1[[#This Row],[Articulo]])</f>
        <v>#VALUE!</v>
      </c>
      <c r="Q1017" s="23" t="e">
        <f>_xlfn.XLOOKUP(Tabla1[[#This Row],[Ean Normalizado]],Consumos!A:A,Consumos!E:E)</f>
        <v>#VALUE!</v>
      </c>
      <c r="R1017" s="22" t="e">
        <f>_xlfn.XLOOKUP(Tabla1[[#This Row],[Ean Normalizado]],tabla_consumos[EAN],tabla_consumos[UM])</f>
        <v>#VALUE!</v>
      </c>
      <c r="S1017" s="22" t="e">
        <f>Tabla1[[#This Row],[StockDisp]]*Tabla1[[#This Row],[UM producto]]</f>
        <v>#VALUE!</v>
      </c>
    </row>
    <row r="1018" spans="1:19" x14ac:dyDescent="0.35">
      <c r="A1018" s="5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6"/>
      <c r="P1018" s="23" t="e">
        <f>TRIM(Tabla1[[#This Row],[Articulo]])</f>
        <v>#VALUE!</v>
      </c>
      <c r="Q1018" s="23" t="e">
        <f>_xlfn.XLOOKUP(Tabla1[[#This Row],[Ean Normalizado]],Consumos!A:A,Consumos!E:E)</f>
        <v>#VALUE!</v>
      </c>
      <c r="R1018" s="22" t="e">
        <f>_xlfn.XLOOKUP(Tabla1[[#This Row],[Ean Normalizado]],tabla_consumos[EAN],tabla_consumos[UM])</f>
        <v>#VALUE!</v>
      </c>
      <c r="S1018" s="22" t="e">
        <f>Tabla1[[#This Row],[StockDisp]]*Tabla1[[#This Row],[UM producto]]</f>
        <v>#VALUE!</v>
      </c>
    </row>
    <row r="1019" spans="1:19" x14ac:dyDescent="0.35">
      <c r="A1019" s="5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6"/>
      <c r="P1019" s="23" t="e">
        <f>TRIM(Tabla1[[#This Row],[Articulo]])</f>
        <v>#VALUE!</v>
      </c>
      <c r="Q1019" s="23" t="e">
        <f>_xlfn.XLOOKUP(Tabla1[[#This Row],[Ean Normalizado]],Consumos!A:A,Consumos!E:E)</f>
        <v>#VALUE!</v>
      </c>
      <c r="R1019" s="22" t="e">
        <f>_xlfn.XLOOKUP(Tabla1[[#This Row],[Ean Normalizado]],tabla_consumos[EAN],tabla_consumos[UM])</f>
        <v>#VALUE!</v>
      </c>
      <c r="S1019" s="22" t="e">
        <f>Tabla1[[#This Row],[StockDisp]]*Tabla1[[#This Row],[UM producto]]</f>
        <v>#VALUE!</v>
      </c>
    </row>
    <row r="1020" spans="1:19" x14ac:dyDescent="0.35">
      <c r="A1020" s="5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6"/>
      <c r="P1020" s="23" t="e">
        <f>TRIM(Tabla1[[#This Row],[Articulo]])</f>
        <v>#VALUE!</v>
      </c>
      <c r="Q1020" s="23" t="e">
        <f>_xlfn.XLOOKUP(Tabla1[[#This Row],[Ean Normalizado]],Consumos!A:A,Consumos!E:E)</f>
        <v>#VALUE!</v>
      </c>
      <c r="R1020" s="22" t="e">
        <f>_xlfn.XLOOKUP(Tabla1[[#This Row],[Ean Normalizado]],tabla_consumos[EAN],tabla_consumos[UM])</f>
        <v>#VALUE!</v>
      </c>
      <c r="S1020" s="22" t="e">
        <f>Tabla1[[#This Row],[StockDisp]]*Tabla1[[#This Row],[UM producto]]</f>
        <v>#VALUE!</v>
      </c>
    </row>
    <row r="1021" spans="1:19" x14ac:dyDescent="0.35">
      <c r="A1021" s="5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6"/>
      <c r="P1021" s="23" t="e">
        <f>TRIM(Tabla1[[#This Row],[Articulo]])</f>
        <v>#VALUE!</v>
      </c>
      <c r="Q1021" s="23" t="e">
        <f>_xlfn.XLOOKUP(Tabla1[[#This Row],[Ean Normalizado]],Consumos!A:A,Consumos!E:E)</f>
        <v>#VALUE!</v>
      </c>
      <c r="R1021" s="22" t="e">
        <f>_xlfn.XLOOKUP(Tabla1[[#This Row],[Ean Normalizado]],tabla_consumos[EAN],tabla_consumos[UM])</f>
        <v>#VALUE!</v>
      </c>
      <c r="S1021" s="22" t="e">
        <f>Tabla1[[#This Row],[StockDisp]]*Tabla1[[#This Row],[UM producto]]</f>
        <v>#VALUE!</v>
      </c>
    </row>
    <row r="1022" spans="1:19" x14ac:dyDescent="0.35">
      <c r="A1022" s="5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6"/>
      <c r="P1022" s="23" t="e">
        <f>TRIM(Tabla1[[#This Row],[Articulo]])</f>
        <v>#VALUE!</v>
      </c>
      <c r="Q1022" s="23" t="e">
        <f>_xlfn.XLOOKUP(Tabla1[[#This Row],[Ean Normalizado]],Consumos!A:A,Consumos!E:E)</f>
        <v>#VALUE!</v>
      </c>
      <c r="R1022" s="22" t="e">
        <f>_xlfn.XLOOKUP(Tabla1[[#This Row],[Ean Normalizado]],tabla_consumos[EAN],tabla_consumos[UM])</f>
        <v>#VALUE!</v>
      </c>
      <c r="S1022" s="22" t="e">
        <f>Tabla1[[#This Row],[StockDisp]]*Tabla1[[#This Row],[UM producto]]</f>
        <v>#VALUE!</v>
      </c>
    </row>
    <row r="1023" spans="1:19" x14ac:dyDescent="0.35">
      <c r="A1023" s="5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6"/>
      <c r="P1023" s="23" t="e">
        <f>TRIM(Tabla1[[#This Row],[Articulo]])</f>
        <v>#VALUE!</v>
      </c>
      <c r="Q1023" s="23" t="e">
        <f>_xlfn.XLOOKUP(Tabla1[[#This Row],[Ean Normalizado]],Consumos!A:A,Consumos!E:E)</f>
        <v>#VALUE!</v>
      </c>
      <c r="R1023" s="22" t="e">
        <f>_xlfn.XLOOKUP(Tabla1[[#This Row],[Ean Normalizado]],tabla_consumos[EAN],tabla_consumos[UM])</f>
        <v>#VALUE!</v>
      </c>
      <c r="S1023" s="22" t="e">
        <f>Tabla1[[#This Row],[StockDisp]]*Tabla1[[#This Row],[UM producto]]</f>
        <v>#VALUE!</v>
      </c>
    </row>
    <row r="1024" spans="1:19" x14ac:dyDescent="0.35">
      <c r="A1024" s="5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6"/>
      <c r="P1024" s="23" t="e">
        <f>TRIM(Tabla1[[#This Row],[Articulo]])</f>
        <v>#VALUE!</v>
      </c>
      <c r="Q1024" s="23" t="e">
        <f>_xlfn.XLOOKUP(Tabla1[[#This Row],[Ean Normalizado]],Consumos!A:A,Consumos!E:E)</f>
        <v>#VALUE!</v>
      </c>
      <c r="R1024" s="22" t="e">
        <f>_xlfn.XLOOKUP(Tabla1[[#This Row],[Ean Normalizado]],tabla_consumos[EAN],tabla_consumos[UM])</f>
        <v>#VALUE!</v>
      </c>
      <c r="S1024" s="22" t="e">
        <f>Tabla1[[#This Row],[StockDisp]]*Tabla1[[#This Row],[UM producto]]</f>
        <v>#VALUE!</v>
      </c>
    </row>
    <row r="1025" spans="1:19" x14ac:dyDescent="0.35">
      <c r="A1025" s="5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6"/>
      <c r="P1025" s="23" t="e">
        <f>TRIM(Tabla1[[#This Row],[Articulo]])</f>
        <v>#VALUE!</v>
      </c>
      <c r="Q1025" s="23" t="e">
        <f>_xlfn.XLOOKUP(Tabla1[[#This Row],[Ean Normalizado]],Consumos!A:A,Consumos!E:E)</f>
        <v>#VALUE!</v>
      </c>
      <c r="R1025" s="22" t="e">
        <f>_xlfn.XLOOKUP(Tabla1[[#This Row],[Ean Normalizado]],tabla_consumos[EAN],tabla_consumos[UM])</f>
        <v>#VALUE!</v>
      </c>
      <c r="S1025" s="22" t="e">
        <f>Tabla1[[#This Row],[StockDisp]]*Tabla1[[#This Row],[UM producto]]</f>
        <v>#VALUE!</v>
      </c>
    </row>
    <row r="1026" spans="1:19" x14ac:dyDescent="0.35">
      <c r="A1026" s="5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6"/>
      <c r="P1026" s="23" t="e">
        <f>TRIM(Tabla1[[#This Row],[Articulo]])</f>
        <v>#VALUE!</v>
      </c>
      <c r="Q1026" s="23" t="e">
        <f>_xlfn.XLOOKUP(Tabla1[[#This Row],[Ean Normalizado]],Consumos!A:A,Consumos!E:E)</f>
        <v>#VALUE!</v>
      </c>
      <c r="R1026" s="22" t="e">
        <f>_xlfn.XLOOKUP(Tabla1[[#This Row],[Ean Normalizado]],tabla_consumos[EAN],tabla_consumos[UM])</f>
        <v>#VALUE!</v>
      </c>
      <c r="S1026" s="22" t="e">
        <f>Tabla1[[#This Row],[StockDisp]]*Tabla1[[#This Row],[UM producto]]</f>
        <v>#VALUE!</v>
      </c>
    </row>
    <row r="1027" spans="1:19" x14ac:dyDescent="0.35">
      <c r="A1027" s="5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6"/>
      <c r="P1027" s="23" t="e">
        <f>TRIM(Tabla1[[#This Row],[Articulo]])</f>
        <v>#VALUE!</v>
      </c>
      <c r="Q1027" s="23" t="e">
        <f>_xlfn.XLOOKUP(Tabla1[[#This Row],[Ean Normalizado]],Consumos!A:A,Consumos!E:E)</f>
        <v>#VALUE!</v>
      </c>
      <c r="R1027" s="22" t="e">
        <f>_xlfn.XLOOKUP(Tabla1[[#This Row],[Ean Normalizado]],tabla_consumos[EAN],tabla_consumos[UM])</f>
        <v>#VALUE!</v>
      </c>
      <c r="S1027" s="22" t="e">
        <f>Tabla1[[#This Row],[StockDisp]]*Tabla1[[#This Row],[UM producto]]</f>
        <v>#VALUE!</v>
      </c>
    </row>
    <row r="1028" spans="1:19" x14ac:dyDescent="0.35">
      <c r="A1028" s="5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6"/>
      <c r="P1028" s="23" t="e">
        <f>TRIM(Tabla1[[#This Row],[Articulo]])</f>
        <v>#VALUE!</v>
      </c>
      <c r="Q1028" s="23" t="e">
        <f>_xlfn.XLOOKUP(Tabla1[[#This Row],[Ean Normalizado]],Consumos!A:A,Consumos!E:E)</f>
        <v>#VALUE!</v>
      </c>
      <c r="R1028" s="22" t="e">
        <f>_xlfn.XLOOKUP(Tabla1[[#This Row],[Ean Normalizado]],tabla_consumos[EAN],tabla_consumos[UM])</f>
        <v>#VALUE!</v>
      </c>
      <c r="S1028" s="22" t="e">
        <f>Tabla1[[#This Row],[StockDisp]]*Tabla1[[#This Row],[UM producto]]</f>
        <v>#VALUE!</v>
      </c>
    </row>
    <row r="1029" spans="1:19" x14ac:dyDescent="0.35">
      <c r="A1029" s="5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6"/>
      <c r="P1029" s="23" t="e">
        <f>TRIM(Tabla1[[#This Row],[Articulo]])</f>
        <v>#VALUE!</v>
      </c>
      <c r="Q1029" s="23" t="e">
        <f>_xlfn.XLOOKUP(Tabla1[[#This Row],[Ean Normalizado]],Consumos!A:A,Consumos!E:E)</f>
        <v>#VALUE!</v>
      </c>
      <c r="R1029" s="22" t="e">
        <f>_xlfn.XLOOKUP(Tabla1[[#This Row],[Ean Normalizado]],tabla_consumos[EAN],tabla_consumos[UM])</f>
        <v>#VALUE!</v>
      </c>
      <c r="S1029" s="22" t="e">
        <f>Tabla1[[#This Row],[StockDisp]]*Tabla1[[#This Row],[UM producto]]</f>
        <v>#VALUE!</v>
      </c>
    </row>
    <row r="1030" spans="1:19" x14ac:dyDescent="0.35">
      <c r="A1030" s="5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6"/>
      <c r="P1030" s="23" t="e">
        <f>TRIM(Tabla1[[#This Row],[Articulo]])</f>
        <v>#VALUE!</v>
      </c>
      <c r="Q1030" s="23" t="e">
        <f>_xlfn.XLOOKUP(Tabla1[[#This Row],[Ean Normalizado]],Consumos!A:A,Consumos!E:E)</f>
        <v>#VALUE!</v>
      </c>
      <c r="R1030" s="22" t="e">
        <f>_xlfn.XLOOKUP(Tabla1[[#This Row],[Ean Normalizado]],tabla_consumos[EAN],tabla_consumos[UM])</f>
        <v>#VALUE!</v>
      </c>
      <c r="S1030" s="22" t="e">
        <f>Tabla1[[#This Row],[StockDisp]]*Tabla1[[#This Row],[UM producto]]</f>
        <v>#VALUE!</v>
      </c>
    </row>
    <row r="1031" spans="1:19" x14ac:dyDescent="0.35">
      <c r="A1031" s="5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6"/>
      <c r="P1031" s="23" t="e">
        <f>TRIM(Tabla1[[#This Row],[Articulo]])</f>
        <v>#VALUE!</v>
      </c>
      <c r="Q1031" s="23" t="e">
        <f>_xlfn.XLOOKUP(Tabla1[[#This Row],[Ean Normalizado]],Consumos!A:A,Consumos!E:E)</f>
        <v>#VALUE!</v>
      </c>
      <c r="R1031" s="22" t="e">
        <f>_xlfn.XLOOKUP(Tabla1[[#This Row],[Ean Normalizado]],tabla_consumos[EAN],tabla_consumos[UM])</f>
        <v>#VALUE!</v>
      </c>
      <c r="S1031" s="22" t="e">
        <f>Tabla1[[#This Row],[StockDisp]]*Tabla1[[#This Row],[UM producto]]</f>
        <v>#VALUE!</v>
      </c>
    </row>
    <row r="1032" spans="1:19" x14ac:dyDescent="0.35">
      <c r="A1032" s="5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6"/>
      <c r="P1032" s="23" t="e">
        <f>TRIM(Tabla1[[#This Row],[Articulo]])</f>
        <v>#VALUE!</v>
      </c>
      <c r="Q1032" s="23" t="e">
        <f>_xlfn.XLOOKUP(Tabla1[[#This Row],[Ean Normalizado]],Consumos!A:A,Consumos!E:E)</f>
        <v>#VALUE!</v>
      </c>
      <c r="R1032" s="22" t="e">
        <f>_xlfn.XLOOKUP(Tabla1[[#This Row],[Ean Normalizado]],tabla_consumos[EAN],tabla_consumos[UM])</f>
        <v>#VALUE!</v>
      </c>
      <c r="S1032" s="22" t="e">
        <f>Tabla1[[#This Row],[StockDisp]]*Tabla1[[#This Row],[UM producto]]</f>
        <v>#VALUE!</v>
      </c>
    </row>
    <row r="1033" spans="1:19" x14ac:dyDescent="0.35">
      <c r="A1033" s="5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6"/>
      <c r="P1033" s="23" t="e">
        <f>TRIM(Tabla1[[#This Row],[Articulo]])</f>
        <v>#VALUE!</v>
      </c>
      <c r="Q1033" s="23" t="e">
        <f>_xlfn.XLOOKUP(Tabla1[[#This Row],[Ean Normalizado]],Consumos!A:A,Consumos!E:E)</f>
        <v>#VALUE!</v>
      </c>
      <c r="R1033" s="22" t="e">
        <f>_xlfn.XLOOKUP(Tabla1[[#This Row],[Ean Normalizado]],tabla_consumos[EAN],tabla_consumos[UM])</f>
        <v>#VALUE!</v>
      </c>
      <c r="S1033" s="22" t="e">
        <f>Tabla1[[#This Row],[StockDisp]]*Tabla1[[#This Row],[UM producto]]</f>
        <v>#VALUE!</v>
      </c>
    </row>
    <row r="1034" spans="1:19" x14ac:dyDescent="0.35">
      <c r="A1034" s="5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6"/>
      <c r="P1034" s="23" t="e">
        <f>TRIM(Tabla1[[#This Row],[Articulo]])</f>
        <v>#VALUE!</v>
      </c>
      <c r="Q1034" s="23" t="e">
        <f>_xlfn.XLOOKUP(Tabla1[[#This Row],[Ean Normalizado]],Consumos!A:A,Consumos!E:E)</f>
        <v>#VALUE!</v>
      </c>
      <c r="R1034" s="22" t="e">
        <f>_xlfn.XLOOKUP(Tabla1[[#This Row],[Ean Normalizado]],tabla_consumos[EAN],tabla_consumos[UM])</f>
        <v>#VALUE!</v>
      </c>
      <c r="S1034" s="22" t="e">
        <f>Tabla1[[#This Row],[StockDisp]]*Tabla1[[#This Row],[UM producto]]</f>
        <v>#VALUE!</v>
      </c>
    </row>
    <row r="1035" spans="1:19" x14ac:dyDescent="0.35">
      <c r="A1035" s="5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6"/>
      <c r="P1035" s="23" t="e">
        <f>TRIM(Tabla1[[#This Row],[Articulo]])</f>
        <v>#VALUE!</v>
      </c>
      <c r="Q1035" s="23" t="e">
        <f>_xlfn.XLOOKUP(Tabla1[[#This Row],[Ean Normalizado]],Consumos!A:A,Consumos!E:E)</f>
        <v>#VALUE!</v>
      </c>
      <c r="R1035" s="22" t="e">
        <f>_xlfn.XLOOKUP(Tabla1[[#This Row],[Ean Normalizado]],tabla_consumos[EAN],tabla_consumos[UM])</f>
        <v>#VALUE!</v>
      </c>
      <c r="S1035" s="22" t="e">
        <f>Tabla1[[#This Row],[StockDisp]]*Tabla1[[#This Row],[UM producto]]</f>
        <v>#VALUE!</v>
      </c>
    </row>
    <row r="1036" spans="1:19" x14ac:dyDescent="0.35">
      <c r="A1036" s="5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6"/>
      <c r="P1036" s="23" t="e">
        <f>TRIM(Tabla1[[#This Row],[Articulo]])</f>
        <v>#VALUE!</v>
      </c>
      <c r="Q1036" s="23" t="e">
        <f>_xlfn.XLOOKUP(Tabla1[[#This Row],[Ean Normalizado]],Consumos!A:A,Consumos!E:E)</f>
        <v>#VALUE!</v>
      </c>
      <c r="R1036" s="22" t="e">
        <f>_xlfn.XLOOKUP(Tabla1[[#This Row],[Ean Normalizado]],tabla_consumos[EAN],tabla_consumos[UM])</f>
        <v>#VALUE!</v>
      </c>
      <c r="S1036" s="22" t="e">
        <f>Tabla1[[#This Row],[StockDisp]]*Tabla1[[#This Row],[UM producto]]</f>
        <v>#VALUE!</v>
      </c>
    </row>
    <row r="1037" spans="1:19" x14ac:dyDescent="0.35">
      <c r="A1037" s="5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6"/>
      <c r="P1037" s="23" t="e">
        <f>TRIM(Tabla1[[#This Row],[Articulo]])</f>
        <v>#VALUE!</v>
      </c>
      <c r="Q1037" s="23" t="e">
        <f>_xlfn.XLOOKUP(Tabla1[[#This Row],[Ean Normalizado]],Consumos!A:A,Consumos!E:E)</f>
        <v>#VALUE!</v>
      </c>
      <c r="R1037" s="22" t="e">
        <f>_xlfn.XLOOKUP(Tabla1[[#This Row],[Ean Normalizado]],tabla_consumos[EAN],tabla_consumos[UM])</f>
        <v>#VALUE!</v>
      </c>
      <c r="S1037" s="22" t="e">
        <f>Tabla1[[#This Row],[StockDisp]]*Tabla1[[#This Row],[UM producto]]</f>
        <v>#VALUE!</v>
      </c>
    </row>
    <row r="1038" spans="1:19" x14ac:dyDescent="0.35">
      <c r="A1038" s="5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6"/>
      <c r="P1038" s="23" t="e">
        <f>TRIM(Tabla1[[#This Row],[Articulo]])</f>
        <v>#VALUE!</v>
      </c>
      <c r="Q1038" s="23" t="e">
        <f>_xlfn.XLOOKUP(Tabla1[[#This Row],[Ean Normalizado]],Consumos!A:A,Consumos!E:E)</f>
        <v>#VALUE!</v>
      </c>
      <c r="R1038" s="22" t="e">
        <f>_xlfn.XLOOKUP(Tabla1[[#This Row],[Ean Normalizado]],tabla_consumos[EAN],tabla_consumos[UM])</f>
        <v>#VALUE!</v>
      </c>
      <c r="S1038" s="22" t="e">
        <f>Tabla1[[#This Row],[StockDisp]]*Tabla1[[#This Row],[UM producto]]</f>
        <v>#VALUE!</v>
      </c>
    </row>
    <row r="1039" spans="1:19" x14ac:dyDescent="0.35">
      <c r="A1039" s="5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6"/>
      <c r="P1039" s="23" t="e">
        <f>TRIM(Tabla1[[#This Row],[Articulo]])</f>
        <v>#VALUE!</v>
      </c>
      <c r="Q1039" s="23" t="e">
        <f>_xlfn.XLOOKUP(Tabla1[[#This Row],[Ean Normalizado]],Consumos!A:A,Consumos!E:E)</f>
        <v>#VALUE!</v>
      </c>
      <c r="R1039" s="22" t="e">
        <f>_xlfn.XLOOKUP(Tabla1[[#This Row],[Ean Normalizado]],tabla_consumos[EAN],tabla_consumos[UM])</f>
        <v>#VALUE!</v>
      </c>
      <c r="S1039" s="22" t="e">
        <f>Tabla1[[#This Row],[StockDisp]]*Tabla1[[#This Row],[UM producto]]</f>
        <v>#VALUE!</v>
      </c>
    </row>
    <row r="1040" spans="1:19" x14ac:dyDescent="0.35">
      <c r="A1040" s="5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6"/>
      <c r="P1040" s="23" t="e">
        <f>TRIM(Tabla1[[#This Row],[Articulo]])</f>
        <v>#VALUE!</v>
      </c>
      <c r="Q1040" s="23" t="e">
        <f>_xlfn.XLOOKUP(Tabla1[[#This Row],[Ean Normalizado]],Consumos!A:A,Consumos!E:E)</f>
        <v>#VALUE!</v>
      </c>
      <c r="R1040" s="22" t="e">
        <f>_xlfn.XLOOKUP(Tabla1[[#This Row],[Ean Normalizado]],tabla_consumos[EAN],tabla_consumos[UM])</f>
        <v>#VALUE!</v>
      </c>
      <c r="S1040" s="22" t="e">
        <f>Tabla1[[#This Row],[StockDisp]]*Tabla1[[#This Row],[UM producto]]</f>
        <v>#VALUE!</v>
      </c>
    </row>
    <row r="1041" spans="1:19" x14ac:dyDescent="0.35">
      <c r="A1041" s="5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6"/>
      <c r="P1041" s="23" t="e">
        <f>TRIM(Tabla1[[#This Row],[Articulo]])</f>
        <v>#VALUE!</v>
      </c>
      <c r="Q1041" s="23" t="e">
        <f>_xlfn.XLOOKUP(Tabla1[[#This Row],[Ean Normalizado]],Consumos!A:A,Consumos!E:E)</f>
        <v>#VALUE!</v>
      </c>
      <c r="R1041" s="22" t="e">
        <f>_xlfn.XLOOKUP(Tabla1[[#This Row],[Ean Normalizado]],tabla_consumos[EAN],tabla_consumos[UM])</f>
        <v>#VALUE!</v>
      </c>
      <c r="S1041" s="22" t="e">
        <f>Tabla1[[#This Row],[StockDisp]]*Tabla1[[#This Row],[UM producto]]</f>
        <v>#VALUE!</v>
      </c>
    </row>
    <row r="1042" spans="1:19" x14ac:dyDescent="0.35">
      <c r="A1042" s="5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6"/>
      <c r="P1042" s="23" t="e">
        <f>TRIM(Tabla1[[#This Row],[Articulo]])</f>
        <v>#VALUE!</v>
      </c>
      <c r="Q1042" s="23" t="e">
        <f>_xlfn.XLOOKUP(Tabla1[[#This Row],[Ean Normalizado]],Consumos!A:A,Consumos!E:E)</f>
        <v>#VALUE!</v>
      </c>
      <c r="R1042" s="22" t="e">
        <f>_xlfn.XLOOKUP(Tabla1[[#This Row],[Ean Normalizado]],tabla_consumos[EAN],tabla_consumos[UM])</f>
        <v>#VALUE!</v>
      </c>
      <c r="S1042" s="22" t="e">
        <f>Tabla1[[#This Row],[StockDisp]]*Tabla1[[#This Row],[UM producto]]</f>
        <v>#VALUE!</v>
      </c>
    </row>
    <row r="1043" spans="1:19" x14ac:dyDescent="0.35">
      <c r="A1043" s="5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6"/>
      <c r="P1043" s="23" t="e">
        <f>TRIM(Tabla1[[#This Row],[Articulo]])</f>
        <v>#VALUE!</v>
      </c>
      <c r="Q1043" s="23" t="e">
        <f>_xlfn.XLOOKUP(Tabla1[[#This Row],[Ean Normalizado]],Consumos!A:A,Consumos!E:E)</f>
        <v>#VALUE!</v>
      </c>
      <c r="R1043" s="22" t="e">
        <f>_xlfn.XLOOKUP(Tabla1[[#This Row],[Ean Normalizado]],tabla_consumos[EAN],tabla_consumos[UM])</f>
        <v>#VALUE!</v>
      </c>
      <c r="S1043" s="22" t="e">
        <f>Tabla1[[#This Row],[StockDisp]]*Tabla1[[#This Row],[UM producto]]</f>
        <v>#VALUE!</v>
      </c>
    </row>
    <row r="1044" spans="1:19" x14ac:dyDescent="0.35">
      <c r="A1044" s="5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6"/>
      <c r="P1044" s="23" t="e">
        <f>TRIM(Tabla1[[#This Row],[Articulo]])</f>
        <v>#VALUE!</v>
      </c>
      <c r="Q1044" s="23" t="e">
        <f>_xlfn.XLOOKUP(Tabla1[[#This Row],[Ean Normalizado]],Consumos!A:A,Consumos!E:E)</f>
        <v>#VALUE!</v>
      </c>
      <c r="R1044" s="22" t="e">
        <f>_xlfn.XLOOKUP(Tabla1[[#This Row],[Ean Normalizado]],tabla_consumos[EAN],tabla_consumos[UM])</f>
        <v>#VALUE!</v>
      </c>
      <c r="S1044" s="22" t="e">
        <f>Tabla1[[#This Row],[StockDisp]]*Tabla1[[#This Row],[UM producto]]</f>
        <v>#VALUE!</v>
      </c>
    </row>
    <row r="1045" spans="1:19" x14ac:dyDescent="0.35">
      <c r="A1045" s="5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6"/>
      <c r="P1045" s="23" t="e">
        <f>TRIM(Tabla1[[#This Row],[Articulo]])</f>
        <v>#VALUE!</v>
      </c>
      <c r="Q1045" s="23" t="e">
        <f>_xlfn.XLOOKUP(Tabla1[[#This Row],[Ean Normalizado]],Consumos!A:A,Consumos!E:E)</f>
        <v>#VALUE!</v>
      </c>
      <c r="R1045" s="22" t="e">
        <f>_xlfn.XLOOKUP(Tabla1[[#This Row],[Ean Normalizado]],tabla_consumos[EAN],tabla_consumos[UM])</f>
        <v>#VALUE!</v>
      </c>
      <c r="S1045" s="22" t="e">
        <f>Tabla1[[#This Row],[StockDisp]]*Tabla1[[#This Row],[UM producto]]</f>
        <v>#VALUE!</v>
      </c>
    </row>
    <row r="1046" spans="1:19" x14ac:dyDescent="0.35">
      <c r="A1046" s="5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6"/>
      <c r="P1046" s="23" t="e">
        <f>TRIM(Tabla1[[#This Row],[Articulo]])</f>
        <v>#VALUE!</v>
      </c>
      <c r="Q1046" s="23" t="e">
        <f>_xlfn.XLOOKUP(Tabla1[[#This Row],[Ean Normalizado]],Consumos!A:A,Consumos!E:E)</f>
        <v>#VALUE!</v>
      </c>
      <c r="R1046" s="22" t="e">
        <f>_xlfn.XLOOKUP(Tabla1[[#This Row],[Ean Normalizado]],tabla_consumos[EAN],tabla_consumos[UM])</f>
        <v>#VALUE!</v>
      </c>
      <c r="S1046" s="22" t="e">
        <f>Tabla1[[#This Row],[StockDisp]]*Tabla1[[#This Row],[UM producto]]</f>
        <v>#VALUE!</v>
      </c>
    </row>
    <row r="1047" spans="1:19" x14ac:dyDescent="0.35">
      <c r="A1047" s="5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6"/>
      <c r="P1047" s="23" t="e">
        <f>TRIM(Tabla1[[#This Row],[Articulo]])</f>
        <v>#VALUE!</v>
      </c>
      <c r="Q1047" s="23" t="e">
        <f>_xlfn.XLOOKUP(Tabla1[[#This Row],[Ean Normalizado]],Consumos!A:A,Consumos!E:E)</f>
        <v>#VALUE!</v>
      </c>
      <c r="R1047" s="22" t="e">
        <f>_xlfn.XLOOKUP(Tabla1[[#This Row],[Ean Normalizado]],tabla_consumos[EAN],tabla_consumos[UM])</f>
        <v>#VALUE!</v>
      </c>
      <c r="S1047" s="22" t="e">
        <f>Tabla1[[#This Row],[StockDisp]]*Tabla1[[#This Row],[UM producto]]</f>
        <v>#VALUE!</v>
      </c>
    </row>
    <row r="1048" spans="1:19" x14ac:dyDescent="0.35">
      <c r="A1048" s="5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6"/>
      <c r="P1048" s="23" t="e">
        <f>TRIM(Tabla1[[#This Row],[Articulo]])</f>
        <v>#VALUE!</v>
      </c>
      <c r="Q1048" s="23" t="e">
        <f>_xlfn.XLOOKUP(Tabla1[[#This Row],[Ean Normalizado]],Consumos!A:A,Consumos!E:E)</f>
        <v>#VALUE!</v>
      </c>
      <c r="R1048" s="22" t="e">
        <f>_xlfn.XLOOKUP(Tabla1[[#This Row],[Ean Normalizado]],tabla_consumos[EAN],tabla_consumos[UM])</f>
        <v>#VALUE!</v>
      </c>
      <c r="S1048" s="22" t="e">
        <f>Tabla1[[#This Row],[StockDisp]]*Tabla1[[#This Row],[UM producto]]</f>
        <v>#VALUE!</v>
      </c>
    </row>
    <row r="1049" spans="1:19" x14ac:dyDescent="0.35">
      <c r="A1049" s="5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6"/>
      <c r="P1049" s="23" t="e">
        <f>TRIM(Tabla1[[#This Row],[Articulo]])</f>
        <v>#VALUE!</v>
      </c>
      <c r="Q1049" s="23" t="e">
        <f>_xlfn.XLOOKUP(Tabla1[[#This Row],[Ean Normalizado]],Consumos!A:A,Consumos!E:E)</f>
        <v>#VALUE!</v>
      </c>
      <c r="R1049" s="22" t="e">
        <f>_xlfn.XLOOKUP(Tabla1[[#This Row],[Ean Normalizado]],tabla_consumos[EAN],tabla_consumos[UM])</f>
        <v>#VALUE!</v>
      </c>
      <c r="S1049" s="22" t="e">
        <f>Tabla1[[#This Row],[StockDisp]]*Tabla1[[#This Row],[UM producto]]</f>
        <v>#VALUE!</v>
      </c>
    </row>
    <row r="1050" spans="1:19" x14ac:dyDescent="0.35">
      <c r="A1050" s="5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6"/>
      <c r="P1050" s="23" t="e">
        <f>TRIM(Tabla1[[#This Row],[Articulo]])</f>
        <v>#VALUE!</v>
      </c>
      <c r="Q1050" s="23" t="e">
        <f>_xlfn.XLOOKUP(Tabla1[[#This Row],[Ean Normalizado]],Consumos!A:A,Consumos!E:E)</f>
        <v>#VALUE!</v>
      </c>
      <c r="R1050" s="22" t="e">
        <f>_xlfn.XLOOKUP(Tabla1[[#This Row],[Ean Normalizado]],tabla_consumos[EAN],tabla_consumos[UM])</f>
        <v>#VALUE!</v>
      </c>
      <c r="S1050" s="22" t="e">
        <f>Tabla1[[#This Row],[StockDisp]]*Tabla1[[#This Row],[UM producto]]</f>
        <v>#VALUE!</v>
      </c>
    </row>
    <row r="1051" spans="1:19" x14ac:dyDescent="0.35">
      <c r="A1051" s="5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6"/>
      <c r="P1051" s="23" t="e">
        <f>TRIM(Tabla1[[#This Row],[Articulo]])</f>
        <v>#VALUE!</v>
      </c>
      <c r="Q1051" s="23" t="e">
        <f>_xlfn.XLOOKUP(Tabla1[[#This Row],[Ean Normalizado]],Consumos!A:A,Consumos!E:E)</f>
        <v>#VALUE!</v>
      </c>
      <c r="R1051" s="22" t="e">
        <f>_xlfn.XLOOKUP(Tabla1[[#This Row],[Ean Normalizado]],tabla_consumos[EAN],tabla_consumos[UM])</f>
        <v>#VALUE!</v>
      </c>
      <c r="S1051" s="22" t="e">
        <f>Tabla1[[#This Row],[StockDisp]]*Tabla1[[#This Row],[UM producto]]</f>
        <v>#VALUE!</v>
      </c>
    </row>
    <row r="1052" spans="1:19" x14ac:dyDescent="0.35">
      <c r="A1052" s="5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6"/>
      <c r="P1052" s="23" t="e">
        <f>TRIM(Tabla1[[#This Row],[Articulo]])</f>
        <v>#VALUE!</v>
      </c>
      <c r="Q1052" s="23" t="e">
        <f>_xlfn.XLOOKUP(Tabla1[[#This Row],[Ean Normalizado]],Consumos!A:A,Consumos!E:E)</f>
        <v>#VALUE!</v>
      </c>
      <c r="R1052" s="22" t="e">
        <f>_xlfn.XLOOKUP(Tabla1[[#This Row],[Ean Normalizado]],tabla_consumos[EAN],tabla_consumos[UM])</f>
        <v>#VALUE!</v>
      </c>
      <c r="S1052" s="22" t="e">
        <f>Tabla1[[#This Row],[StockDisp]]*Tabla1[[#This Row],[UM producto]]</f>
        <v>#VALUE!</v>
      </c>
    </row>
    <row r="1053" spans="1:19" x14ac:dyDescent="0.35">
      <c r="A1053" s="5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6"/>
      <c r="P1053" s="23" t="e">
        <f>TRIM(Tabla1[[#This Row],[Articulo]])</f>
        <v>#VALUE!</v>
      </c>
      <c r="Q1053" s="23" t="e">
        <f>_xlfn.XLOOKUP(Tabla1[[#This Row],[Ean Normalizado]],Consumos!A:A,Consumos!E:E)</f>
        <v>#VALUE!</v>
      </c>
      <c r="R1053" s="22" t="e">
        <f>_xlfn.XLOOKUP(Tabla1[[#This Row],[Ean Normalizado]],tabla_consumos[EAN],tabla_consumos[UM])</f>
        <v>#VALUE!</v>
      </c>
      <c r="S1053" s="22" t="e">
        <f>Tabla1[[#This Row],[StockDisp]]*Tabla1[[#This Row],[UM producto]]</f>
        <v>#VALUE!</v>
      </c>
    </row>
    <row r="1054" spans="1:19" x14ac:dyDescent="0.35">
      <c r="A1054" s="5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6"/>
      <c r="P1054" s="23" t="e">
        <f>TRIM(Tabla1[[#This Row],[Articulo]])</f>
        <v>#VALUE!</v>
      </c>
      <c r="Q1054" s="23" t="e">
        <f>_xlfn.XLOOKUP(Tabla1[[#This Row],[Ean Normalizado]],Consumos!A:A,Consumos!E:E)</f>
        <v>#VALUE!</v>
      </c>
      <c r="R1054" s="22" t="e">
        <f>_xlfn.XLOOKUP(Tabla1[[#This Row],[Ean Normalizado]],tabla_consumos[EAN],tabla_consumos[UM])</f>
        <v>#VALUE!</v>
      </c>
      <c r="S1054" s="22" t="e">
        <f>Tabla1[[#This Row],[StockDisp]]*Tabla1[[#This Row],[UM producto]]</f>
        <v>#VALUE!</v>
      </c>
    </row>
    <row r="1055" spans="1:19" x14ac:dyDescent="0.35">
      <c r="A1055" s="5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6"/>
      <c r="P1055" s="23" t="e">
        <f>TRIM(Tabla1[[#This Row],[Articulo]])</f>
        <v>#VALUE!</v>
      </c>
      <c r="Q1055" s="23" t="e">
        <f>_xlfn.XLOOKUP(Tabla1[[#This Row],[Ean Normalizado]],Consumos!A:A,Consumos!E:E)</f>
        <v>#VALUE!</v>
      </c>
      <c r="R1055" s="22" t="e">
        <f>_xlfn.XLOOKUP(Tabla1[[#This Row],[Ean Normalizado]],tabla_consumos[EAN],tabla_consumos[UM])</f>
        <v>#VALUE!</v>
      </c>
      <c r="S1055" s="22" t="e">
        <f>Tabla1[[#This Row],[StockDisp]]*Tabla1[[#This Row],[UM producto]]</f>
        <v>#VALUE!</v>
      </c>
    </row>
    <row r="1056" spans="1:19" x14ac:dyDescent="0.35">
      <c r="A1056" s="5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6"/>
      <c r="P1056" s="23" t="e">
        <f>TRIM(Tabla1[[#This Row],[Articulo]])</f>
        <v>#VALUE!</v>
      </c>
      <c r="Q1056" s="23" t="e">
        <f>_xlfn.XLOOKUP(Tabla1[[#This Row],[Ean Normalizado]],Consumos!A:A,Consumos!E:E)</f>
        <v>#VALUE!</v>
      </c>
      <c r="R1056" s="22" t="e">
        <f>_xlfn.XLOOKUP(Tabla1[[#This Row],[Ean Normalizado]],tabla_consumos[EAN],tabla_consumos[UM])</f>
        <v>#VALUE!</v>
      </c>
      <c r="S1056" s="22" t="e">
        <f>Tabla1[[#This Row],[StockDisp]]*Tabla1[[#This Row],[UM producto]]</f>
        <v>#VALUE!</v>
      </c>
    </row>
    <row r="1057" spans="1:19" x14ac:dyDescent="0.35">
      <c r="A1057" s="5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6"/>
      <c r="P1057" s="23" t="e">
        <f>TRIM(Tabla1[[#This Row],[Articulo]])</f>
        <v>#VALUE!</v>
      </c>
      <c r="Q1057" s="23" t="e">
        <f>_xlfn.XLOOKUP(Tabla1[[#This Row],[Ean Normalizado]],Consumos!A:A,Consumos!E:E)</f>
        <v>#VALUE!</v>
      </c>
      <c r="R1057" s="22" t="e">
        <f>_xlfn.XLOOKUP(Tabla1[[#This Row],[Ean Normalizado]],tabla_consumos[EAN],tabla_consumos[UM])</f>
        <v>#VALUE!</v>
      </c>
      <c r="S1057" s="22" t="e">
        <f>Tabla1[[#This Row],[StockDisp]]*Tabla1[[#This Row],[UM producto]]</f>
        <v>#VALUE!</v>
      </c>
    </row>
    <row r="1058" spans="1:19" x14ac:dyDescent="0.35">
      <c r="A1058" s="5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6"/>
      <c r="P1058" s="23" t="e">
        <f>TRIM(Tabla1[[#This Row],[Articulo]])</f>
        <v>#VALUE!</v>
      </c>
      <c r="Q1058" s="23" t="e">
        <f>_xlfn.XLOOKUP(Tabla1[[#This Row],[Ean Normalizado]],Consumos!A:A,Consumos!E:E)</f>
        <v>#VALUE!</v>
      </c>
      <c r="R1058" s="22" t="e">
        <f>_xlfn.XLOOKUP(Tabla1[[#This Row],[Ean Normalizado]],tabla_consumos[EAN],tabla_consumos[UM])</f>
        <v>#VALUE!</v>
      </c>
      <c r="S1058" s="22" t="e">
        <f>Tabla1[[#This Row],[StockDisp]]*Tabla1[[#This Row],[UM producto]]</f>
        <v>#VALUE!</v>
      </c>
    </row>
    <row r="1059" spans="1:19" x14ac:dyDescent="0.35">
      <c r="A1059" s="5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6"/>
      <c r="P1059" s="23" t="e">
        <f>TRIM(Tabla1[[#This Row],[Articulo]])</f>
        <v>#VALUE!</v>
      </c>
      <c r="Q1059" s="23" t="e">
        <f>_xlfn.XLOOKUP(Tabla1[[#This Row],[Ean Normalizado]],Consumos!A:A,Consumos!E:E)</f>
        <v>#VALUE!</v>
      </c>
      <c r="R1059" s="22" t="e">
        <f>_xlfn.XLOOKUP(Tabla1[[#This Row],[Ean Normalizado]],tabla_consumos[EAN],tabla_consumos[UM])</f>
        <v>#VALUE!</v>
      </c>
      <c r="S1059" s="22" t="e">
        <f>Tabla1[[#This Row],[StockDisp]]*Tabla1[[#This Row],[UM producto]]</f>
        <v>#VALUE!</v>
      </c>
    </row>
    <row r="1060" spans="1:19" x14ac:dyDescent="0.35">
      <c r="A1060" s="5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6"/>
      <c r="P1060" s="23" t="e">
        <f>TRIM(Tabla1[[#This Row],[Articulo]])</f>
        <v>#VALUE!</v>
      </c>
      <c r="Q1060" s="23" t="e">
        <f>_xlfn.XLOOKUP(Tabla1[[#This Row],[Ean Normalizado]],Consumos!A:A,Consumos!E:E)</f>
        <v>#VALUE!</v>
      </c>
      <c r="R1060" s="22" t="e">
        <f>_xlfn.XLOOKUP(Tabla1[[#This Row],[Ean Normalizado]],tabla_consumos[EAN],tabla_consumos[UM])</f>
        <v>#VALUE!</v>
      </c>
      <c r="S1060" s="22" t="e">
        <f>Tabla1[[#This Row],[StockDisp]]*Tabla1[[#This Row],[UM producto]]</f>
        <v>#VALUE!</v>
      </c>
    </row>
    <row r="1061" spans="1:19" x14ac:dyDescent="0.35">
      <c r="A1061" s="5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6"/>
      <c r="P1061" s="23" t="e">
        <f>TRIM(Tabla1[[#This Row],[Articulo]])</f>
        <v>#VALUE!</v>
      </c>
      <c r="Q1061" s="23" t="e">
        <f>_xlfn.XLOOKUP(Tabla1[[#This Row],[Ean Normalizado]],Consumos!A:A,Consumos!E:E)</f>
        <v>#VALUE!</v>
      </c>
      <c r="R1061" s="22" t="e">
        <f>_xlfn.XLOOKUP(Tabla1[[#This Row],[Ean Normalizado]],tabla_consumos[EAN],tabla_consumos[UM])</f>
        <v>#VALUE!</v>
      </c>
      <c r="S1061" s="22" t="e">
        <f>Tabla1[[#This Row],[StockDisp]]*Tabla1[[#This Row],[UM producto]]</f>
        <v>#VALUE!</v>
      </c>
    </row>
    <row r="1062" spans="1:19" x14ac:dyDescent="0.35">
      <c r="A1062" s="5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6"/>
      <c r="P1062" s="23" t="e">
        <f>TRIM(Tabla1[[#This Row],[Articulo]])</f>
        <v>#VALUE!</v>
      </c>
      <c r="Q1062" s="23" t="e">
        <f>_xlfn.XLOOKUP(Tabla1[[#This Row],[Ean Normalizado]],Consumos!A:A,Consumos!E:E)</f>
        <v>#VALUE!</v>
      </c>
      <c r="R1062" s="22" t="e">
        <f>_xlfn.XLOOKUP(Tabla1[[#This Row],[Ean Normalizado]],tabla_consumos[EAN],tabla_consumos[UM])</f>
        <v>#VALUE!</v>
      </c>
      <c r="S1062" s="22" t="e">
        <f>Tabla1[[#This Row],[StockDisp]]*Tabla1[[#This Row],[UM producto]]</f>
        <v>#VALUE!</v>
      </c>
    </row>
    <row r="1063" spans="1:19" x14ac:dyDescent="0.35">
      <c r="A1063" s="5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6"/>
      <c r="P1063" s="23" t="e">
        <f>TRIM(Tabla1[[#This Row],[Articulo]])</f>
        <v>#VALUE!</v>
      </c>
      <c r="Q1063" s="23" t="e">
        <f>_xlfn.XLOOKUP(Tabla1[[#This Row],[Ean Normalizado]],Consumos!A:A,Consumos!E:E)</f>
        <v>#VALUE!</v>
      </c>
      <c r="R1063" s="22" t="e">
        <f>_xlfn.XLOOKUP(Tabla1[[#This Row],[Ean Normalizado]],tabla_consumos[EAN],tabla_consumos[UM])</f>
        <v>#VALUE!</v>
      </c>
      <c r="S1063" s="22" t="e">
        <f>Tabla1[[#This Row],[StockDisp]]*Tabla1[[#This Row],[UM producto]]</f>
        <v>#VALUE!</v>
      </c>
    </row>
    <row r="1064" spans="1:19" x14ac:dyDescent="0.35">
      <c r="A1064" s="5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6"/>
      <c r="P1064" s="23" t="e">
        <f>TRIM(Tabla1[[#This Row],[Articulo]])</f>
        <v>#VALUE!</v>
      </c>
      <c r="Q1064" s="23" t="e">
        <f>_xlfn.XLOOKUP(Tabla1[[#This Row],[Ean Normalizado]],Consumos!A:A,Consumos!E:E)</f>
        <v>#VALUE!</v>
      </c>
      <c r="R1064" s="22" t="e">
        <f>_xlfn.XLOOKUP(Tabla1[[#This Row],[Ean Normalizado]],tabla_consumos[EAN],tabla_consumos[UM])</f>
        <v>#VALUE!</v>
      </c>
      <c r="S1064" s="22" t="e">
        <f>Tabla1[[#This Row],[StockDisp]]*Tabla1[[#This Row],[UM producto]]</f>
        <v>#VALUE!</v>
      </c>
    </row>
    <row r="1065" spans="1:19" x14ac:dyDescent="0.35">
      <c r="A1065" s="5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6"/>
      <c r="P1065" s="23" t="e">
        <f>TRIM(Tabla1[[#This Row],[Articulo]])</f>
        <v>#VALUE!</v>
      </c>
      <c r="Q1065" s="23" t="e">
        <f>_xlfn.XLOOKUP(Tabla1[[#This Row],[Ean Normalizado]],Consumos!A:A,Consumos!E:E)</f>
        <v>#VALUE!</v>
      </c>
      <c r="R1065" s="22" t="e">
        <f>_xlfn.XLOOKUP(Tabla1[[#This Row],[Ean Normalizado]],tabla_consumos[EAN],tabla_consumos[UM])</f>
        <v>#VALUE!</v>
      </c>
      <c r="S1065" s="22" t="e">
        <f>Tabla1[[#This Row],[StockDisp]]*Tabla1[[#This Row],[UM producto]]</f>
        <v>#VALUE!</v>
      </c>
    </row>
    <row r="1066" spans="1:19" x14ac:dyDescent="0.35">
      <c r="A1066" s="5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6"/>
      <c r="P1066" s="23" t="e">
        <f>TRIM(Tabla1[[#This Row],[Articulo]])</f>
        <v>#VALUE!</v>
      </c>
      <c r="Q1066" s="23" t="e">
        <f>_xlfn.XLOOKUP(Tabla1[[#This Row],[Ean Normalizado]],Consumos!A:A,Consumos!E:E)</f>
        <v>#VALUE!</v>
      </c>
      <c r="R1066" s="22" t="e">
        <f>_xlfn.XLOOKUP(Tabla1[[#This Row],[Ean Normalizado]],tabla_consumos[EAN],tabla_consumos[UM])</f>
        <v>#VALUE!</v>
      </c>
      <c r="S1066" s="22" t="e">
        <f>Tabla1[[#This Row],[StockDisp]]*Tabla1[[#This Row],[UM producto]]</f>
        <v>#VALUE!</v>
      </c>
    </row>
    <row r="1067" spans="1:19" x14ac:dyDescent="0.35">
      <c r="A1067" s="5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6"/>
      <c r="P1067" s="23" t="e">
        <f>TRIM(Tabla1[[#This Row],[Articulo]])</f>
        <v>#VALUE!</v>
      </c>
      <c r="Q1067" s="23" t="e">
        <f>_xlfn.XLOOKUP(Tabla1[[#This Row],[Ean Normalizado]],Consumos!A:A,Consumos!E:E)</f>
        <v>#VALUE!</v>
      </c>
      <c r="R1067" s="22" t="e">
        <f>_xlfn.XLOOKUP(Tabla1[[#This Row],[Ean Normalizado]],tabla_consumos[EAN],tabla_consumos[UM])</f>
        <v>#VALUE!</v>
      </c>
      <c r="S1067" s="22" t="e">
        <f>Tabla1[[#This Row],[StockDisp]]*Tabla1[[#This Row],[UM producto]]</f>
        <v>#VALUE!</v>
      </c>
    </row>
    <row r="1068" spans="1:19" x14ac:dyDescent="0.35">
      <c r="A1068" s="5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6"/>
      <c r="P1068" s="23" t="e">
        <f>TRIM(Tabla1[[#This Row],[Articulo]])</f>
        <v>#VALUE!</v>
      </c>
      <c r="Q1068" s="23" t="e">
        <f>_xlfn.XLOOKUP(Tabla1[[#This Row],[Ean Normalizado]],Consumos!A:A,Consumos!E:E)</f>
        <v>#VALUE!</v>
      </c>
      <c r="R1068" s="22" t="e">
        <f>_xlfn.XLOOKUP(Tabla1[[#This Row],[Ean Normalizado]],tabla_consumos[EAN],tabla_consumos[UM])</f>
        <v>#VALUE!</v>
      </c>
      <c r="S1068" s="22" t="e">
        <f>Tabla1[[#This Row],[StockDisp]]*Tabla1[[#This Row],[UM producto]]</f>
        <v>#VALUE!</v>
      </c>
    </row>
    <row r="1069" spans="1:19" x14ac:dyDescent="0.35">
      <c r="A1069" s="5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6"/>
      <c r="P1069" s="23" t="e">
        <f>TRIM(Tabla1[[#This Row],[Articulo]])</f>
        <v>#VALUE!</v>
      </c>
      <c r="Q1069" s="23" t="e">
        <f>_xlfn.XLOOKUP(Tabla1[[#This Row],[Ean Normalizado]],Consumos!A:A,Consumos!E:E)</f>
        <v>#VALUE!</v>
      </c>
      <c r="R1069" s="22" t="e">
        <f>_xlfn.XLOOKUP(Tabla1[[#This Row],[Ean Normalizado]],tabla_consumos[EAN],tabla_consumos[UM])</f>
        <v>#VALUE!</v>
      </c>
      <c r="S1069" s="22" t="e">
        <f>Tabla1[[#This Row],[StockDisp]]*Tabla1[[#This Row],[UM producto]]</f>
        <v>#VALUE!</v>
      </c>
    </row>
    <row r="1070" spans="1:19" x14ac:dyDescent="0.35">
      <c r="A1070" s="5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6"/>
      <c r="P1070" s="23" t="e">
        <f>TRIM(Tabla1[[#This Row],[Articulo]])</f>
        <v>#VALUE!</v>
      </c>
      <c r="Q1070" s="23" t="e">
        <f>_xlfn.XLOOKUP(Tabla1[[#This Row],[Ean Normalizado]],Consumos!A:A,Consumos!E:E)</f>
        <v>#VALUE!</v>
      </c>
      <c r="R1070" s="22" t="e">
        <f>_xlfn.XLOOKUP(Tabla1[[#This Row],[Ean Normalizado]],tabla_consumos[EAN],tabla_consumos[UM])</f>
        <v>#VALUE!</v>
      </c>
      <c r="S1070" s="22" t="e">
        <f>Tabla1[[#This Row],[StockDisp]]*Tabla1[[#This Row],[UM producto]]</f>
        <v>#VALUE!</v>
      </c>
    </row>
    <row r="1071" spans="1:19" x14ac:dyDescent="0.35">
      <c r="A1071" s="5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6"/>
      <c r="P1071" s="23" t="e">
        <f>TRIM(Tabla1[[#This Row],[Articulo]])</f>
        <v>#VALUE!</v>
      </c>
      <c r="Q1071" s="23" t="e">
        <f>_xlfn.XLOOKUP(Tabla1[[#This Row],[Ean Normalizado]],Consumos!A:A,Consumos!E:E)</f>
        <v>#VALUE!</v>
      </c>
      <c r="R1071" s="22" t="e">
        <f>_xlfn.XLOOKUP(Tabla1[[#This Row],[Ean Normalizado]],tabla_consumos[EAN],tabla_consumos[UM])</f>
        <v>#VALUE!</v>
      </c>
      <c r="S1071" s="22" t="e">
        <f>Tabla1[[#This Row],[StockDisp]]*Tabla1[[#This Row],[UM producto]]</f>
        <v>#VALUE!</v>
      </c>
    </row>
    <row r="1072" spans="1:19" x14ac:dyDescent="0.35">
      <c r="A1072" s="5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6"/>
      <c r="P1072" s="23" t="e">
        <f>TRIM(Tabla1[[#This Row],[Articulo]])</f>
        <v>#VALUE!</v>
      </c>
      <c r="Q1072" s="23" t="e">
        <f>_xlfn.XLOOKUP(Tabla1[[#This Row],[Ean Normalizado]],Consumos!A:A,Consumos!E:E)</f>
        <v>#VALUE!</v>
      </c>
      <c r="R1072" s="22" t="e">
        <f>_xlfn.XLOOKUP(Tabla1[[#This Row],[Ean Normalizado]],tabla_consumos[EAN],tabla_consumos[UM])</f>
        <v>#VALUE!</v>
      </c>
      <c r="S1072" s="22" t="e">
        <f>Tabla1[[#This Row],[StockDisp]]*Tabla1[[#This Row],[UM producto]]</f>
        <v>#VALUE!</v>
      </c>
    </row>
    <row r="1073" spans="1:19" x14ac:dyDescent="0.35">
      <c r="A1073" s="5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6"/>
      <c r="P1073" s="23" t="e">
        <f>TRIM(Tabla1[[#This Row],[Articulo]])</f>
        <v>#VALUE!</v>
      </c>
      <c r="Q1073" s="23" t="e">
        <f>_xlfn.XLOOKUP(Tabla1[[#This Row],[Ean Normalizado]],Consumos!A:A,Consumos!E:E)</f>
        <v>#VALUE!</v>
      </c>
      <c r="R1073" s="22" t="e">
        <f>_xlfn.XLOOKUP(Tabla1[[#This Row],[Ean Normalizado]],tabla_consumos[EAN],tabla_consumos[UM])</f>
        <v>#VALUE!</v>
      </c>
      <c r="S1073" s="22" t="e">
        <f>Tabla1[[#This Row],[StockDisp]]*Tabla1[[#This Row],[UM producto]]</f>
        <v>#VALUE!</v>
      </c>
    </row>
    <row r="1074" spans="1:19" x14ac:dyDescent="0.35">
      <c r="A1074" s="5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6"/>
      <c r="P1074" s="23" t="e">
        <f>TRIM(Tabla1[[#This Row],[Articulo]])</f>
        <v>#VALUE!</v>
      </c>
      <c r="Q1074" s="23" t="e">
        <f>_xlfn.XLOOKUP(Tabla1[[#This Row],[Ean Normalizado]],Consumos!A:A,Consumos!E:E)</f>
        <v>#VALUE!</v>
      </c>
      <c r="R1074" s="22" t="e">
        <f>_xlfn.XLOOKUP(Tabla1[[#This Row],[Ean Normalizado]],tabla_consumos[EAN],tabla_consumos[UM])</f>
        <v>#VALUE!</v>
      </c>
      <c r="S1074" s="22" t="e">
        <f>Tabla1[[#This Row],[StockDisp]]*Tabla1[[#This Row],[UM producto]]</f>
        <v>#VALUE!</v>
      </c>
    </row>
    <row r="1075" spans="1:19" x14ac:dyDescent="0.35">
      <c r="A1075" s="5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6"/>
      <c r="P1075" s="23" t="e">
        <f>TRIM(Tabla1[[#This Row],[Articulo]])</f>
        <v>#VALUE!</v>
      </c>
      <c r="Q1075" s="23" t="e">
        <f>_xlfn.XLOOKUP(Tabla1[[#This Row],[Ean Normalizado]],Consumos!A:A,Consumos!E:E)</f>
        <v>#VALUE!</v>
      </c>
      <c r="R1075" s="22" t="e">
        <f>_xlfn.XLOOKUP(Tabla1[[#This Row],[Ean Normalizado]],tabla_consumos[EAN],tabla_consumos[UM])</f>
        <v>#VALUE!</v>
      </c>
      <c r="S1075" s="22" t="e">
        <f>Tabla1[[#This Row],[StockDisp]]*Tabla1[[#This Row],[UM producto]]</f>
        <v>#VALUE!</v>
      </c>
    </row>
    <row r="1076" spans="1:19" x14ac:dyDescent="0.35">
      <c r="A1076" s="5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6"/>
      <c r="P1076" s="23" t="e">
        <f>TRIM(Tabla1[[#This Row],[Articulo]])</f>
        <v>#VALUE!</v>
      </c>
      <c r="Q1076" s="23" t="e">
        <f>_xlfn.XLOOKUP(Tabla1[[#This Row],[Ean Normalizado]],Consumos!A:A,Consumos!E:E)</f>
        <v>#VALUE!</v>
      </c>
      <c r="R1076" s="22" t="e">
        <f>_xlfn.XLOOKUP(Tabla1[[#This Row],[Ean Normalizado]],tabla_consumos[EAN],tabla_consumos[UM])</f>
        <v>#VALUE!</v>
      </c>
      <c r="S1076" s="22" t="e">
        <f>Tabla1[[#This Row],[StockDisp]]*Tabla1[[#This Row],[UM producto]]</f>
        <v>#VALUE!</v>
      </c>
    </row>
    <row r="1077" spans="1:19" x14ac:dyDescent="0.35">
      <c r="A1077" s="5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6"/>
      <c r="P1077" s="23" t="e">
        <f>TRIM(Tabla1[[#This Row],[Articulo]])</f>
        <v>#VALUE!</v>
      </c>
      <c r="Q1077" s="23" t="e">
        <f>_xlfn.XLOOKUP(Tabla1[[#This Row],[Ean Normalizado]],Consumos!A:A,Consumos!E:E)</f>
        <v>#VALUE!</v>
      </c>
      <c r="R1077" s="22" t="e">
        <f>_xlfn.XLOOKUP(Tabla1[[#This Row],[Ean Normalizado]],tabla_consumos[EAN],tabla_consumos[UM])</f>
        <v>#VALUE!</v>
      </c>
      <c r="S1077" s="22" t="e">
        <f>Tabla1[[#This Row],[StockDisp]]*Tabla1[[#This Row],[UM producto]]</f>
        <v>#VALUE!</v>
      </c>
    </row>
    <row r="1078" spans="1:19" x14ac:dyDescent="0.35">
      <c r="A1078" s="5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6"/>
      <c r="P1078" s="23" t="e">
        <f>TRIM(Tabla1[[#This Row],[Articulo]])</f>
        <v>#VALUE!</v>
      </c>
      <c r="Q1078" s="23" t="e">
        <f>_xlfn.XLOOKUP(Tabla1[[#This Row],[Ean Normalizado]],Consumos!A:A,Consumos!E:E)</f>
        <v>#VALUE!</v>
      </c>
      <c r="R1078" s="22" t="e">
        <f>_xlfn.XLOOKUP(Tabla1[[#This Row],[Ean Normalizado]],tabla_consumos[EAN],tabla_consumos[UM])</f>
        <v>#VALUE!</v>
      </c>
      <c r="S1078" s="22" t="e">
        <f>Tabla1[[#This Row],[StockDisp]]*Tabla1[[#This Row],[UM producto]]</f>
        <v>#VALUE!</v>
      </c>
    </row>
    <row r="1079" spans="1:19" x14ac:dyDescent="0.35">
      <c r="A1079" s="5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6"/>
      <c r="P1079" s="23" t="e">
        <f>TRIM(Tabla1[[#This Row],[Articulo]])</f>
        <v>#VALUE!</v>
      </c>
      <c r="Q1079" s="23" t="e">
        <f>_xlfn.XLOOKUP(Tabla1[[#This Row],[Ean Normalizado]],Consumos!A:A,Consumos!E:E)</f>
        <v>#VALUE!</v>
      </c>
      <c r="R1079" s="22" t="e">
        <f>_xlfn.XLOOKUP(Tabla1[[#This Row],[Ean Normalizado]],tabla_consumos[EAN],tabla_consumos[UM])</f>
        <v>#VALUE!</v>
      </c>
      <c r="S1079" s="22" t="e">
        <f>Tabla1[[#This Row],[StockDisp]]*Tabla1[[#This Row],[UM producto]]</f>
        <v>#VALUE!</v>
      </c>
    </row>
    <row r="1080" spans="1:19" x14ac:dyDescent="0.35">
      <c r="A1080" s="5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6"/>
      <c r="P1080" s="23" t="e">
        <f>TRIM(Tabla1[[#This Row],[Articulo]])</f>
        <v>#VALUE!</v>
      </c>
      <c r="Q1080" s="23" t="e">
        <f>_xlfn.XLOOKUP(Tabla1[[#This Row],[Ean Normalizado]],Consumos!A:A,Consumos!E:E)</f>
        <v>#VALUE!</v>
      </c>
      <c r="R1080" s="22" t="e">
        <f>_xlfn.XLOOKUP(Tabla1[[#This Row],[Ean Normalizado]],tabla_consumos[EAN],tabla_consumos[UM])</f>
        <v>#VALUE!</v>
      </c>
      <c r="S1080" s="22" t="e">
        <f>Tabla1[[#This Row],[StockDisp]]*Tabla1[[#This Row],[UM producto]]</f>
        <v>#VALUE!</v>
      </c>
    </row>
    <row r="1081" spans="1:19" x14ac:dyDescent="0.35">
      <c r="A1081" s="5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6"/>
      <c r="P1081" s="23" t="e">
        <f>TRIM(Tabla1[[#This Row],[Articulo]])</f>
        <v>#VALUE!</v>
      </c>
      <c r="Q1081" s="23" t="e">
        <f>_xlfn.XLOOKUP(Tabla1[[#This Row],[Ean Normalizado]],Consumos!A:A,Consumos!E:E)</f>
        <v>#VALUE!</v>
      </c>
      <c r="R1081" s="22" t="e">
        <f>_xlfn.XLOOKUP(Tabla1[[#This Row],[Ean Normalizado]],tabla_consumos[EAN],tabla_consumos[UM])</f>
        <v>#VALUE!</v>
      </c>
      <c r="S1081" s="22" t="e">
        <f>Tabla1[[#This Row],[StockDisp]]*Tabla1[[#This Row],[UM producto]]</f>
        <v>#VALUE!</v>
      </c>
    </row>
    <row r="1082" spans="1:19" x14ac:dyDescent="0.35">
      <c r="A1082" s="5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6"/>
      <c r="P1082" s="23" t="e">
        <f>TRIM(Tabla1[[#This Row],[Articulo]])</f>
        <v>#VALUE!</v>
      </c>
      <c r="Q1082" s="23" t="e">
        <f>_xlfn.XLOOKUP(Tabla1[[#This Row],[Ean Normalizado]],Consumos!A:A,Consumos!E:E)</f>
        <v>#VALUE!</v>
      </c>
      <c r="R1082" s="22" t="e">
        <f>_xlfn.XLOOKUP(Tabla1[[#This Row],[Ean Normalizado]],tabla_consumos[EAN],tabla_consumos[UM])</f>
        <v>#VALUE!</v>
      </c>
      <c r="S1082" s="22" t="e">
        <f>Tabla1[[#This Row],[StockDisp]]*Tabla1[[#This Row],[UM producto]]</f>
        <v>#VALUE!</v>
      </c>
    </row>
    <row r="1083" spans="1:19" x14ac:dyDescent="0.35">
      <c r="A1083" s="5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6"/>
      <c r="P1083" s="23" t="e">
        <f>TRIM(Tabla1[[#This Row],[Articulo]])</f>
        <v>#VALUE!</v>
      </c>
      <c r="Q1083" s="23" t="e">
        <f>_xlfn.XLOOKUP(Tabla1[[#This Row],[Ean Normalizado]],Consumos!A:A,Consumos!E:E)</f>
        <v>#VALUE!</v>
      </c>
      <c r="R1083" s="22" t="e">
        <f>_xlfn.XLOOKUP(Tabla1[[#This Row],[Ean Normalizado]],tabla_consumos[EAN],tabla_consumos[UM])</f>
        <v>#VALUE!</v>
      </c>
      <c r="S1083" s="22" t="e">
        <f>Tabla1[[#This Row],[StockDisp]]*Tabla1[[#This Row],[UM producto]]</f>
        <v>#VALUE!</v>
      </c>
    </row>
    <row r="1084" spans="1:19" x14ac:dyDescent="0.35">
      <c r="A1084" s="5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6"/>
      <c r="P1084" s="23" t="e">
        <f>TRIM(Tabla1[[#This Row],[Articulo]])</f>
        <v>#VALUE!</v>
      </c>
      <c r="Q1084" s="23" t="e">
        <f>_xlfn.XLOOKUP(Tabla1[[#This Row],[Ean Normalizado]],Consumos!A:A,Consumos!E:E)</f>
        <v>#VALUE!</v>
      </c>
      <c r="R1084" s="22" t="e">
        <f>_xlfn.XLOOKUP(Tabla1[[#This Row],[Ean Normalizado]],tabla_consumos[EAN],tabla_consumos[UM])</f>
        <v>#VALUE!</v>
      </c>
      <c r="S1084" s="22" t="e">
        <f>Tabla1[[#This Row],[StockDisp]]*Tabla1[[#This Row],[UM producto]]</f>
        <v>#VALUE!</v>
      </c>
    </row>
    <row r="1085" spans="1:19" x14ac:dyDescent="0.35">
      <c r="A1085" s="5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6"/>
      <c r="P1085" s="23" t="e">
        <f>TRIM(Tabla1[[#This Row],[Articulo]])</f>
        <v>#VALUE!</v>
      </c>
      <c r="Q1085" s="23" t="e">
        <f>_xlfn.XLOOKUP(Tabla1[[#This Row],[Ean Normalizado]],Consumos!A:A,Consumos!E:E)</f>
        <v>#VALUE!</v>
      </c>
      <c r="R1085" s="22" t="e">
        <f>_xlfn.XLOOKUP(Tabla1[[#This Row],[Ean Normalizado]],tabla_consumos[EAN],tabla_consumos[UM])</f>
        <v>#VALUE!</v>
      </c>
      <c r="S1085" s="22" t="e">
        <f>Tabla1[[#This Row],[StockDisp]]*Tabla1[[#This Row],[UM producto]]</f>
        <v>#VALUE!</v>
      </c>
    </row>
    <row r="1086" spans="1:19" x14ac:dyDescent="0.35">
      <c r="A1086" s="5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6"/>
      <c r="P1086" s="23" t="e">
        <f>TRIM(Tabla1[[#This Row],[Articulo]])</f>
        <v>#VALUE!</v>
      </c>
      <c r="Q1086" s="23" t="e">
        <f>_xlfn.XLOOKUP(Tabla1[[#This Row],[Ean Normalizado]],Consumos!A:A,Consumos!E:E)</f>
        <v>#VALUE!</v>
      </c>
      <c r="R1086" s="22" t="e">
        <f>_xlfn.XLOOKUP(Tabla1[[#This Row],[Ean Normalizado]],tabla_consumos[EAN],tabla_consumos[UM])</f>
        <v>#VALUE!</v>
      </c>
      <c r="S1086" s="22" t="e">
        <f>Tabla1[[#This Row],[StockDisp]]*Tabla1[[#This Row],[UM producto]]</f>
        <v>#VALUE!</v>
      </c>
    </row>
    <row r="1087" spans="1:19" x14ac:dyDescent="0.35">
      <c r="A1087" s="5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6"/>
      <c r="P1087" s="23" t="e">
        <f>TRIM(Tabla1[[#This Row],[Articulo]])</f>
        <v>#VALUE!</v>
      </c>
      <c r="Q1087" s="23" t="e">
        <f>_xlfn.XLOOKUP(Tabla1[[#This Row],[Ean Normalizado]],Consumos!A:A,Consumos!E:E)</f>
        <v>#VALUE!</v>
      </c>
      <c r="R1087" s="22" t="e">
        <f>_xlfn.XLOOKUP(Tabla1[[#This Row],[Ean Normalizado]],tabla_consumos[EAN],tabla_consumos[UM])</f>
        <v>#VALUE!</v>
      </c>
      <c r="S1087" s="22" t="e">
        <f>Tabla1[[#This Row],[StockDisp]]*Tabla1[[#This Row],[UM producto]]</f>
        <v>#VALUE!</v>
      </c>
    </row>
    <row r="1088" spans="1:19" x14ac:dyDescent="0.35">
      <c r="A1088" s="5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6"/>
      <c r="P1088" s="23" t="e">
        <f>TRIM(Tabla1[[#This Row],[Articulo]])</f>
        <v>#VALUE!</v>
      </c>
      <c r="Q1088" s="23" t="e">
        <f>_xlfn.XLOOKUP(Tabla1[[#This Row],[Ean Normalizado]],Consumos!A:A,Consumos!E:E)</f>
        <v>#VALUE!</v>
      </c>
      <c r="R1088" s="22" t="e">
        <f>_xlfn.XLOOKUP(Tabla1[[#This Row],[Ean Normalizado]],tabla_consumos[EAN],tabla_consumos[UM])</f>
        <v>#VALUE!</v>
      </c>
      <c r="S1088" s="22" t="e">
        <f>Tabla1[[#This Row],[StockDisp]]*Tabla1[[#This Row],[UM producto]]</f>
        <v>#VALUE!</v>
      </c>
    </row>
    <row r="1089" spans="1:19" x14ac:dyDescent="0.35">
      <c r="A1089" s="5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6"/>
      <c r="P1089" s="23" t="e">
        <f>TRIM(Tabla1[[#This Row],[Articulo]])</f>
        <v>#VALUE!</v>
      </c>
      <c r="Q1089" s="23" t="e">
        <f>_xlfn.XLOOKUP(Tabla1[[#This Row],[Ean Normalizado]],Consumos!A:A,Consumos!E:E)</f>
        <v>#VALUE!</v>
      </c>
      <c r="R1089" s="22" t="e">
        <f>_xlfn.XLOOKUP(Tabla1[[#This Row],[Ean Normalizado]],tabla_consumos[EAN],tabla_consumos[UM])</f>
        <v>#VALUE!</v>
      </c>
      <c r="S1089" s="22" t="e">
        <f>Tabla1[[#This Row],[StockDisp]]*Tabla1[[#This Row],[UM producto]]</f>
        <v>#VALUE!</v>
      </c>
    </row>
    <row r="1090" spans="1:19" x14ac:dyDescent="0.35">
      <c r="A1090" s="5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6"/>
      <c r="P1090" s="23" t="e">
        <f>TRIM(Tabla1[[#This Row],[Articulo]])</f>
        <v>#VALUE!</v>
      </c>
      <c r="Q1090" s="23" t="e">
        <f>_xlfn.XLOOKUP(Tabla1[[#This Row],[Ean Normalizado]],Consumos!A:A,Consumos!E:E)</f>
        <v>#VALUE!</v>
      </c>
      <c r="R1090" s="22" t="e">
        <f>_xlfn.XLOOKUP(Tabla1[[#This Row],[Ean Normalizado]],tabla_consumos[EAN],tabla_consumos[UM])</f>
        <v>#VALUE!</v>
      </c>
      <c r="S1090" s="22" t="e">
        <f>Tabla1[[#This Row],[StockDisp]]*Tabla1[[#This Row],[UM producto]]</f>
        <v>#VALUE!</v>
      </c>
    </row>
    <row r="1091" spans="1:19" x14ac:dyDescent="0.35">
      <c r="A1091" s="5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6"/>
      <c r="P1091" s="23" t="e">
        <f>TRIM(Tabla1[[#This Row],[Articulo]])</f>
        <v>#VALUE!</v>
      </c>
      <c r="Q1091" s="23" t="e">
        <f>_xlfn.XLOOKUP(Tabla1[[#This Row],[Ean Normalizado]],Consumos!A:A,Consumos!E:E)</f>
        <v>#VALUE!</v>
      </c>
      <c r="R1091" s="22" t="e">
        <f>_xlfn.XLOOKUP(Tabla1[[#This Row],[Ean Normalizado]],tabla_consumos[EAN],tabla_consumos[UM])</f>
        <v>#VALUE!</v>
      </c>
      <c r="S1091" s="22" t="e">
        <f>Tabla1[[#This Row],[StockDisp]]*Tabla1[[#This Row],[UM producto]]</f>
        <v>#VALUE!</v>
      </c>
    </row>
    <row r="1092" spans="1:19" x14ac:dyDescent="0.35">
      <c r="A1092" s="5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6"/>
      <c r="P1092" s="23" t="e">
        <f>TRIM(Tabla1[[#This Row],[Articulo]])</f>
        <v>#VALUE!</v>
      </c>
      <c r="Q1092" s="23" t="e">
        <f>_xlfn.XLOOKUP(Tabla1[[#This Row],[Ean Normalizado]],Consumos!A:A,Consumos!E:E)</f>
        <v>#VALUE!</v>
      </c>
      <c r="R1092" s="22" t="e">
        <f>_xlfn.XLOOKUP(Tabla1[[#This Row],[Ean Normalizado]],tabla_consumos[EAN],tabla_consumos[UM])</f>
        <v>#VALUE!</v>
      </c>
      <c r="S1092" s="22" t="e">
        <f>Tabla1[[#This Row],[StockDisp]]*Tabla1[[#This Row],[UM producto]]</f>
        <v>#VALUE!</v>
      </c>
    </row>
    <row r="1093" spans="1:19" x14ac:dyDescent="0.35">
      <c r="A1093" s="5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6"/>
      <c r="P1093" s="23" t="e">
        <f>TRIM(Tabla1[[#This Row],[Articulo]])</f>
        <v>#VALUE!</v>
      </c>
      <c r="Q1093" s="23" t="e">
        <f>_xlfn.XLOOKUP(Tabla1[[#This Row],[Ean Normalizado]],Consumos!A:A,Consumos!E:E)</f>
        <v>#VALUE!</v>
      </c>
      <c r="R1093" s="22" t="e">
        <f>_xlfn.XLOOKUP(Tabla1[[#This Row],[Ean Normalizado]],tabla_consumos[EAN],tabla_consumos[UM])</f>
        <v>#VALUE!</v>
      </c>
      <c r="S1093" s="22" t="e">
        <f>Tabla1[[#This Row],[StockDisp]]*Tabla1[[#This Row],[UM producto]]</f>
        <v>#VALUE!</v>
      </c>
    </row>
    <row r="1094" spans="1:19" x14ac:dyDescent="0.35">
      <c r="A1094" s="5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6"/>
      <c r="P1094" s="23" t="e">
        <f>TRIM(Tabla1[[#This Row],[Articulo]])</f>
        <v>#VALUE!</v>
      </c>
      <c r="Q1094" s="23" t="e">
        <f>_xlfn.XLOOKUP(Tabla1[[#This Row],[Ean Normalizado]],Consumos!A:A,Consumos!E:E)</f>
        <v>#VALUE!</v>
      </c>
      <c r="R1094" s="22" t="e">
        <f>_xlfn.XLOOKUP(Tabla1[[#This Row],[Ean Normalizado]],tabla_consumos[EAN],tabla_consumos[UM])</f>
        <v>#VALUE!</v>
      </c>
      <c r="S1094" s="22" t="e">
        <f>Tabla1[[#This Row],[StockDisp]]*Tabla1[[#This Row],[UM producto]]</f>
        <v>#VALUE!</v>
      </c>
    </row>
    <row r="1095" spans="1:19" x14ac:dyDescent="0.35">
      <c r="A1095" s="5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6"/>
      <c r="P1095" s="23" t="e">
        <f>TRIM(Tabla1[[#This Row],[Articulo]])</f>
        <v>#VALUE!</v>
      </c>
      <c r="Q1095" s="23" t="e">
        <f>_xlfn.XLOOKUP(Tabla1[[#This Row],[Ean Normalizado]],Consumos!A:A,Consumos!E:E)</f>
        <v>#VALUE!</v>
      </c>
      <c r="R1095" s="22" t="e">
        <f>_xlfn.XLOOKUP(Tabla1[[#This Row],[Ean Normalizado]],tabla_consumos[EAN],tabla_consumos[UM])</f>
        <v>#VALUE!</v>
      </c>
      <c r="S1095" s="22" t="e">
        <f>Tabla1[[#This Row],[StockDisp]]*Tabla1[[#This Row],[UM producto]]</f>
        <v>#VALUE!</v>
      </c>
    </row>
    <row r="1096" spans="1:19" x14ac:dyDescent="0.35">
      <c r="A1096" s="5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6"/>
      <c r="P1096" s="23" t="e">
        <f>TRIM(Tabla1[[#This Row],[Articulo]])</f>
        <v>#VALUE!</v>
      </c>
      <c r="Q1096" s="23" t="e">
        <f>_xlfn.XLOOKUP(Tabla1[[#This Row],[Ean Normalizado]],Consumos!A:A,Consumos!E:E)</f>
        <v>#VALUE!</v>
      </c>
      <c r="R1096" s="22" t="e">
        <f>_xlfn.XLOOKUP(Tabla1[[#This Row],[Ean Normalizado]],tabla_consumos[EAN],tabla_consumos[UM])</f>
        <v>#VALUE!</v>
      </c>
      <c r="S1096" s="22" t="e">
        <f>Tabla1[[#This Row],[StockDisp]]*Tabla1[[#This Row],[UM producto]]</f>
        <v>#VALUE!</v>
      </c>
    </row>
    <row r="1097" spans="1:19" x14ac:dyDescent="0.35">
      <c r="A1097" s="5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6"/>
      <c r="P1097" s="23" t="e">
        <f>TRIM(Tabla1[[#This Row],[Articulo]])</f>
        <v>#VALUE!</v>
      </c>
      <c r="Q1097" s="23" t="e">
        <f>_xlfn.XLOOKUP(Tabla1[[#This Row],[Ean Normalizado]],Consumos!A:A,Consumos!E:E)</f>
        <v>#VALUE!</v>
      </c>
      <c r="R1097" s="22" t="e">
        <f>_xlfn.XLOOKUP(Tabla1[[#This Row],[Ean Normalizado]],tabla_consumos[EAN],tabla_consumos[UM])</f>
        <v>#VALUE!</v>
      </c>
      <c r="S1097" s="22" t="e">
        <f>Tabla1[[#This Row],[StockDisp]]*Tabla1[[#This Row],[UM producto]]</f>
        <v>#VALUE!</v>
      </c>
    </row>
    <row r="1098" spans="1:19" x14ac:dyDescent="0.35">
      <c r="A1098" s="5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6"/>
      <c r="P1098" s="23" t="e">
        <f>TRIM(Tabla1[[#This Row],[Articulo]])</f>
        <v>#VALUE!</v>
      </c>
      <c r="Q1098" s="23" t="e">
        <f>_xlfn.XLOOKUP(Tabla1[[#This Row],[Ean Normalizado]],Consumos!A:A,Consumos!E:E)</f>
        <v>#VALUE!</v>
      </c>
      <c r="R1098" s="22" t="e">
        <f>_xlfn.XLOOKUP(Tabla1[[#This Row],[Ean Normalizado]],tabla_consumos[EAN],tabla_consumos[UM])</f>
        <v>#VALUE!</v>
      </c>
      <c r="S1098" s="22" t="e">
        <f>Tabla1[[#This Row],[StockDisp]]*Tabla1[[#This Row],[UM producto]]</f>
        <v>#VALUE!</v>
      </c>
    </row>
    <row r="1099" spans="1:19" x14ac:dyDescent="0.35">
      <c r="A1099" s="5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6"/>
      <c r="P1099" s="23" t="e">
        <f>TRIM(Tabla1[[#This Row],[Articulo]])</f>
        <v>#VALUE!</v>
      </c>
      <c r="Q1099" s="23" t="e">
        <f>_xlfn.XLOOKUP(Tabla1[[#This Row],[Ean Normalizado]],Consumos!A:A,Consumos!E:E)</f>
        <v>#VALUE!</v>
      </c>
      <c r="R1099" s="22" t="e">
        <f>_xlfn.XLOOKUP(Tabla1[[#This Row],[Ean Normalizado]],tabla_consumos[EAN],tabla_consumos[UM])</f>
        <v>#VALUE!</v>
      </c>
      <c r="S1099" s="22" t="e">
        <f>Tabla1[[#This Row],[StockDisp]]*Tabla1[[#This Row],[UM producto]]</f>
        <v>#VALUE!</v>
      </c>
    </row>
    <row r="1100" spans="1:19" x14ac:dyDescent="0.35">
      <c r="A1100" s="5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6"/>
      <c r="P1100" s="23" t="e">
        <f>TRIM(Tabla1[[#This Row],[Articulo]])</f>
        <v>#VALUE!</v>
      </c>
      <c r="Q1100" s="23" t="e">
        <f>_xlfn.XLOOKUP(Tabla1[[#This Row],[Ean Normalizado]],Consumos!A:A,Consumos!E:E)</f>
        <v>#VALUE!</v>
      </c>
      <c r="R1100" s="22" t="e">
        <f>_xlfn.XLOOKUP(Tabla1[[#This Row],[Ean Normalizado]],tabla_consumos[EAN],tabla_consumos[UM])</f>
        <v>#VALUE!</v>
      </c>
      <c r="S1100" s="22" t="e">
        <f>Tabla1[[#This Row],[StockDisp]]*Tabla1[[#This Row],[UM producto]]</f>
        <v>#VALUE!</v>
      </c>
    </row>
    <row r="1101" spans="1:19" x14ac:dyDescent="0.35">
      <c r="A1101" s="5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6"/>
      <c r="P1101" s="23" t="e">
        <f>TRIM(Tabla1[[#This Row],[Articulo]])</f>
        <v>#VALUE!</v>
      </c>
      <c r="Q1101" s="23" t="e">
        <f>_xlfn.XLOOKUP(Tabla1[[#This Row],[Ean Normalizado]],Consumos!A:A,Consumos!E:E)</f>
        <v>#VALUE!</v>
      </c>
      <c r="R1101" s="22" t="e">
        <f>_xlfn.XLOOKUP(Tabla1[[#This Row],[Ean Normalizado]],tabla_consumos[EAN],tabla_consumos[UM])</f>
        <v>#VALUE!</v>
      </c>
      <c r="S1101" s="22" t="e">
        <f>Tabla1[[#This Row],[StockDisp]]*Tabla1[[#This Row],[UM producto]]</f>
        <v>#VALUE!</v>
      </c>
    </row>
    <row r="1102" spans="1:19" x14ac:dyDescent="0.35">
      <c r="A1102" s="5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6"/>
      <c r="P1102" s="23" t="e">
        <f>TRIM(Tabla1[[#This Row],[Articulo]])</f>
        <v>#VALUE!</v>
      </c>
      <c r="Q1102" s="23" t="e">
        <f>_xlfn.XLOOKUP(Tabla1[[#This Row],[Ean Normalizado]],Consumos!A:A,Consumos!E:E)</f>
        <v>#VALUE!</v>
      </c>
      <c r="R1102" s="22" t="e">
        <f>_xlfn.XLOOKUP(Tabla1[[#This Row],[Ean Normalizado]],tabla_consumos[EAN],tabla_consumos[UM])</f>
        <v>#VALUE!</v>
      </c>
      <c r="S1102" s="22" t="e">
        <f>Tabla1[[#This Row],[StockDisp]]*Tabla1[[#This Row],[UM producto]]</f>
        <v>#VALUE!</v>
      </c>
    </row>
    <row r="1103" spans="1:19" x14ac:dyDescent="0.35">
      <c r="A1103" s="5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6"/>
      <c r="P1103" s="23" t="e">
        <f>TRIM(Tabla1[[#This Row],[Articulo]])</f>
        <v>#VALUE!</v>
      </c>
      <c r="Q1103" s="23" t="e">
        <f>_xlfn.XLOOKUP(Tabla1[[#This Row],[Ean Normalizado]],Consumos!A:A,Consumos!E:E)</f>
        <v>#VALUE!</v>
      </c>
      <c r="R1103" s="22" t="e">
        <f>_xlfn.XLOOKUP(Tabla1[[#This Row],[Ean Normalizado]],tabla_consumos[EAN],tabla_consumos[UM])</f>
        <v>#VALUE!</v>
      </c>
      <c r="S1103" s="22" t="e">
        <f>Tabla1[[#This Row],[StockDisp]]*Tabla1[[#This Row],[UM producto]]</f>
        <v>#VALUE!</v>
      </c>
    </row>
    <row r="1104" spans="1:19" x14ac:dyDescent="0.35">
      <c r="A1104" s="5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6"/>
      <c r="P1104" s="23" t="e">
        <f>TRIM(Tabla1[[#This Row],[Articulo]])</f>
        <v>#VALUE!</v>
      </c>
      <c r="Q1104" s="23" t="e">
        <f>_xlfn.XLOOKUP(Tabla1[[#This Row],[Ean Normalizado]],Consumos!A:A,Consumos!E:E)</f>
        <v>#VALUE!</v>
      </c>
      <c r="R1104" s="22" t="e">
        <f>_xlfn.XLOOKUP(Tabla1[[#This Row],[Ean Normalizado]],tabla_consumos[EAN],tabla_consumos[UM])</f>
        <v>#VALUE!</v>
      </c>
      <c r="S1104" s="22" t="e">
        <f>Tabla1[[#This Row],[StockDisp]]*Tabla1[[#This Row],[UM producto]]</f>
        <v>#VALUE!</v>
      </c>
    </row>
    <row r="1105" spans="1:19" x14ac:dyDescent="0.35">
      <c r="A1105" s="5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6"/>
      <c r="P1105" s="23" t="e">
        <f>TRIM(Tabla1[[#This Row],[Articulo]])</f>
        <v>#VALUE!</v>
      </c>
      <c r="Q1105" s="23" t="e">
        <f>_xlfn.XLOOKUP(Tabla1[[#This Row],[Ean Normalizado]],Consumos!A:A,Consumos!E:E)</f>
        <v>#VALUE!</v>
      </c>
      <c r="R1105" s="22" t="e">
        <f>_xlfn.XLOOKUP(Tabla1[[#This Row],[Ean Normalizado]],tabla_consumos[EAN],tabla_consumos[UM])</f>
        <v>#VALUE!</v>
      </c>
      <c r="S1105" s="22" t="e">
        <f>Tabla1[[#This Row],[StockDisp]]*Tabla1[[#This Row],[UM producto]]</f>
        <v>#VALUE!</v>
      </c>
    </row>
    <row r="1106" spans="1:19" x14ac:dyDescent="0.35">
      <c r="A1106" s="5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6"/>
      <c r="P1106" s="23" t="e">
        <f>TRIM(Tabla1[[#This Row],[Articulo]])</f>
        <v>#VALUE!</v>
      </c>
      <c r="Q1106" s="23" t="e">
        <f>_xlfn.XLOOKUP(Tabla1[[#This Row],[Ean Normalizado]],Consumos!A:A,Consumos!E:E)</f>
        <v>#VALUE!</v>
      </c>
      <c r="R1106" s="22" t="e">
        <f>_xlfn.XLOOKUP(Tabla1[[#This Row],[Ean Normalizado]],tabla_consumos[EAN],tabla_consumos[UM])</f>
        <v>#VALUE!</v>
      </c>
      <c r="S1106" s="22" t="e">
        <f>Tabla1[[#This Row],[StockDisp]]*Tabla1[[#This Row],[UM producto]]</f>
        <v>#VALUE!</v>
      </c>
    </row>
    <row r="1107" spans="1:19" x14ac:dyDescent="0.35">
      <c r="A1107" s="5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6"/>
      <c r="P1107" s="23" t="e">
        <f>TRIM(Tabla1[[#This Row],[Articulo]])</f>
        <v>#VALUE!</v>
      </c>
      <c r="Q1107" s="23" t="e">
        <f>_xlfn.XLOOKUP(Tabla1[[#This Row],[Ean Normalizado]],Consumos!A:A,Consumos!E:E)</f>
        <v>#VALUE!</v>
      </c>
      <c r="R1107" s="22" t="e">
        <f>_xlfn.XLOOKUP(Tabla1[[#This Row],[Ean Normalizado]],tabla_consumos[EAN],tabla_consumos[UM])</f>
        <v>#VALUE!</v>
      </c>
      <c r="S1107" s="22" t="e">
        <f>Tabla1[[#This Row],[StockDisp]]*Tabla1[[#This Row],[UM producto]]</f>
        <v>#VALUE!</v>
      </c>
    </row>
    <row r="1108" spans="1:19" x14ac:dyDescent="0.35">
      <c r="A1108" s="5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6"/>
      <c r="P1108" s="23" t="e">
        <f>TRIM(Tabla1[[#This Row],[Articulo]])</f>
        <v>#VALUE!</v>
      </c>
      <c r="Q1108" s="23" t="e">
        <f>_xlfn.XLOOKUP(Tabla1[[#This Row],[Ean Normalizado]],Consumos!A:A,Consumos!E:E)</f>
        <v>#VALUE!</v>
      </c>
      <c r="R1108" s="22" t="e">
        <f>_xlfn.XLOOKUP(Tabla1[[#This Row],[Ean Normalizado]],tabla_consumos[EAN],tabla_consumos[UM])</f>
        <v>#VALUE!</v>
      </c>
      <c r="S1108" s="22" t="e">
        <f>Tabla1[[#This Row],[StockDisp]]*Tabla1[[#This Row],[UM producto]]</f>
        <v>#VALUE!</v>
      </c>
    </row>
    <row r="1109" spans="1:19" x14ac:dyDescent="0.35">
      <c r="A1109" s="5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6"/>
      <c r="P1109" s="23" t="e">
        <f>TRIM(Tabla1[[#This Row],[Articulo]])</f>
        <v>#VALUE!</v>
      </c>
      <c r="Q1109" s="23" t="e">
        <f>_xlfn.XLOOKUP(Tabla1[[#This Row],[Ean Normalizado]],Consumos!A:A,Consumos!E:E)</f>
        <v>#VALUE!</v>
      </c>
      <c r="R1109" s="22" t="e">
        <f>_xlfn.XLOOKUP(Tabla1[[#This Row],[Ean Normalizado]],tabla_consumos[EAN],tabla_consumos[UM])</f>
        <v>#VALUE!</v>
      </c>
      <c r="S1109" s="22" t="e">
        <f>Tabla1[[#This Row],[StockDisp]]*Tabla1[[#This Row],[UM producto]]</f>
        <v>#VALUE!</v>
      </c>
    </row>
    <row r="1110" spans="1:19" x14ac:dyDescent="0.35">
      <c r="A1110" s="5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6"/>
      <c r="P1110" s="23" t="e">
        <f>TRIM(Tabla1[[#This Row],[Articulo]])</f>
        <v>#VALUE!</v>
      </c>
      <c r="Q1110" s="23" t="e">
        <f>_xlfn.XLOOKUP(Tabla1[[#This Row],[Ean Normalizado]],Consumos!A:A,Consumos!E:E)</f>
        <v>#VALUE!</v>
      </c>
      <c r="R1110" s="22" t="e">
        <f>_xlfn.XLOOKUP(Tabla1[[#This Row],[Ean Normalizado]],tabla_consumos[EAN],tabla_consumos[UM])</f>
        <v>#VALUE!</v>
      </c>
      <c r="S1110" s="22" t="e">
        <f>Tabla1[[#This Row],[StockDisp]]*Tabla1[[#This Row],[UM producto]]</f>
        <v>#VALUE!</v>
      </c>
    </row>
    <row r="1111" spans="1:19" x14ac:dyDescent="0.35">
      <c r="A1111" s="5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6"/>
      <c r="P1111" s="23" t="e">
        <f>TRIM(Tabla1[[#This Row],[Articulo]])</f>
        <v>#VALUE!</v>
      </c>
      <c r="Q1111" s="23" t="e">
        <f>_xlfn.XLOOKUP(Tabla1[[#This Row],[Ean Normalizado]],Consumos!A:A,Consumos!E:E)</f>
        <v>#VALUE!</v>
      </c>
      <c r="R1111" s="22" t="e">
        <f>_xlfn.XLOOKUP(Tabla1[[#This Row],[Ean Normalizado]],tabla_consumos[EAN],tabla_consumos[UM])</f>
        <v>#VALUE!</v>
      </c>
      <c r="S1111" s="22" t="e">
        <f>Tabla1[[#This Row],[StockDisp]]*Tabla1[[#This Row],[UM producto]]</f>
        <v>#VALUE!</v>
      </c>
    </row>
    <row r="1112" spans="1:19" x14ac:dyDescent="0.35">
      <c r="A1112" s="5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6"/>
      <c r="P1112" s="23" t="e">
        <f>TRIM(Tabla1[[#This Row],[Articulo]])</f>
        <v>#VALUE!</v>
      </c>
      <c r="Q1112" s="23" t="e">
        <f>_xlfn.XLOOKUP(Tabla1[[#This Row],[Ean Normalizado]],Consumos!A:A,Consumos!E:E)</f>
        <v>#VALUE!</v>
      </c>
      <c r="R1112" s="22" t="e">
        <f>_xlfn.XLOOKUP(Tabla1[[#This Row],[Ean Normalizado]],tabla_consumos[EAN],tabla_consumos[UM])</f>
        <v>#VALUE!</v>
      </c>
      <c r="S1112" s="22" t="e">
        <f>Tabla1[[#This Row],[StockDisp]]*Tabla1[[#This Row],[UM producto]]</f>
        <v>#VALUE!</v>
      </c>
    </row>
    <row r="1113" spans="1:19" x14ac:dyDescent="0.35">
      <c r="A1113" s="5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6"/>
      <c r="P1113" s="23" t="e">
        <f>TRIM(Tabla1[[#This Row],[Articulo]])</f>
        <v>#VALUE!</v>
      </c>
      <c r="Q1113" s="23" t="e">
        <f>_xlfn.XLOOKUP(Tabla1[[#This Row],[Ean Normalizado]],Consumos!A:A,Consumos!E:E)</f>
        <v>#VALUE!</v>
      </c>
      <c r="R1113" s="22" t="e">
        <f>_xlfn.XLOOKUP(Tabla1[[#This Row],[Ean Normalizado]],tabla_consumos[EAN],tabla_consumos[UM])</f>
        <v>#VALUE!</v>
      </c>
      <c r="S1113" s="22" t="e">
        <f>Tabla1[[#This Row],[StockDisp]]*Tabla1[[#This Row],[UM producto]]</f>
        <v>#VALUE!</v>
      </c>
    </row>
    <row r="1114" spans="1:19" x14ac:dyDescent="0.35">
      <c r="A1114" s="5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6"/>
      <c r="P1114" s="23" t="e">
        <f>TRIM(Tabla1[[#This Row],[Articulo]])</f>
        <v>#VALUE!</v>
      </c>
      <c r="Q1114" s="23" t="e">
        <f>_xlfn.XLOOKUP(Tabla1[[#This Row],[Ean Normalizado]],Consumos!A:A,Consumos!E:E)</f>
        <v>#VALUE!</v>
      </c>
      <c r="R1114" s="22" t="e">
        <f>_xlfn.XLOOKUP(Tabla1[[#This Row],[Ean Normalizado]],tabla_consumos[EAN],tabla_consumos[UM])</f>
        <v>#VALUE!</v>
      </c>
      <c r="S1114" s="22" t="e">
        <f>Tabla1[[#This Row],[StockDisp]]*Tabla1[[#This Row],[UM producto]]</f>
        <v>#VALUE!</v>
      </c>
    </row>
    <row r="1115" spans="1:19" x14ac:dyDescent="0.35">
      <c r="A1115" s="5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6"/>
      <c r="P1115" s="23" t="e">
        <f>TRIM(Tabla1[[#This Row],[Articulo]])</f>
        <v>#VALUE!</v>
      </c>
      <c r="Q1115" s="23" t="e">
        <f>_xlfn.XLOOKUP(Tabla1[[#This Row],[Ean Normalizado]],Consumos!A:A,Consumos!E:E)</f>
        <v>#VALUE!</v>
      </c>
      <c r="R1115" s="22" t="e">
        <f>_xlfn.XLOOKUP(Tabla1[[#This Row],[Ean Normalizado]],tabla_consumos[EAN],tabla_consumos[UM])</f>
        <v>#VALUE!</v>
      </c>
      <c r="S1115" s="22" t="e">
        <f>Tabla1[[#This Row],[StockDisp]]*Tabla1[[#This Row],[UM producto]]</f>
        <v>#VALUE!</v>
      </c>
    </row>
    <row r="1116" spans="1:19" x14ac:dyDescent="0.35">
      <c r="A1116" s="5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6"/>
      <c r="P1116" s="23" t="e">
        <f>TRIM(Tabla1[[#This Row],[Articulo]])</f>
        <v>#VALUE!</v>
      </c>
      <c r="Q1116" s="23" t="e">
        <f>_xlfn.XLOOKUP(Tabla1[[#This Row],[Ean Normalizado]],Consumos!A:A,Consumos!E:E)</f>
        <v>#VALUE!</v>
      </c>
      <c r="R1116" s="22" t="e">
        <f>_xlfn.XLOOKUP(Tabla1[[#This Row],[Ean Normalizado]],tabla_consumos[EAN],tabla_consumos[UM])</f>
        <v>#VALUE!</v>
      </c>
      <c r="S1116" s="22" t="e">
        <f>Tabla1[[#This Row],[StockDisp]]*Tabla1[[#This Row],[UM producto]]</f>
        <v>#VALUE!</v>
      </c>
    </row>
    <row r="1117" spans="1:19" x14ac:dyDescent="0.35">
      <c r="A1117" s="5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6"/>
      <c r="P1117" s="23" t="e">
        <f>TRIM(Tabla1[[#This Row],[Articulo]])</f>
        <v>#VALUE!</v>
      </c>
      <c r="Q1117" s="23" t="e">
        <f>_xlfn.XLOOKUP(Tabla1[[#This Row],[Ean Normalizado]],Consumos!A:A,Consumos!E:E)</f>
        <v>#VALUE!</v>
      </c>
      <c r="R1117" s="22" t="e">
        <f>_xlfn.XLOOKUP(Tabla1[[#This Row],[Ean Normalizado]],tabla_consumos[EAN],tabla_consumos[UM])</f>
        <v>#VALUE!</v>
      </c>
      <c r="S1117" s="22" t="e">
        <f>Tabla1[[#This Row],[StockDisp]]*Tabla1[[#This Row],[UM producto]]</f>
        <v>#VALUE!</v>
      </c>
    </row>
    <row r="1118" spans="1:19" x14ac:dyDescent="0.35">
      <c r="A1118" s="5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6"/>
      <c r="P1118" s="23" t="e">
        <f>TRIM(Tabla1[[#This Row],[Articulo]])</f>
        <v>#VALUE!</v>
      </c>
      <c r="Q1118" s="23" t="e">
        <f>_xlfn.XLOOKUP(Tabla1[[#This Row],[Ean Normalizado]],Consumos!A:A,Consumos!E:E)</f>
        <v>#VALUE!</v>
      </c>
      <c r="R1118" s="22" t="e">
        <f>_xlfn.XLOOKUP(Tabla1[[#This Row],[Ean Normalizado]],tabla_consumos[EAN],tabla_consumos[UM])</f>
        <v>#VALUE!</v>
      </c>
      <c r="S1118" s="22" t="e">
        <f>Tabla1[[#This Row],[StockDisp]]*Tabla1[[#This Row],[UM producto]]</f>
        <v>#VALUE!</v>
      </c>
    </row>
    <row r="1119" spans="1:19" x14ac:dyDescent="0.35">
      <c r="A1119" s="5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6"/>
      <c r="P1119" s="23" t="e">
        <f>TRIM(Tabla1[[#This Row],[Articulo]])</f>
        <v>#VALUE!</v>
      </c>
      <c r="Q1119" s="23" t="e">
        <f>_xlfn.XLOOKUP(Tabla1[[#This Row],[Ean Normalizado]],Consumos!A:A,Consumos!E:E)</f>
        <v>#VALUE!</v>
      </c>
      <c r="R1119" s="22" t="e">
        <f>_xlfn.XLOOKUP(Tabla1[[#This Row],[Ean Normalizado]],tabla_consumos[EAN],tabla_consumos[UM])</f>
        <v>#VALUE!</v>
      </c>
      <c r="S1119" s="22" t="e">
        <f>Tabla1[[#This Row],[StockDisp]]*Tabla1[[#This Row],[UM producto]]</f>
        <v>#VALUE!</v>
      </c>
    </row>
    <row r="1120" spans="1:19" x14ac:dyDescent="0.35">
      <c r="A1120" s="5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6"/>
      <c r="P1120" s="23" t="e">
        <f>TRIM(Tabla1[[#This Row],[Articulo]])</f>
        <v>#VALUE!</v>
      </c>
      <c r="Q1120" s="23" t="e">
        <f>_xlfn.XLOOKUP(Tabla1[[#This Row],[Ean Normalizado]],Consumos!A:A,Consumos!E:E)</f>
        <v>#VALUE!</v>
      </c>
      <c r="R1120" s="22" t="e">
        <f>_xlfn.XLOOKUP(Tabla1[[#This Row],[Ean Normalizado]],tabla_consumos[EAN],tabla_consumos[UM])</f>
        <v>#VALUE!</v>
      </c>
      <c r="S1120" s="22" t="e">
        <f>Tabla1[[#This Row],[StockDisp]]*Tabla1[[#This Row],[UM producto]]</f>
        <v>#VALUE!</v>
      </c>
    </row>
    <row r="1121" spans="1:19" x14ac:dyDescent="0.35">
      <c r="A1121" s="5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6"/>
      <c r="P1121" s="23" t="e">
        <f>TRIM(Tabla1[[#This Row],[Articulo]])</f>
        <v>#VALUE!</v>
      </c>
      <c r="Q1121" s="23" t="e">
        <f>_xlfn.XLOOKUP(Tabla1[[#This Row],[Ean Normalizado]],Consumos!A:A,Consumos!E:E)</f>
        <v>#VALUE!</v>
      </c>
      <c r="R1121" s="22" t="e">
        <f>_xlfn.XLOOKUP(Tabla1[[#This Row],[Ean Normalizado]],tabla_consumos[EAN],tabla_consumos[UM])</f>
        <v>#VALUE!</v>
      </c>
      <c r="S1121" s="22" t="e">
        <f>Tabla1[[#This Row],[StockDisp]]*Tabla1[[#This Row],[UM producto]]</f>
        <v>#VALUE!</v>
      </c>
    </row>
    <row r="1122" spans="1:19" x14ac:dyDescent="0.35">
      <c r="A1122" s="5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6"/>
      <c r="P1122" s="23" t="e">
        <f>TRIM(Tabla1[[#This Row],[Articulo]])</f>
        <v>#VALUE!</v>
      </c>
      <c r="Q1122" s="23" t="e">
        <f>_xlfn.XLOOKUP(Tabla1[[#This Row],[Ean Normalizado]],Consumos!A:A,Consumos!E:E)</f>
        <v>#VALUE!</v>
      </c>
      <c r="R1122" s="22" t="e">
        <f>_xlfn.XLOOKUP(Tabla1[[#This Row],[Ean Normalizado]],tabla_consumos[EAN],tabla_consumos[UM])</f>
        <v>#VALUE!</v>
      </c>
      <c r="S1122" s="22" t="e">
        <f>Tabla1[[#This Row],[StockDisp]]*Tabla1[[#This Row],[UM producto]]</f>
        <v>#VALUE!</v>
      </c>
    </row>
    <row r="1123" spans="1:19" x14ac:dyDescent="0.35">
      <c r="A1123" s="5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6"/>
      <c r="P1123" s="23" t="e">
        <f>TRIM(Tabla1[[#This Row],[Articulo]])</f>
        <v>#VALUE!</v>
      </c>
      <c r="Q1123" s="23" t="e">
        <f>_xlfn.XLOOKUP(Tabla1[[#This Row],[Ean Normalizado]],Consumos!A:A,Consumos!E:E)</f>
        <v>#VALUE!</v>
      </c>
      <c r="R1123" s="22" t="e">
        <f>_xlfn.XLOOKUP(Tabla1[[#This Row],[Ean Normalizado]],tabla_consumos[EAN],tabla_consumos[UM])</f>
        <v>#VALUE!</v>
      </c>
      <c r="S1123" s="22" t="e">
        <f>Tabla1[[#This Row],[StockDisp]]*Tabla1[[#This Row],[UM producto]]</f>
        <v>#VALUE!</v>
      </c>
    </row>
    <row r="1124" spans="1:19" x14ac:dyDescent="0.35">
      <c r="A1124" s="5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6"/>
      <c r="P1124" s="23" t="e">
        <f>TRIM(Tabla1[[#This Row],[Articulo]])</f>
        <v>#VALUE!</v>
      </c>
      <c r="Q1124" s="23" t="e">
        <f>_xlfn.XLOOKUP(Tabla1[[#This Row],[Ean Normalizado]],Consumos!A:A,Consumos!E:E)</f>
        <v>#VALUE!</v>
      </c>
      <c r="R1124" s="22" t="e">
        <f>_xlfn.XLOOKUP(Tabla1[[#This Row],[Ean Normalizado]],tabla_consumos[EAN],tabla_consumos[UM])</f>
        <v>#VALUE!</v>
      </c>
      <c r="S1124" s="22" t="e">
        <f>Tabla1[[#This Row],[StockDisp]]*Tabla1[[#This Row],[UM producto]]</f>
        <v>#VALUE!</v>
      </c>
    </row>
    <row r="1125" spans="1:19" x14ac:dyDescent="0.35">
      <c r="A1125" s="5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6"/>
      <c r="P1125" s="23" t="e">
        <f>TRIM(Tabla1[[#This Row],[Articulo]])</f>
        <v>#VALUE!</v>
      </c>
      <c r="Q1125" s="23" t="e">
        <f>_xlfn.XLOOKUP(Tabla1[[#This Row],[Ean Normalizado]],Consumos!A:A,Consumos!E:E)</f>
        <v>#VALUE!</v>
      </c>
      <c r="R1125" s="22" t="e">
        <f>_xlfn.XLOOKUP(Tabla1[[#This Row],[Ean Normalizado]],tabla_consumos[EAN],tabla_consumos[UM])</f>
        <v>#VALUE!</v>
      </c>
      <c r="S1125" s="22" t="e">
        <f>Tabla1[[#This Row],[StockDisp]]*Tabla1[[#This Row],[UM producto]]</f>
        <v>#VALUE!</v>
      </c>
    </row>
    <row r="1126" spans="1:19" x14ac:dyDescent="0.35">
      <c r="A1126" s="5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6"/>
      <c r="P1126" s="23" t="e">
        <f>TRIM(Tabla1[[#This Row],[Articulo]])</f>
        <v>#VALUE!</v>
      </c>
      <c r="Q1126" s="23" t="e">
        <f>_xlfn.XLOOKUP(Tabla1[[#This Row],[Ean Normalizado]],Consumos!A:A,Consumos!E:E)</f>
        <v>#VALUE!</v>
      </c>
      <c r="R1126" s="22" t="e">
        <f>_xlfn.XLOOKUP(Tabla1[[#This Row],[Ean Normalizado]],tabla_consumos[EAN],tabla_consumos[UM])</f>
        <v>#VALUE!</v>
      </c>
      <c r="S1126" s="22" t="e">
        <f>Tabla1[[#This Row],[StockDisp]]*Tabla1[[#This Row],[UM producto]]</f>
        <v>#VALUE!</v>
      </c>
    </row>
    <row r="1127" spans="1:19" x14ac:dyDescent="0.35">
      <c r="A1127" s="5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6"/>
      <c r="P1127" s="23" t="e">
        <f>TRIM(Tabla1[[#This Row],[Articulo]])</f>
        <v>#VALUE!</v>
      </c>
      <c r="Q1127" s="23" t="e">
        <f>_xlfn.XLOOKUP(Tabla1[[#This Row],[Ean Normalizado]],Consumos!A:A,Consumos!E:E)</f>
        <v>#VALUE!</v>
      </c>
      <c r="R1127" s="22" t="e">
        <f>_xlfn.XLOOKUP(Tabla1[[#This Row],[Ean Normalizado]],tabla_consumos[EAN],tabla_consumos[UM])</f>
        <v>#VALUE!</v>
      </c>
      <c r="S1127" s="22" t="e">
        <f>Tabla1[[#This Row],[StockDisp]]*Tabla1[[#This Row],[UM producto]]</f>
        <v>#VALUE!</v>
      </c>
    </row>
    <row r="1128" spans="1:19" x14ac:dyDescent="0.35">
      <c r="A1128" s="5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6"/>
      <c r="P1128" s="23" t="e">
        <f>TRIM(Tabla1[[#This Row],[Articulo]])</f>
        <v>#VALUE!</v>
      </c>
      <c r="Q1128" s="23" t="e">
        <f>_xlfn.XLOOKUP(Tabla1[[#This Row],[Ean Normalizado]],Consumos!A:A,Consumos!E:E)</f>
        <v>#VALUE!</v>
      </c>
      <c r="R1128" s="22" t="e">
        <f>_xlfn.XLOOKUP(Tabla1[[#This Row],[Ean Normalizado]],tabla_consumos[EAN],tabla_consumos[UM])</f>
        <v>#VALUE!</v>
      </c>
      <c r="S1128" s="22" t="e">
        <f>Tabla1[[#This Row],[StockDisp]]*Tabla1[[#This Row],[UM producto]]</f>
        <v>#VALUE!</v>
      </c>
    </row>
    <row r="1129" spans="1:19" x14ac:dyDescent="0.35">
      <c r="A1129" s="5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6"/>
      <c r="P1129" s="23" t="e">
        <f>TRIM(Tabla1[[#This Row],[Articulo]])</f>
        <v>#VALUE!</v>
      </c>
      <c r="Q1129" s="23" t="e">
        <f>_xlfn.XLOOKUP(Tabla1[[#This Row],[Ean Normalizado]],Consumos!A:A,Consumos!E:E)</f>
        <v>#VALUE!</v>
      </c>
      <c r="R1129" s="22" t="e">
        <f>_xlfn.XLOOKUP(Tabla1[[#This Row],[Ean Normalizado]],tabla_consumos[EAN],tabla_consumos[UM])</f>
        <v>#VALUE!</v>
      </c>
      <c r="S1129" s="22" t="e">
        <f>Tabla1[[#This Row],[StockDisp]]*Tabla1[[#This Row],[UM producto]]</f>
        <v>#VALUE!</v>
      </c>
    </row>
    <row r="1130" spans="1:19" x14ac:dyDescent="0.35">
      <c r="A1130" s="5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6"/>
      <c r="P1130" s="23" t="e">
        <f>TRIM(Tabla1[[#This Row],[Articulo]])</f>
        <v>#VALUE!</v>
      </c>
      <c r="Q1130" s="23" t="e">
        <f>_xlfn.XLOOKUP(Tabla1[[#This Row],[Ean Normalizado]],Consumos!A:A,Consumos!E:E)</f>
        <v>#VALUE!</v>
      </c>
      <c r="R1130" s="22" t="e">
        <f>_xlfn.XLOOKUP(Tabla1[[#This Row],[Ean Normalizado]],tabla_consumos[EAN],tabla_consumos[UM])</f>
        <v>#VALUE!</v>
      </c>
      <c r="S1130" s="22" t="e">
        <f>Tabla1[[#This Row],[StockDisp]]*Tabla1[[#This Row],[UM producto]]</f>
        <v>#VALUE!</v>
      </c>
    </row>
    <row r="1131" spans="1:19" x14ac:dyDescent="0.35">
      <c r="A1131" s="5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6"/>
      <c r="P1131" s="23" t="e">
        <f>TRIM(Tabla1[[#This Row],[Articulo]])</f>
        <v>#VALUE!</v>
      </c>
      <c r="Q1131" s="23" t="e">
        <f>_xlfn.XLOOKUP(Tabla1[[#This Row],[Ean Normalizado]],Consumos!A:A,Consumos!E:E)</f>
        <v>#VALUE!</v>
      </c>
      <c r="R1131" s="22" t="e">
        <f>_xlfn.XLOOKUP(Tabla1[[#This Row],[Ean Normalizado]],tabla_consumos[EAN],tabla_consumos[UM])</f>
        <v>#VALUE!</v>
      </c>
      <c r="S1131" s="22" t="e">
        <f>Tabla1[[#This Row],[StockDisp]]*Tabla1[[#This Row],[UM producto]]</f>
        <v>#VALUE!</v>
      </c>
    </row>
    <row r="1132" spans="1:19" x14ac:dyDescent="0.35">
      <c r="A1132" s="5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6"/>
      <c r="P1132" s="23" t="e">
        <f>TRIM(Tabla1[[#This Row],[Articulo]])</f>
        <v>#VALUE!</v>
      </c>
      <c r="Q1132" s="23" t="e">
        <f>_xlfn.XLOOKUP(Tabla1[[#This Row],[Ean Normalizado]],Consumos!A:A,Consumos!E:E)</f>
        <v>#VALUE!</v>
      </c>
      <c r="R1132" s="22" t="e">
        <f>_xlfn.XLOOKUP(Tabla1[[#This Row],[Ean Normalizado]],tabla_consumos[EAN],tabla_consumos[UM])</f>
        <v>#VALUE!</v>
      </c>
      <c r="S1132" s="22" t="e">
        <f>Tabla1[[#This Row],[StockDisp]]*Tabla1[[#This Row],[UM producto]]</f>
        <v>#VALUE!</v>
      </c>
    </row>
    <row r="1133" spans="1:19" x14ac:dyDescent="0.35">
      <c r="A1133" s="5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6"/>
      <c r="P1133" s="23" t="e">
        <f>TRIM(Tabla1[[#This Row],[Articulo]])</f>
        <v>#VALUE!</v>
      </c>
      <c r="Q1133" s="23" t="e">
        <f>_xlfn.XLOOKUP(Tabla1[[#This Row],[Ean Normalizado]],Consumos!A:A,Consumos!E:E)</f>
        <v>#VALUE!</v>
      </c>
      <c r="R1133" s="22" t="e">
        <f>_xlfn.XLOOKUP(Tabla1[[#This Row],[Ean Normalizado]],tabla_consumos[EAN],tabla_consumos[UM])</f>
        <v>#VALUE!</v>
      </c>
      <c r="S1133" s="22" t="e">
        <f>Tabla1[[#This Row],[StockDisp]]*Tabla1[[#This Row],[UM producto]]</f>
        <v>#VALUE!</v>
      </c>
    </row>
    <row r="1134" spans="1:19" x14ac:dyDescent="0.35">
      <c r="A1134" s="5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6"/>
      <c r="P1134" s="23" t="e">
        <f>TRIM(Tabla1[[#This Row],[Articulo]])</f>
        <v>#VALUE!</v>
      </c>
      <c r="Q1134" s="23" t="e">
        <f>_xlfn.XLOOKUP(Tabla1[[#This Row],[Ean Normalizado]],Consumos!A:A,Consumos!E:E)</f>
        <v>#VALUE!</v>
      </c>
      <c r="R1134" s="22" t="e">
        <f>_xlfn.XLOOKUP(Tabla1[[#This Row],[Ean Normalizado]],tabla_consumos[EAN],tabla_consumos[UM])</f>
        <v>#VALUE!</v>
      </c>
      <c r="S1134" s="22" t="e">
        <f>Tabla1[[#This Row],[StockDisp]]*Tabla1[[#This Row],[UM producto]]</f>
        <v>#VALUE!</v>
      </c>
    </row>
    <row r="1135" spans="1:19" x14ac:dyDescent="0.35">
      <c r="A1135" s="5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6"/>
      <c r="P1135" s="23" t="e">
        <f>TRIM(Tabla1[[#This Row],[Articulo]])</f>
        <v>#VALUE!</v>
      </c>
      <c r="Q1135" s="23" t="e">
        <f>_xlfn.XLOOKUP(Tabla1[[#This Row],[Ean Normalizado]],Consumos!A:A,Consumos!E:E)</f>
        <v>#VALUE!</v>
      </c>
      <c r="R1135" s="22" t="e">
        <f>_xlfn.XLOOKUP(Tabla1[[#This Row],[Ean Normalizado]],tabla_consumos[EAN],tabla_consumos[UM])</f>
        <v>#VALUE!</v>
      </c>
      <c r="S1135" s="22" t="e">
        <f>Tabla1[[#This Row],[StockDisp]]*Tabla1[[#This Row],[UM producto]]</f>
        <v>#VALUE!</v>
      </c>
    </row>
    <row r="1136" spans="1:19" x14ac:dyDescent="0.35">
      <c r="A1136" s="5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6"/>
      <c r="P1136" s="23" t="e">
        <f>TRIM(Tabla1[[#This Row],[Articulo]])</f>
        <v>#VALUE!</v>
      </c>
      <c r="Q1136" s="23" t="e">
        <f>_xlfn.XLOOKUP(Tabla1[[#This Row],[Ean Normalizado]],Consumos!A:A,Consumos!E:E)</f>
        <v>#VALUE!</v>
      </c>
      <c r="R1136" s="22" t="e">
        <f>_xlfn.XLOOKUP(Tabla1[[#This Row],[Ean Normalizado]],tabla_consumos[EAN],tabla_consumos[UM])</f>
        <v>#VALUE!</v>
      </c>
      <c r="S1136" s="22" t="e">
        <f>Tabla1[[#This Row],[StockDisp]]*Tabla1[[#This Row],[UM producto]]</f>
        <v>#VALUE!</v>
      </c>
    </row>
    <row r="1137" spans="1:19" x14ac:dyDescent="0.35">
      <c r="A1137" s="5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6"/>
      <c r="P1137" s="23" t="e">
        <f>TRIM(Tabla1[[#This Row],[Articulo]])</f>
        <v>#VALUE!</v>
      </c>
      <c r="Q1137" s="23" t="e">
        <f>_xlfn.XLOOKUP(Tabla1[[#This Row],[Ean Normalizado]],Consumos!A:A,Consumos!E:E)</f>
        <v>#VALUE!</v>
      </c>
      <c r="R1137" s="22" t="e">
        <f>_xlfn.XLOOKUP(Tabla1[[#This Row],[Ean Normalizado]],tabla_consumos[EAN],tabla_consumos[UM])</f>
        <v>#VALUE!</v>
      </c>
      <c r="S1137" s="22" t="e">
        <f>Tabla1[[#This Row],[StockDisp]]*Tabla1[[#This Row],[UM producto]]</f>
        <v>#VALUE!</v>
      </c>
    </row>
    <row r="1138" spans="1:19" x14ac:dyDescent="0.35">
      <c r="A1138" s="5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6"/>
      <c r="P1138" s="23" t="e">
        <f>TRIM(Tabla1[[#This Row],[Articulo]])</f>
        <v>#VALUE!</v>
      </c>
      <c r="Q1138" s="23" t="e">
        <f>_xlfn.XLOOKUP(Tabla1[[#This Row],[Ean Normalizado]],Consumos!A:A,Consumos!E:E)</f>
        <v>#VALUE!</v>
      </c>
      <c r="R1138" s="22" t="e">
        <f>_xlfn.XLOOKUP(Tabla1[[#This Row],[Ean Normalizado]],tabla_consumos[EAN],tabla_consumos[UM])</f>
        <v>#VALUE!</v>
      </c>
      <c r="S1138" s="22" t="e">
        <f>Tabla1[[#This Row],[StockDisp]]*Tabla1[[#This Row],[UM producto]]</f>
        <v>#VALUE!</v>
      </c>
    </row>
    <row r="1139" spans="1:19" x14ac:dyDescent="0.35">
      <c r="A1139" s="5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6"/>
      <c r="P1139" s="23" t="e">
        <f>TRIM(Tabla1[[#This Row],[Articulo]])</f>
        <v>#VALUE!</v>
      </c>
      <c r="Q1139" s="23" t="e">
        <f>_xlfn.XLOOKUP(Tabla1[[#This Row],[Ean Normalizado]],Consumos!A:A,Consumos!E:E)</f>
        <v>#VALUE!</v>
      </c>
      <c r="R1139" s="22" t="e">
        <f>_xlfn.XLOOKUP(Tabla1[[#This Row],[Ean Normalizado]],tabla_consumos[EAN],tabla_consumos[UM])</f>
        <v>#VALUE!</v>
      </c>
      <c r="S1139" s="22" t="e">
        <f>Tabla1[[#This Row],[StockDisp]]*Tabla1[[#This Row],[UM producto]]</f>
        <v>#VALUE!</v>
      </c>
    </row>
    <row r="1140" spans="1:19" x14ac:dyDescent="0.35">
      <c r="A1140" s="5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6"/>
      <c r="P1140" s="23" t="e">
        <f>TRIM(Tabla1[[#This Row],[Articulo]])</f>
        <v>#VALUE!</v>
      </c>
      <c r="Q1140" s="23" t="e">
        <f>_xlfn.XLOOKUP(Tabla1[[#This Row],[Ean Normalizado]],Consumos!A:A,Consumos!E:E)</f>
        <v>#VALUE!</v>
      </c>
      <c r="R1140" s="22" t="e">
        <f>_xlfn.XLOOKUP(Tabla1[[#This Row],[Ean Normalizado]],tabla_consumos[EAN],tabla_consumos[UM])</f>
        <v>#VALUE!</v>
      </c>
      <c r="S1140" s="22" t="e">
        <f>Tabla1[[#This Row],[StockDisp]]*Tabla1[[#This Row],[UM producto]]</f>
        <v>#VALUE!</v>
      </c>
    </row>
    <row r="1141" spans="1:19" x14ac:dyDescent="0.35">
      <c r="A1141" s="5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6"/>
      <c r="P1141" s="23" t="e">
        <f>TRIM(Tabla1[[#This Row],[Articulo]])</f>
        <v>#VALUE!</v>
      </c>
      <c r="Q1141" s="23" t="e">
        <f>_xlfn.XLOOKUP(Tabla1[[#This Row],[Ean Normalizado]],Consumos!A:A,Consumos!E:E)</f>
        <v>#VALUE!</v>
      </c>
      <c r="R1141" s="22" t="e">
        <f>_xlfn.XLOOKUP(Tabla1[[#This Row],[Ean Normalizado]],tabla_consumos[EAN],tabla_consumos[UM])</f>
        <v>#VALUE!</v>
      </c>
      <c r="S1141" s="22" t="e">
        <f>Tabla1[[#This Row],[StockDisp]]*Tabla1[[#This Row],[UM producto]]</f>
        <v>#VALUE!</v>
      </c>
    </row>
    <row r="1142" spans="1:19" x14ac:dyDescent="0.35">
      <c r="A1142" s="5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6"/>
      <c r="P1142" s="23" t="e">
        <f>TRIM(Tabla1[[#This Row],[Articulo]])</f>
        <v>#VALUE!</v>
      </c>
      <c r="Q1142" s="23" t="e">
        <f>_xlfn.XLOOKUP(Tabla1[[#This Row],[Ean Normalizado]],Consumos!A:A,Consumos!E:E)</f>
        <v>#VALUE!</v>
      </c>
      <c r="R1142" s="22" t="e">
        <f>_xlfn.XLOOKUP(Tabla1[[#This Row],[Ean Normalizado]],tabla_consumos[EAN],tabla_consumos[UM])</f>
        <v>#VALUE!</v>
      </c>
      <c r="S1142" s="22" t="e">
        <f>Tabla1[[#This Row],[StockDisp]]*Tabla1[[#This Row],[UM producto]]</f>
        <v>#VALUE!</v>
      </c>
    </row>
    <row r="1143" spans="1:19" x14ac:dyDescent="0.35">
      <c r="A1143" s="5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6"/>
      <c r="P1143" s="23" t="e">
        <f>TRIM(Tabla1[[#This Row],[Articulo]])</f>
        <v>#VALUE!</v>
      </c>
      <c r="Q1143" s="23" t="e">
        <f>_xlfn.XLOOKUP(Tabla1[[#This Row],[Ean Normalizado]],Consumos!A:A,Consumos!E:E)</f>
        <v>#VALUE!</v>
      </c>
      <c r="R1143" s="22" t="e">
        <f>_xlfn.XLOOKUP(Tabla1[[#This Row],[Ean Normalizado]],tabla_consumos[EAN],tabla_consumos[UM])</f>
        <v>#VALUE!</v>
      </c>
      <c r="S1143" s="22" t="e">
        <f>Tabla1[[#This Row],[StockDisp]]*Tabla1[[#This Row],[UM producto]]</f>
        <v>#VALUE!</v>
      </c>
    </row>
    <row r="1144" spans="1:19" x14ac:dyDescent="0.35">
      <c r="A1144" s="5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6"/>
      <c r="P1144" s="23" t="e">
        <f>TRIM(Tabla1[[#This Row],[Articulo]])</f>
        <v>#VALUE!</v>
      </c>
      <c r="Q1144" s="23" t="e">
        <f>_xlfn.XLOOKUP(Tabla1[[#This Row],[Ean Normalizado]],Consumos!A:A,Consumos!E:E)</f>
        <v>#VALUE!</v>
      </c>
      <c r="R1144" s="22" t="e">
        <f>_xlfn.XLOOKUP(Tabla1[[#This Row],[Ean Normalizado]],tabla_consumos[EAN],tabla_consumos[UM])</f>
        <v>#VALUE!</v>
      </c>
      <c r="S1144" s="22" t="e">
        <f>Tabla1[[#This Row],[StockDisp]]*Tabla1[[#This Row],[UM producto]]</f>
        <v>#VALUE!</v>
      </c>
    </row>
    <row r="1145" spans="1:19" x14ac:dyDescent="0.35">
      <c r="A1145" s="5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6"/>
      <c r="P1145" s="23" t="e">
        <f>TRIM(Tabla1[[#This Row],[Articulo]])</f>
        <v>#VALUE!</v>
      </c>
      <c r="Q1145" s="23" t="e">
        <f>_xlfn.XLOOKUP(Tabla1[[#This Row],[Ean Normalizado]],Consumos!A:A,Consumos!E:E)</f>
        <v>#VALUE!</v>
      </c>
      <c r="R1145" s="22" t="e">
        <f>_xlfn.XLOOKUP(Tabla1[[#This Row],[Ean Normalizado]],tabla_consumos[EAN],tabla_consumos[UM])</f>
        <v>#VALUE!</v>
      </c>
      <c r="S1145" s="22" t="e">
        <f>Tabla1[[#This Row],[StockDisp]]*Tabla1[[#This Row],[UM producto]]</f>
        <v>#VALUE!</v>
      </c>
    </row>
    <row r="1146" spans="1:19" x14ac:dyDescent="0.35">
      <c r="A1146" s="5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6"/>
      <c r="P1146" s="23" t="e">
        <f>TRIM(Tabla1[[#This Row],[Articulo]])</f>
        <v>#VALUE!</v>
      </c>
      <c r="Q1146" s="23" t="e">
        <f>_xlfn.XLOOKUP(Tabla1[[#This Row],[Ean Normalizado]],Consumos!A:A,Consumos!E:E)</f>
        <v>#VALUE!</v>
      </c>
      <c r="R1146" s="22" t="e">
        <f>_xlfn.XLOOKUP(Tabla1[[#This Row],[Ean Normalizado]],tabla_consumos[EAN],tabla_consumos[UM])</f>
        <v>#VALUE!</v>
      </c>
      <c r="S1146" s="22" t="e">
        <f>Tabla1[[#This Row],[StockDisp]]*Tabla1[[#This Row],[UM producto]]</f>
        <v>#VALUE!</v>
      </c>
    </row>
    <row r="1147" spans="1:19" x14ac:dyDescent="0.35">
      <c r="A1147" s="5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6"/>
      <c r="P1147" s="23" t="e">
        <f>TRIM(Tabla1[[#This Row],[Articulo]])</f>
        <v>#VALUE!</v>
      </c>
      <c r="Q1147" s="23" t="e">
        <f>_xlfn.XLOOKUP(Tabla1[[#This Row],[Ean Normalizado]],Consumos!A:A,Consumos!E:E)</f>
        <v>#VALUE!</v>
      </c>
      <c r="R1147" s="22" t="e">
        <f>_xlfn.XLOOKUP(Tabla1[[#This Row],[Ean Normalizado]],tabla_consumos[EAN],tabla_consumos[UM])</f>
        <v>#VALUE!</v>
      </c>
      <c r="S1147" s="22" t="e">
        <f>Tabla1[[#This Row],[StockDisp]]*Tabla1[[#This Row],[UM producto]]</f>
        <v>#VALUE!</v>
      </c>
    </row>
    <row r="1148" spans="1:19" x14ac:dyDescent="0.35">
      <c r="A1148" s="5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6"/>
      <c r="P1148" s="23" t="e">
        <f>TRIM(Tabla1[[#This Row],[Articulo]])</f>
        <v>#VALUE!</v>
      </c>
      <c r="Q1148" s="23" t="e">
        <f>_xlfn.XLOOKUP(Tabla1[[#This Row],[Ean Normalizado]],Consumos!A:A,Consumos!E:E)</f>
        <v>#VALUE!</v>
      </c>
      <c r="R1148" s="22" t="e">
        <f>_xlfn.XLOOKUP(Tabla1[[#This Row],[Ean Normalizado]],tabla_consumos[EAN],tabla_consumos[UM])</f>
        <v>#VALUE!</v>
      </c>
      <c r="S1148" s="22" t="e">
        <f>Tabla1[[#This Row],[StockDisp]]*Tabla1[[#This Row],[UM producto]]</f>
        <v>#VALUE!</v>
      </c>
    </row>
    <row r="1149" spans="1:19" x14ac:dyDescent="0.35">
      <c r="A1149" s="5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6"/>
      <c r="P1149" s="23" t="e">
        <f>TRIM(Tabla1[[#This Row],[Articulo]])</f>
        <v>#VALUE!</v>
      </c>
      <c r="Q1149" s="23" t="e">
        <f>_xlfn.XLOOKUP(Tabla1[[#This Row],[Ean Normalizado]],Consumos!A:A,Consumos!E:E)</f>
        <v>#VALUE!</v>
      </c>
      <c r="R1149" s="22" t="e">
        <f>_xlfn.XLOOKUP(Tabla1[[#This Row],[Ean Normalizado]],tabla_consumos[EAN],tabla_consumos[UM])</f>
        <v>#VALUE!</v>
      </c>
      <c r="S1149" s="22" t="e">
        <f>Tabla1[[#This Row],[StockDisp]]*Tabla1[[#This Row],[UM producto]]</f>
        <v>#VALUE!</v>
      </c>
    </row>
    <row r="1150" spans="1:19" x14ac:dyDescent="0.35">
      <c r="A1150" s="5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6"/>
      <c r="P1150" s="23" t="e">
        <f>TRIM(Tabla1[[#This Row],[Articulo]])</f>
        <v>#VALUE!</v>
      </c>
      <c r="Q1150" s="23" t="e">
        <f>_xlfn.XLOOKUP(Tabla1[[#This Row],[Ean Normalizado]],Consumos!A:A,Consumos!E:E)</f>
        <v>#VALUE!</v>
      </c>
      <c r="R1150" s="22" t="e">
        <f>_xlfn.XLOOKUP(Tabla1[[#This Row],[Ean Normalizado]],tabla_consumos[EAN],tabla_consumos[UM])</f>
        <v>#VALUE!</v>
      </c>
      <c r="S1150" s="22" t="e">
        <f>Tabla1[[#This Row],[StockDisp]]*Tabla1[[#This Row],[UM producto]]</f>
        <v>#VALUE!</v>
      </c>
    </row>
    <row r="1151" spans="1:19" x14ac:dyDescent="0.35">
      <c r="A1151" s="5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6"/>
      <c r="P1151" s="23" t="e">
        <f>TRIM(Tabla1[[#This Row],[Articulo]])</f>
        <v>#VALUE!</v>
      </c>
      <c r="Q1151" s="23" t="e">
        <f>_xlfn.XLOOKUP(Tabla1[[#This Row],[Ean Normalizado]],Consumos!A:A,Consumos!E:E)</f>
        <v>#VALUE!</v>
      </c>
      <c r="R1151" s="22" t="e">
        <f>_xlfn.XLOOKUP(Tabla1[[#This Row],[Ean Normalizado]],tabla_consumos[EAN],tabla_consumos[UM])</f>
        <v>#VALUE!</v>
      </c>
      <c r="S1151" s="22" t="e">
        <f>Tabla1[[#This Row],[StockDisp]]*Tabla1[[#This Row],[UM producto]]</f>
        <v>#VALUE!</v>
      </c>
    </row>
    <row r="1152" spans="1:19" x14ac:dyDescent="0.35">
      <c r="A1152" s="5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6"/>
      <c r="P1152" s="23" t="e">
        <f>TRIM(Tabla1[[#This Row],[Articulo]])</f>
        <v>#VALUE!</v>
      </c>
      <c r="Q1152" s="23" t="e">
        <f>_xlfn.XLOOKUP(Tabla1[[#This Row],[Ean Normalizado]],Consumos!A:A,Consumos!E:E)</f>
        <v>#VALUE!</v>
      </c>
      <c r="R1152" s="22" t="e">
        <f>_xlfn.XLOOKUP(Tabla1[[#This Row],[Ean Normalizado]],tabla_consumos[EAN],tabla_consumos[UM])</f>
        <v>#VALUE!</v>
      </c>
      <c r="S1152" s="22" t="e">
        <f>Tabla1[[#This Row],[StockDisp]]*Tabla1[[#This Row],[UM producto]]</f>
        <v>#VALUE!</v>
      </c>
    </row>
    <row r="1153" spans="1:19" x14ac:dyDescent="0.35">
      <c r="A1153" s="5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6"/>
      <c r="P1153" s="23" t="e">
        <f>TRIM(Tabla1[[#This Row],[Articulo]])</f>
        <v>#VALUE!</v>
      </c>
      <c r="Q1153" s="23" t="e">
        <f>_xlfn.XLOOKUP(Tabla1[[#This Row],[Ean Normalizado]],Consumos!A:A,Consumos!E:E)</f>
        <v>#VALUE!</v>
      </c>
      <c r="R1153" s="22" t="e">
        <f>_xlfn.XLOOKUP(Tabla1[[#This Row],[Ean Normalizado]],tabla_consumos[EAN],tabla_consumos[UM])</f>
        <v>#VALUE!</v>
      </c>
      <c r="S1153" s="22" t="e">
        <f>Tabla1[[#This Row],[StockDisp]]*Tabla1[[#This Row],[UM producto]]</f>
        <v>#VALUE!</v>
      </c>
    </row>
    <row r="1154" spans="1:19" x14ac:dyDescent="0.35">
      <c r="A1154" s="5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6"/>
      <c r="P1154" s="23" t="e">
        <f>TRIM(Tabla1[[#This Row],[Articulo]])</f>
        <v>#VALUE!</v>
      </c>
      <c r="Q1154" s="23" t="e">
        <f>_xlfn.XLOOKUP(Tabla1[[#This Row],[Ean Normalizado]],Consumos!A:A,Consumos!E:E)</f>
        <v>#VALUE!</v>
      </c>
      <c r="R1154" s="22" t="e">
        <f>_xlfn.XLOOKUP(Tabla1[[#This Row],[Ean Normalizado]],tabla_consumos[EAN],tabla_consumos[UM])</f>
        <v>#VALUE!</v>
      </c>
      <c r="S1154" s="22" t="e">
        <f>Tabla1[[#This Row],[StockDisp]]*Tabla1[[#This Row],[UM producto]]</f>
        <v>#VALUE!</v>
      </c>
    </row>
    <row r="1155" spans="1:19" x14ac:dyDescent="0.35">
      <c r="A1155" s="5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6"/>
      <c r="P1155" s="23" t="e">
        <f>TRIM(Tabla1[[#This Row],[Articulo]])</f>
        <v>#VALUE!</v>
      </c>
      <c r="Q1155" s="23" t="e">
        <f>_xlfn.XLOOKUP(Tabla1[[#This Row],[Ean Normalizado]],Consumos!A:A,Consumos!E:E)</f>
        <v>#VALUE!</v>
      </c>
      <c r="R1155" s="22" t="e">
        <f>_xlfn.XLOOKUP(Tabla1[[#This Row],[Ean Normalizado]],tabla_consumos[EAN],tabla_consumos[UM])</f>
        <v>#VALUE!</v>
      </c>
      <c r="S1155" s="22" t="e">
        <f>Tabla1[[#This Row],[StockDisp]]*Tabla1[[#This Row],[UM producto]]</f>
        <v>#VALUE!</v>
      </c>
    </row>
    <row r="1156" spans="1:19" x14ac:dyDescent="0.35">
      <c r="A1156" s="5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6"/>
      <c r="P1156" s="23" t="e">
        <f>TRIM(Tabla1[[#This Row],[Articulo]])</f>
        <v>#VALUE!</v>
      </c>
      <c r="Q1156" s="23" t="e">
        <f>_xlfn.XLOOKUP(Tabla1[[#This Row],[Ean Normalizado]],Consumos!A:A,Consumos!E:E)</f>
        <v>#VALUE!</v>
      </c>
      <c r="R1156" s="22" t="e">
        <f>_xlfn.XLOOKUP(Tabla1[[#This Row],[Ean Normalizado]],tabla_consumos[EAN],tabla_consumos[UM])</f>
        <v>#VALUE!</v>
      </c>
      <c r="S1156" s="22" t="e">
        <f>Tabla1[[#This Row],[StockDisp]]*Tabla1[[#This Row],[UM producto]]</f>
        <v>#VALUE!</v>
      </c>
    </row>
    <row r="1157" spans="1:19" x14ac:dyDescent="0.35">
      <c r="A1157" s="5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6"/>
      <c r="P1157" s="23" t="e">
        <f>TRIM(Tabla1[[#This Row],[Articulo]])</f>
        <v>#VALUE!</v>
      </c>
      <c r="Q1157" s="23" t="e">
        <f>_xlfn.XLOOKUP(Tabla1[[#This Row],[Ean Normalizado]],Consumos!A:A,Consumos!E:E)</f>
        <v>#VALUE!</v>
      </c>
      <c r="R1157" s="22" t="e">
        <f>_xlfn.XLOOKUP(Tabla1[[#This Row],[Ean Normalizado]],tabla_consumos[EAN],tabla_consumos[UM])</f>
        <v>#VALUE!</v>
      </c>
      <c r="S1157" s="22" t="e">
        <f>Tabla1[[#This Row],[StockDisp]]*Tabla1[[#This Row],[UM producto]]</f>
        <v>#VALUE!</v>
      </c>
    </row>
    <row r="1158" spans="1:19" x14ac:dyDescent="0.35">
      <c r="A1158" s="5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6"/>
      <c r="P1158" s="23" t="e">
        <f>TRIM(Tabla1[[#This Row],[Articulo]])</f>
        <v>#VALUE!</v>
      </c>
      <c r="Q1158" s="23" t="e">
        <f>_xlfn.XLOOKUP(Tabla1[[#This Row],[Ean Normalizado]],Consumos!A:A,Consumos!E:E)</f>
        <v>#VALUE!</v>
      </c>
      <c r="R1158" s="22" t="e">
        <f>_xlfn.XLOOKUP(Tabla1[[#This Row],[Ean Normalizado]],tabla_consumos[EAN],tabla_consumos[UM])</f>
        <v>#VALUE!</v>
      </c>
      <c r="S1158" s="22" t="e">
        <f>Tabla1[[#This Row],[StockDisp]]*Tabla1[[#This Row],[UM producto]]</f>
        <v>#VALUE!</v>
      </c>
    </row>
    <row r="1159" spans="1:19" x14ac:dyDescent="0.35">
      <c r="A1159" s="5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6"/>
      <c r="P1159" s="23" t="e">
        <f>TRIM(Tabla1[[#This Row],[Articulo]])</f>
        <v>#VALUE!</v>
      </c>
      <c r="Q1159" s="23" t="e">
        <f>_xlfn.XLOOKUP(Tabla1[[#This Row],[Ean Normalizado]],Consumos!A:A,Consumos!E:E)</f>
        <v>#VALUE!</v>
      </c>
      <c r="R1159" s="22" t="e">
        <f>_xlfn.XLOOKUP(Tabla1[[#This Row],[Ean Normalizado]],tabla_consumos[EAN],tabla_consumos[UM])</f>
        <v>#VALUE!</v>
      </c>
      <c r="S1159" s="22" t="e">
        <f>Tabla1[[#This Row],[StockDisp]]*Tabla1[[#This Row],[UM producto]]</f>
        <v>#VALUE!</v>
      </c>
    </row>
    <row r="1160" spans="1:19" x14ac:dyDescent="0.35">
      <c r="A1160" s="5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6"/>
      <c r="P1160" s="23" t="e">
        <f>TRIM(Tabla1[[#This Row],[Articulo]])</f>
        <v>#VALUE!</v>
      </c>
      <c r="Q1160" s="23" t="e">
        <f>_xlfn.XLOOKUP(Tabla1[[#This Row],[Ean Normalizado]],Consumos!A:A,Consumos!E:E)</f>
        <v>#VALUE!</v>
      </c>
      <c r="R1160" s="22" t="e">
        <f>_xlfn.XLOOKUP(Tabla1[[#This Row],[Ean Normalizado]],tabla_consumos[EAN],tabla_consumos[UM])</f>
        <v>#VALUE!</v>
      </c>
      <c r="S1160" s="22" t="e">
        <f>Tabla1[[#This Row],[StockDisp]]*Tabla1[[#This Row],[UM producto]]</f>
        <v>#VALUE!</v>
      </c>
    </row>
    <row r="1161" spans="1:19" x14ac:dyDescent="0.35">
      <c r="A1161" s="5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6"/>
      <c r="P1161" s="23" t="e">
        <f>TRIM(Tabla1[[#This Row],[Articulo]])</f>
        <v>#VALUE!</v>
      </c>
      <c r="Q1161" s="23" t="e">
        <f>_xlfn.XLOOKUP(Tabla1[[#This Row],[Ean Normalizado]],Consumos!A:A,Consumos!E:E)</f>
        <v>#VALUE!</v>
      </c>
      <c r="R1161" s="22" t="e">
        <f>_xlfn.XLOOKUP(Tabla1[[#This Row],[Ean Normalizado]],tabla_consumos[EAN],tabla_consumos[UM])</f>
        <v>#VALUE!</v>
      </c>
      <c r="S1161" s="22" t="e">
        <f>Tabla1[[#This Row],[StockDisp]]*Tabla1[[#This Row],[UM producto]]</f>
        <v>#VALUE!</v>
      </c>
    </row>
    <row r="1162" spans="1:19" x14ac:dyDescent="0.35">
      <c r="A1162" s="5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6"/>
      <c r="P1162" s="23" t="e">
        <f>TRIM(Tabla1[[#This Row],[Articulo]])</f>
        <v>#VALUE!</v>
      </c>
      <c r="Q1162" s="23" t="e">
        <f>_xlfn.XLOOKUP(Tabla1[[#This Row],[Ean Normalizado]],Consumos!A:A,Consumos!E:E)</f>
        <v>#VALUE!</v>
      </c>
      <c r="R1162" s="22" t="e">
        <f>_xlfn.XLOOKUP(Tabla1[[#This Row],[Ean Normalizado]],tabla_consumos[EAN],tabla_consumos[UM])</f>
        <v>#VALUE!</v>
      </c>
      <c r="S1162" s="22" t="e">
        <f>Tabla1[[#This Row],[StockDisp]]*Tabla1[[#This Row],[UM producto]]</f>
        <v>#VALUE!</v>
      </c>
    </row>
    <row r="1163" spans="1:19" x14ac:dyDescent="0.35">
      <c r="A1163" s="5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6"/>
      <c r="P1163" s="23" t="e">
        <f>TRIM(Tabla1[[#This Row],[Articulo]])</f>
        <v>#VALUE!</v>
      </c>
      <c r="Q1163" s="23" t="e">
        <f>_xlfn.XLOOKUP(Tabla1[[#This Row],[Ean Normalizado]],Consumos!A:A,Consumos!E:E)</f>
        <v>#VALUE!</v>
      </c>
      <c r="R1163" s="22" t="e">
        <f>_xlfn.XLOOKUP(Tabla1[[#This Row],[Ean Normalizado]],tabla_consumos[EAN],tabla_consumos[UM])</f>
        <v>#VALUE!</v>
      </c>
      <c r="S1163" s="22" t="e">
        <f>Tabla1[[#This Row],[StockDisp]]*Tabla1[[#This Row],[UM producto]]</f>
        <v>#VALUE!</v>
      </c>
    </row>
    <row r="1164" spans="1:19" x14ac:dyDescent="0.35">
      <c r="A1164" s="5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6"/>
      <c r="P1164" s="23" t="e">
        <f>TRIM(Tabla1[[#This Row],[Articulo]])</f>
        <v>#VALUE!</v>
      </c>
      <c r="Q1164" s="23" t="e">
        <f>_xlfn.XLOOKUP(Tabla1[[#This Row],[Ean Normalizado]],Consumos!A:A,Consumos!E:E)</f>
        <v>#VALUE!</v>
      </c>
      <c r="R1164" s="22" t="e">
        <f>_xlfn.XLOOKUP(Tabla1[[#This Row],[Ean Normalizado]],tabla_consumos[EAN],tabla_consumos[UM])</f>
        <v>#VALUE!</v>
      </c>
      <c r="S1164" s="22" t="e">
        <f>Tabla1[[#This Row],[StockDisp]]*Tabla1[[#This Row],[UM producto]]</f>
        <v>#VALUE!</v>
      </c>
    </row>
    <row r="1165" spans="1:19" x14ac:dyDescent="0.35">
      <c r="A1165" s="5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6"/>
      <c r="P1165" s="23" t="e">
        <f>TRIM(Tabla1[[#This Row],[Articulo]])</f>
        <v>#VALUE!</v>
      </c>
      <c r="Q1165" s="23" t="e">
        <f>_xlfn.XLOOKUP(Tabla1[[#This Row],[Ean Normalizado]],Consumos!A:A,Consumos!E:E)</f>
        <v>#VALUE!</v>
      </c>
      <c r="R1165" s="22" t="e">
        <f>_xlfn.XLOOKUP(Tabla1[[#This Row],[Ean Normalizado]],tabla_consumos[EAN],tabla_consumos[UM])</f>
        <v>#VALUE!</v>
      </c>
      <c r="S1165" s="22" t="e">
        <f>Tabla1[[#This Row],[StockDisp]]*Tabla1[[#This Row],[UM producto]]</f>
        <v>#VALUE!</v>
      </c>
    </row>
    <row r="1166" spans="1:19" x14ac:dyDescent="0.35">
      <c r="A1166" s="5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6"/>
      <c r="P1166" s="23" t="e">
        <f>TRIM(Tabla1[[#This Row],[Articulo]])</f>
        <v>#VALUE!</v>
      </c>
      <c r="Q1166" s="23" t="e">
        <f>_xlfn.XLOOKUP(Tabla1[[#This Row],[Ean Normalizado]],Consumos!A:A,Consumos!E:E)</f>
        <v>#VALUE!</v>
      </c>
      <c r="R1166" s="22" t="e">
        <f>_xlfn.XLOOKUP(Tabla1[[#This Row],[Ean Normalizado]],tabla_consumos[EAN],tabla_consumos[UM])</f>
        <v>#VALUE!</v>
      </c>
      <c r="S1166" s="22" t="e">
        <f>Tabla1[[#This Row],[StockDisp]]*Tabla1[[#This Row],[UM producto]]</f>
        <v>#VALUE!</v>
      </c>
    </row>
    <row r="1167" spans="1:19" x14ac:dyDescent="0.35">
      <c r="A1167" s="5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6"/>
      <c r="P1167" s="23" t="e">
        <f>TRIM(Tabla1[[#This Row],[Articulo]])</f>
        <v>#VALUE!</v>
      </c>
      <c r="Q1167" s="23" t="e">
        <f>_xlfn.XLOOKUP(Tabla1[[#This Row],[Ean Normalizado]],Consumos!A:A,Consumos!E:E)</f>
        <v>#VALUE!</v>
      </c>
      <c r="R1167" s="22" t="e">
        <f>_xlfn.XLOOKUP(Tabla1[[#This Row],[Ean Normalizado]],tabla_consumos[EAN],tabla_consumos[UM])</f>
        <v>#VALUE!</v>
      </c>
      <c r="S1167" s="22" t="e">
        <f>Tabla1[[#This Row],[StockDisp]]*Tabla1[[#This Row],[UM producto]]</f>
        <v>#VALUE!</v>
      </c>
    </row>
    <row r="1168" spans="1:19" x14ac:dyDescent="0.35">
      <c r="A1168" s="5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6"/>
      <c r="P1168" s="23" t="e">
        <f>TRIM(Tabla1[[#This Row],[Articulo]])</f>
        <v>#VALUE!</v>
      </c>
      <c r="Q1168" s="23" t="e">
        <f>_xlfn.XLOOKUP(Tabla1[[#This Row],[Ean Normalizado]],Consumos!A:A,Consumos!E:E)</f>
        <v>#VALUE!</v>
      </c>
      <c r="R1168" s="22" t="e">
        <f>_xlfn.XLOOKUP(Tabla1[[#This Row],[Ean Normalizado]],tabla_consumos[EAN],tabla_consumos[UM])</f>
        <v>#VALUE!</v>
      </c>
      <c r="S1168" s="22" t="e">
        <f>Tabla1[[#This Row],[StockDisp]]*Tabla1[[#This Row],[UM producto]]</f>
        <v>#VALUE!</v>
      </c>
    </row>
    <row r="1169" spans="1:19" x14ac:dyDescent="0.35">
      <c r="A1169" s="5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6"/>
      <c r="P1169" s="23" t="e">
        <f>TRIM(Tabla1[[#This Row],[Articulo]])</f>
        <v>#VALUE!</v>
      </c>
      <c r="Q1169" s="23" t="e">
        <f>_xlfn.XLOOKUP(Tabla1[[#This Row],[Ean Normalizado]],Consumos!A:A,Consumos!E:E)</f>
        <v>#VALUE!</v>
      </c>
      <c r="R1169" s="22" t="e">
        <f>_xlfn.XLOOKUP(Tabla1[[#This Row],[Ean Normalizado]],tabla_consumos[EAN],tabla_consumos[UM])</f>
        <v>#VALUE!</v>
      </c>
      <c r="S1169" s="22" t="e">
        <f>Tabla1[[#This Row],[StockDisp]]*Tabla1[[#This Row],[UM producto]]</f>
        <v>#VALUE!</v>
      </c>
    </row>
    <row r="1170" spans="1:19" x14ac:dyDescent="0.35">
      <c r="A1170" s="5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6"/>
      <c r="P1170" s="23" t="e">
        <f>TRIM(Tabla1[[#This Row],[Articulo]])</f>
        <v>#VALUE!</v>
      </c>
      <c r="Q1170" s="23" t="e">
        <f>_xlfn.XLOOKUP(Tabla1[[#This Row],[Ean Normalizado]],Consumos!A:A,Consumos!E:E)</f>
        <v>#VALUE!</v>
      </c>
      <c r="R1170" s="22" t="e">
        <f>_xlfn.XLOOKUP(Tabla1[[#This Row],[Ean Normalizado]],tabla_consumos[EAN],tabla_consumos[UM])</f>
        <v>#VALUE!</v>
      </c>
      <c r="S1170" s="22" t="e">
        <f>Tabla1[[#This Row],[StockDisp]]*Tabla1[[#This Row],[UM producto]]</f>
        <v>#VALUE!</v>
      </c>
    </row>
    <row r="1171" spans="1:19" x14ac:dyDescent="0.35">
      <c r="A1171" s="5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6"/>
      <c r="P1171" s="23" t="e">
        <f>TRIM(Tabla1[[#This Row],[Articulo]])</f>
        <v>#VALUE!</v>
      </c>
      <c r="Q1171" s="23" t="e">
        <f>_xlfn.XLOOKUP(Tabla1[[#This Row],[Ean Normalizado]],Consumos!A:A,Consumos!E:E)</f>
        <v>#VALUE!</v>
      </c>
      <c r="R1171" s="22" t="e">
        <f>_xlfn.XLOOKUP(Tabla1[[#This Row],[Ean Normalizado]],tabla_consumos[EAN],tabla_consumos[UM])</f>
        <v>#VALUE!</v>
      </c>
      <c r="S1171" s="22" t="e">
        <f>Tabla1[[#This Row],[StockDisp]]*Tabla1[[#This Row],[UM producto]]</f>
        <v>#VALUE!</v>
      </c>
    </row>
    <row r="1172" spans="1:19" x14ac:dyDescent="0.35">
      <c r="A1172" s="5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6"/>
      <c r="P1172" s="23" t="e">
        <f>TRIM(Tabla1[[#This Row],[Articulo]])</f>
        <v>#VALUE!</v>
      </c>
      <c r="Q1172" s="23" t="e">
        <f>_xlfn.XLOOKUP(Tabla1[[#This Row],[Ean Normalizado]],Consumos!A:A,Consumos!E:E)</f>
        <v>#VALUE!</v>
      </c>
      <c r="R1172" s="22" t="e">
        <f>_xlfn.XLOOKUP(Tabla1[[#This Row],[Ean Normalizado]],tabla_consumos[EAN],tabla_consumos[UM])</f>
        <v>#VALUE!</v>
      </c>
      <c r="S1172" s="22" t="e">
        <f>Tabla1[[#This Row],[StockDisp]]*Tabla1[[#This Row],[UM producto]]</f>
        <v>#VALUE!</v>
      </c>
    </row>
    <row r="1173" spans="1:19" x14ac:dyDescent="0.35">
      <c r="A1173" s="5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6"/>
      <c r="P1173" s="23" t="e">
        <f>TRIM(Tabla1[[#This Row],[Articulo]])</f>
        <v>#VALUE!</v>
      </c>
      <c r="Q1173" s="23" t="e">
        <f>_xlfn.XLOOKUP(Tabla1[[#This Row],[Ean Normalizado]],Consumos!A:A,Consumos!E:E)</f>
        <v>#VALUE!</v>
      </c>
      <c r="R1173" s="22" t="e">
        <f>_xlfn.XLOOKUP(Tabla1[[#This Row],[Ean Normalizado]],tabla_consumos[EAN],tabla_consumos[UM])</f>
        <v>#VALUE!</v>
      </c>
      <c r="S1173" s="22" t="e">
        <f>Tabla1[[#This Row],[StockDisp]]*Tabla1[[#This Row],[UM producto]]</f>
        <v>#VALUE!</v>
      </c>
    </row>
    <row r="1174" spans="1:19" x14ac:dyDescent="0.35">
      <c r="A1174" s="5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6"/>
      <c r="P1174" s="23" t="e">
        <f>TRIM(Tabla1[[#This Row],[Articulo]])</f>
        <v>#VALUE!</v>
      </c>
      <c r="Q1174" s="23" t="e">
        <f>_xlfn.XLOOKUP(Tabla1[[#This Row],[Ean Normalizado]],Consumos!A:A,Consumos!E:E)</f>
        <v>#VALUE!</v>
      </c>
      <c r="R1174" s="22" t="e">
        <f>_xlfn.XLOOKUP(Tabla1[[#This Row],[Ean Normalizado]],tabla_consumos[EAN],tabla_consumos[UM])</f>
        <v>#VALUE!</v>
      </c>
      <c r="S1174" s="22" t="e">
        <f>Tabla1[[#This Row],[StockDisp]]*Tabla1[[#This Row],[UM producto]]</f>
        <v>#VALUE!</v>
      </c>
    </row>
    <row r="1175" spans="1:19" x14ac:dyDescent="0.35">
      <c r="A1175" s="5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6"/>
      <c r="P1175" s="23" t="e">
        <f>TRIM(Tabla1[[#This Row],[Articulo]])</f>
        <v>#VALUE!</v>
      </c>
      <c r="Q1175" s="23" t="e">
        <f>_xlfn.XLOOKUP(Tabla1[[#This Row],[Ean Normalizado]],Consumos!A:A,Consumos!E:E)</f>
        <v>#VALUE!</v>
      </c>
      <c r="R1175" s="22" t="e">
        <f>_xlfn.XLOOKUP(Tabla1[[#This Row],[Ean Normalizado]],tabla_consumos[EAN],tabla_consumos[UM])</f>
        <v>#VALUE!</v>
      </c>
      <c r="S1175" s="22" t="e">
        <f>Tabla1[[#This Row],[StockDisp]]*Tabla1[[#This Row],[UM producto]]</f>
        <v>#VALUE!</v>
      </c>
    </row>
    <row r="1176" spans="1:19" x14ac:dyDescent="0.35">
      <c r="A1176" s="5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6"/>
      <c r="P1176" s="23" t="e">
        <f>TRIM(Tabla1[[#This Row],[Articulo]])</f>
        <v>#VALUE!</v>
      </c>
      <c r="Q1176" s="23" t="e">
        <f>_xlfn.XLOOKUP(Tabla1[[#This Row],[Ean Normalizado]],Consumos!A:A,Consumos!E:E)</f>
        <v>#VALUE!</v>
      </c>
      <c r="R1176" s="22" t="e">
        <f>_xlfn.XLOOKUP(Tabla1[[#This Row],[Ean Normalizado]],tabla_consumos[EAN],tabla_consumos[UM])</f>
        <v>#VALUE!</v>
      </c>
      <c r="S1176" s="22" t="e">
        <f>Tabla1[[#This Row],[StockDisp]]*Tabla1[[#This Row],[UM producto]]</f>
        <v>#VALUE!</v>
      </c>
    </row>
    <row r="1177" spans="1:19" x14ac:dyDescent="0.35">
      <c r="A1177" s="5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6"/>
      <c r="P1177" s="23" t="e">
        <f>TRIM(Tabla1[[#This Row],[Articulo]])</f>
        <v>#VALUE!</v>
      </c>
      <c r="Q1177" s="23" t="e">
        <f>_xlfn.XLOOKUP(Tabla1[[#This Row],[Ean Normalizado]],Consumos!A:A,Consumos!E:E)</f>
        <v>#VALUE!</v>
      </c>
      <c r="R1177" s="22" t="e">
        <f>_xlfn.XLOOKUP(Tabla1[[#This Row],[Ean Normalizado]],tabla_consumos[EAN],tabla_consumos[UM])</f>
        <v>#VALUE!</v>
      </c>
      <c r="S1177" s="22" t="e">
        <f>Tabla1[[#This Row],[StockDisp]]*Tabla1[[#This Row],[UM producto]]</f>
        <v>#VALUE!</v>
      </c>
    </row>
    <row r="1178" spans="1:19" x14ac:dyDescent="0.35">
      <c r="A1178" s="5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6"/>
      <c r="P1178" s="23" t="e">
        <f>TRIM(Tabla1[[#This Row],[Articulo]])</f>
        <v>#VALUE!</v>
      </c>
      <c r="Q1178" s="23" t="e">
        <f>_xlfn.XLOOKUP(Tabla1[[#This Row],[Ean Normalizado]],Consumos!A:A,Consumos!E:E)</f>
        <v>#VALUE!</v>
      </c>
      <c r="R1178" s="22" t="e">
        <f>_xlfn.XLOOKUP(Tabla1[[#This Row],[Ean Normalizado]],tabla_consumos[EAN],tabla_consumos[UM])</f>
        <v>#VALUE!</v>
      </c>
      <c r="S1178" s="22" t="e">
        <f>Tabla1[[#This Row],[StockDisp]]*Tabla1[[#This Row],[UM producto]]</f>
        <v>#VALUE!</v>
      </c>
    </row>
    <row r="1179" spans="1:19" x14ac:dyDescent="0.35">
      <c r="A1179" s="5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6"/>
      <c r="P1179" s="23" t="e">
        <f>TRIM(Tabla1[[#This Row],[Articulo]])</f>
        <v>#VALUE!</v>
      </c>
      <c r="Q1179" s="23" t="e">
        <f>_xlfn.XLOOKUP(Tabla1[[#This Row],[Ean Normalizado]],Consumos!A:A,Consumos!E:E)</f>
        <v>#VALUE!</v>
      </c>
      <c r="R1179" s="22" t="e">
        <f>_xlfn.XLOOKUP(Tabla1[[#This Row],[Ean Normalizado]],tabla_consumos[EAN],tabla_consumos[UM])</f>
        <v>#VALUE!</v>
      </c>
      <c r="S1179" s="22" t="e">
        <f>Tabla1[[#This Row],[StockDisp]]*Tabla1[[#This Row],[UM producto]]</f>
        <v>#VALUE!</v>
      </c>
    </row>
    <row r="1180" spans="1:19" x14ac:dyDescent="0.35">
      <c r="A1180" s="5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6"/>
      <c r="P1180" s="23" t="e">
        <f>TRIM(Tabla1[[#This Row],[Articulo]])</f>
        <v>#VALUE!</v>
      </c>
      <c r="Q1180" s="23" t="e">
        <f>_xlfn.XLOOKUP(Tabla1[[#This Row],[Ean Normalizado]],Consumos!A:A,Consumos!E:E)</f>
        <v>#VALUE!</v>
      </c>
      <c r="R1180" s="22" t="e">
        <f>_xlfn.XLOOKUP(Tabla1[[#This Row],[Ean Normalizado]],tabla_consumos[EAN],tabla_consumos[UM])</f>
        <v>#VALUE!</v>
      </c>
      <c r="S1180" s="22" t="e">
        <f>Tabla1[[#This Row],[StockDisp]]*Tabla1[[#This Row],[UM producto]]</f>
        <v>#VALUE!</v>
      </c>
    </row>
    <row r="1181" spans="1:19" x14ac:dyDescent="0.35">
      <c r="A1181" s="5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6"/>
      <c r="P1181" s="23" t="e">
        <f>TRIM(Tabla1[[#This Row],[Articulo]])</f>
        <v>#VALUE!</v>
      </c>
      <c r="Q1181" s="23" t="e">
        <f>_xlfn.XLOOKUP(Tabla1[[#This Row],[Ean Normalizado]],Consumos!A:A,Consumos!E:E)</f>
        <v>#VALUE!</v>
      </c>
      <c r="R1181" s="22" t="e">
        <f>_xlfn.XLOOKUP(Tabla1[[#This Row],[Ean Normalizado]],tabla_consumos[EAN],tabla_consumos[UM])</f>
        <v>#VALUE!</v>
      </c>
      <c r="S1181" s="22" t="e">
        <f>Tabla1[[#This Row],[StockDisp]]*Tabla1[[#This Row],[UM producto]]</f>
        <v>#VALUE!</v>
      </c>
    </row>
    <row r="1182" spans="1:19" x14ac:dyDescent="0.35">
      <c r="A1182" s="5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6"/>
      <c r="P1182" s="23" t="e">
        <f>TRIM(Tabla1[[#This Row],[Articulo]])</f>
        <v>#VALUE!</v>
      </c>
      <c r="Q1182" s="23" t="e">
        <f>_xlfn.XLOOKUP(Tabla1[[#This Row],[Ean Normalizado]],Consumos!A:A,Consumos!E:E)</f>
        <v>#VALUE!</v>
      </c>
      <c r="R1182" s="22" t="e">
        <f>_xlfn.XLOOKUP(Tabla1[[#This Row],[Ean Normalizado]],tabla_consumos[EAN],tabla_consumos[UM])</f>
        <v>#VALUE!</v>
      </c>
      <c r="S1182" s="22" t="e">
        <f>Tabla1[[#This Row],[StockDisp]]*Tabla1[[#This Row],[UM producto]]</f>
        <v>#VALUE!</v>
      </c>
    </row>
    <row r="1183" spans="1:19" x14ac:dyDescent="0.35">
      <c r="A1183" s="5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6"/>
      <c r="P1183" s="23" t="e">
        <f>TRIM(Tabla1[[#This Row],[Articulo]])</f>
        <v>#VALUE!</v>
      </c>
      <c r="Q1183" s="23" t="e">
        <f>_xlfn.XLOOKUP(Tabla1[[#This Row],[Ean Normalizado]],Consumos!A:A,Consumos!E:E)</f>
        <v>#VALUE!</v>
      </c>
      <c r="R1183" s="22" t="e">
        <f>_xlfn.XLOOKUP(Tabla1[[#This Row],[Ean Normalizado]],tabla_consumos[EAN],tabla_consumos[UM])</f>
        <v>#VALUE!</v>
      </c>
      <c r="S1183" s="22" t="e">
        <f>Tabla1[[#This Row],[StockDisp]]*Tabla1[[#This Row],[UM producto]]</f>
        <v>#VALUE!</v>
      </c>
    </row>
    <row r="1184" spans="1:19" x14ac:dyDescent="0.35">
      <c r="A1184" s="5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6"/>
      <c r="P1184" s="23" t="e">
        <f>TRIM(Tabla1[[#This Row],[Articulo]])</f>
        <v>#VALUE!</v>
      </c>
      <c r="Q1184" s="23" t="e">
        <f>_xlfn.XLOOKUP(Tabla1[[#This Row],[Ean Normalizado]],Consumos!A:A,Consumos!E:E)</f>
        <v>#VALUE!</v>
      </c>
      <c r="R1184" s="22" t="e">
        <f>_xlfn.XLOOKUP(Tabla1[[#This Row],[Ean Normalizado]],tabla_consumos[EAN],tabla_consumos[UM])</f>
        <v>#VALUE!</v>
      </c>
      <c r="S1184" s="22" t="e">
        <f>Tabla1[[#This Row],[StockDisp]]*Tabla1[[#This Row],[UM producto]]</f>
        <v>#VALUE!</v>
      </c>
    </row>
    <row r="1185" spans="1:19" x14ac:dyDescent="0.35">
      <c r="A1185" s="5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6"/>
      <c r="P1185" s="23" t="e">
        <f>TRIM(Tabla1[[#This Row],[Articulo]])</f>
        <v>#VALUE!</v>
      </c>
      <c r="Q1185" s="23" t="e">
        <f>_xlfn.XLOOKUP(Tabla1[[#This Row],[Ean Normalizado]],Consumos!A:A,Consumos!E:E)</f>
        <v>#VALUE!</v>
      </c>
      <c r="R1185" s="22" t="e">
        <f>_xlfn.XLOOKUP(Tabla1[[#This Row],[Ean Normalizado]],tabla_consumos[EAN],tabla_consumos[UM])</f>
        <v>#VALUE!</v>
      </c>
      <c r="S1185" s="22" t="e">
        <f>Tabla1[[#This Row],[StockDisp]]*Tabla1[[#This Row],[UM producto]]</f>
        <v>#VALUE!</v>
      </c>
    </row>
    <row r="1186" spans="1:19" x14ac:dyDescent="0.35">
      <c r="A1186" s="5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6"/>
      <c r="P1186" s="23" t="e">
        <f>TRIM(Tabla1[[#This Row],[Articulo]])</f>
        <v>#VALUE!</v>
      </c>
      <c r="Q1186" s="23" t="e">
        <f>_xlfn.XLOOKUP(Tabla1[[#This Row],[Ean Normalizado]],Consumos!A:A,Consumos!E:E)</f>
        <v>#VALUE!</v>
      </c>
      <c r="R1186" s="22" t="e">
        <f>_xlfn.XLOOKUP(Tabla1[[#This Row],[Ean Normalizado]],tabla_consumos[EAN],tabla_consumos[UM])</f>
        <v>#VALUE!</v>
      </c>
      <c r="S1186" s="22" t="e">
        <f>Tabla1[[#This Row],[StockDisp]]*Tabla1[[#This Row],[UM producto]]</f>
        <v>#VALUE!</v>
      </c>
    </row>
    <row r="1187" spans="1:19" x14ac:dyDescent="0.35">
      <c r="A1187" s="5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6"/>
      <c r="P1187" s="23" t="e">
        <f>TRIM(Tabla1[[#This Row],[Articulo]])</f>
        <v>#VALUE!</v>
      </c>
      <c r="Q1187" s="23" t="e">
        <f>_xlfn.XLOOKUP(Tabla1[[#This Row],[Ean Normalizado]],Consumos!A:A,Consumos!E:E)</f>
        <v>#VALUE!</v>
      </c>
      <c r="R1187" s="22" t="e">
        <f>_xlfn.XLOOKUP(Tabla1[[#This Row],[Ean Normalizado]],tabla_consumos[EAN],tabla_consumos[UM])</f>
        <v>#VALUE!</v>
      </c>
      <c r="S1187" s="22" t="e">
        <f>Tabla1[[#This Row],[StockDisp]]*Tabla1[[#This Row],[UM producto]]</f>
        <v>#VALUE!</v>
      </c>
    </row>
    <row r="1188" spans="1:19" x14ac:dyDescent="0.35">
      <c r="A1188" s="5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6"/>
      <c r="P1188" s="23" t="e">
        <f>TRIM(Tabla1[[#This Row],[Articulo]])</f>
        <v>#VALUE!</v>
      </c>
      <c r="Q1188" s="23" t="e">
        <f>_xlfn.XLOOKUP(Tabla1[[#This Row],[Ean Normalizado]],Consumos!A:A,Consumos!E:E)</f>
        <v>#VALUE!</v>
      </c>
      <c r="R1188" s="22" t="e">
        <f>_xlfn.XLOOKUP(Tabla1[[#This Row],[Ean Normalizado]],tabla_consumos[EAN],tabla_consumos[UM])</f>
        <v>#VALUE!</v>
      </c>
      <c r="S1188" s="22" t="e">
        <f>Tabla1[[#This Row],[StockDisp]]*Tabla1[[#This Row],[UM producto]]</f>
        <v>#VALUE!</v>
      </c>
    </row>
    <row r="1189" spans="1:19" x14ac:dyDescent="0.35">
      <c r="A1189" s="5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6"/>
      <c r="P1189" s="23" t="e">
        <f>TRIM(Tabla1[[#This Row],[Articulo]])</f>
        <v>#VALUE!</v>
      </c>
      <c r="Q1189" s="23" t="e">
        <f>_xlfn.XLOOKUP(Tabla1[[#This Row],[Ean Normalizado]],Consumos!A:A,Consumos!E:E)</f>
        <v>#VALUE!</v>
      </c>
      <c r="R1189" s="22" t="e">
        <f>_xlfn.XLOOKUP(Tabla1[[#This Row],[Ean Normalizado]],tabla_consumos[EAN],tabla_consumos[UM])</f>
        <v>#VALUE!</v>
      </c>
      <c r="S1189" s="22" t="e">
        <f>Tabla1[[#This Row],[StockDisp]]*Tabla1[[#This Row],[UM producto]]</f>
        <v>#VALUE!</v>
      </c>
    </row>
    <row r="1190" spans="1:19" x14ac:dyDescent="0.35">
      <c r="A1190" s="5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6"/>
      <c r="P1190" s="23" t="e">
        <f>TRIM(Tabla1[[#This Row],[Articulo]])</f>
        <v>#VALUE!</v>
      </c>
      <c r="Q1190" s="23" t="e">
        <f>_xlfn.XLOOKUP(Tabla1[[#This Row],[Ean Normalizado]],Consumos!A:A,Consumos!E:E)</f>
        <v>#VALUE!</v>
      </c>
      <c r="R1190" s="22" t="e">
        <f>_xlfn.XLOOKUP(Tabla1[[#This Row],[Ean Normalizado]],tabla_consumos[EAN],tabla_consumos[UM])</f>
        <v>#VALUE!</v>
      </c>
      <c r="S1190" s="22" t="e">
        <f>Tabla1[[#This Row],[StockDisp]]*Tabla1[[#This Row],[UM producto]]</f>
        <v>#VALUE!</v>
      </c>
    </row>
    <row r="1191" spans="1:19" x14ac:dyDescent="0.35">
      <c r="A1191" s="5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6"/>
      <c r="P1191" s="23" t="e">
        <f>TRIM(Tabla1[[#This Row],[Articulo]])</f>
        <v>#VALUE!</v>
      </c>
      <c r="Q1191" s="23" t="e">
        <f>_xlfn.XLOOKUP(Tabla1[[#This Row],[Ean Normalizado]],Consumos!A:A,Consumos!E:E)</f>
        <v>#VALUE!</v>
      </c>
      <c r="R1191" s="22" t="e">
        <f>_xlfn.XLOOKUP(Tabla1[[#This Row],[Ean Normalizado]],tabla_consumos[EAN],tabla_consumos[UM])</f>
        <v>#VALUE!</v>
      </c>
      <c r="S1191" s="22" t="e">
        <f>Tabla1[[#This Row],[StockDisp]]*Tabla1[[#This Row],[UM producto]]</f>
        <v>#VALUE!</v>
      </c>
    </row>
    <row r="1192" spans="1:19" x14ac:dyDescent="0.35">
      <c r="A1192" s="5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6"/>
      <c r="P1192" s="23" t="e">
        <f>TRIM(Tabla1[[#This Row],[Articulo]])</f>
        <v>#VALUE!</v>
      </c>
      <c r="Q1192" s="23" t="e">
        <f>_xlfn.XLOOKUP(Tabla1[[#This Row],[Ean Normalizado]],Consumos!A:A,Consumos!E:E)</f>
        <v>#VALUE!</v>
      </c>
      <c r="R1192" s="22" t="e">
        <f>_xlfn.XLOOKUP(Tabla1[[#This Row],[Ean Normalizado]],tabla_consumos[EAN],tabla_consumos[UM])</f>
        <v>#VALUE!</v>
      </c>
      <c r="S1192" s="22" t="e">
        <f>Tabla1[[#This Row],[StockDisp]]*Tabla1[[#This Row],[UM producto]]</f>
        <v>#VALUE!</v>
      </c>
    </row>
    <row r="1193" spans="1:19" x14ac:dyDescent="0.35">
      <c r="A1193" s="5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6"/>
      <c r="P1193" s="23" t="e">
        <f>TRIM(Tabla1[[#This Row],[Articulo]])</f>
        <v>#VALUE!</v>
      </c>
      <c r="Q1193" s="23" t="e">
        <f>_xlfn.XLOOKUP(Tabla1[[#This Row],[Ean Normalizado]],Consumos!A:A,Consumos!E:E)</f>
        <v>#VALUE!</v>
      </c>
      <c r="R1193" s="22" t="e">
        <f>_xlfn.XLOOKUP(Tabla1[[#This Row],[Ean Normalizado]],tabla_consumos[EAN],tabla_consumos[UM])</f>
        <v>#VALUE!</v>
      </c>
      <c r="S1193" s="22" t="e">
        <f>Tabla1[[#This Row],[StockDisp]]*Tabla1[[#This Row],[UM producto]]</f>
        <v>#VALUE!</v>
      </c>
    </row>
    <row r="1194" spans="1:19" x14ac:dyDescent="0.35">
      <c r="A1194" s="5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6"/>
      <c r="P1194" s="23" t="e">
        <f>TRIM(Tabla1[[#This Row],[Articulo]])</f>
        <v>#VALUE!</v>
      </c>
      <c r="Q1194" s="23" t="e">
        <f>_xlfn.XLOOKUP(Tabla1[[#This Row],[Ean Normalizado]],Consumos!A:A,Consumos!E:E)</f>
        <v>#VALUE!</v>
      </c>
      <c r="R1194" s="22" t="e">
        <f>_xlfn.XLOOKUP(Tabla1[[#This Row],[Ean Normalizado]],tabla_consumos[EAN],tabla_consumos[UM])</f>
        <v>#VALUE!</v>
      </c>
      <c r="S1194" s="22" t="e">
        <f>Tabla1[[#This Row],[StockDisp]]*Tabla1[[#This Row],[UM producto]]</f>
        <v>#VALUE!</v>
      </c>
    </row>
    <row r="1195" spans="1:19" x14ac:dyDescent="0.35">
      <c r="A1195" s="5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6"/>
      <c r="P1195" s="23" t="e">
        <f>TRIM(Tabla1[[#This Row],[Articulo]])</f>
        <v>#VALUE!</v>
      </c>
      <c r="Q1195" s="23" t="e">
        <f>_xlfn.XLOOKUP(Tabla1[[#This Row],[Ean Normalizado]],Consumos!A:A,Consumos!E:E)</f>
        <v>#VALUE!</v>
      </c>
      <c r="R1195" s="22" t="e">
        <f>_xlfn.XLOOKUP(Tabla1[[#This Row],[Ean Normalizado]],tabla_consumos[EAN],tabla_consumos[UM])</f>
        <v>#VALUE!</v>
      </c>
      <c r="S1195" s="22" t="e">
        <f>Tabla1[[#This Row],[StockDisp]]*Tabla1[[#This Row],[UM producto]]</f>
        <v>#VALUE!</v>
      </c>
    </row>
    <row r="1196" spans="1:19" x14ac:dyDescent="0.35">
      <c r="A1196" s="5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6"/>
      <c r="P1196" s="23" t="e">
        <f>TRIM(Tabla1[[#This Row],[Articulo]])</f>
        <v>#VALUE!</v>
      </c>
      <c r="Q1196" s="23" t="e">
        <f>_xlfn.XLOOKUP(Tabla1[[#This Row],[Ean Normalizado]],Consumos!A:A,Consumos!E:E)</f>
        <v>#VALUE!</v>
      </c>
      <c r="R1196" s="22" t="e">
        <f>_xlfn.XLOOKUP(Tabla1[[#This Row],[Ean Normalizado]],tabla_consumos[EAN],tabla_consumos[UM])</f>
        <v>#VALUE!</v>
      </c>
      <c r="S1196" s="22" t="e">
        <f>Tabla1[[#This Row],[StockDisp]]*Tabla1[[#This Row],[UM producto]]</f>
        <v>#VALUE!</v>
      </c>
    </row>
    <row r="1197" spans="1:19" x14ac:dyDescent="0.35">
      <c r="A1197" s="5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6"/>
      <c r="P1197" s="23" t="e">
        <f>TRIM(Tabla1[[#This Row],[Articulo]])</f>
        <v>#VALUE!</v>
      </c>
      <c r="Q1197" s="23" t="e">
        <f>_xlfn.XLOOKUP(Tabla1[[#This Row],[Ean Normalizado]],Consumos!A:A,Consumos!E:E)</f>
        <v>#VALUE!</v>
      </c>
      <c r="R1197" s="22" t="e">
        <f>_xlfn.XLOOKUP(Tabla1[[#This Row],[Ean Normalizado]],tabla_consumos[EAN],tabla_consumos[UM])</f>
        <v>#VALUE!</v>
      </c>
      <c r="S1197" s="22" t="e">
        <f>Tabla1[[#This Row],[StockDisp]]*Tabla1[[#This Row],[UM producto]]</f>
        <v>#VALUE!</v>
      </c>
    </row>
    <row r="1198" spans="1:19" x14ac:dyDescent="0.35">
      <c r="A1198" s="5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6"/>
      <c r="P1198" s="23" t="e">
        <f>TRIM(Tabla1[[#This Row],[Articulo]])</f>
        <v>#VALUE!</v>
      </c>
      <c r="Q1198" s="23" t="e">
        <f>_xlfn.XLOOKUP(Tabla1[[#This Row],[Ean Normalizado]],Consumos!A:A,Consumos!E:E)</f>
        <v>#VALUE!</v>
      </c>
      <c r="R1198" s="22" t="e">
        <f>_xlfn.XLOOKUP(Tabla1[[#This Row],[Ean Normalizado]],tabla_consumos[EAN],tabla_consumos[UM])</f>
        <v>#VALUE!</v>
      </c>
      <c r="S1198" s="22" t="e">
        <f>Tabla1[[#This Row],[StockDisp]]*Tabla1[[#This Row],[UM producto]]</f>
        <v>#VALUE!</v>
      </c>
    </row>
    <row r="1199" spans="1:19" x14ac:dyDescent="0.35">
      <c r="A1199" s="5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6"/>
      <c r="P1199" s="23" t="e">
        <f>TRIM(Tabla1[[#This Row],[Articulo]])</f>
        <v>#VALUE!</v>
      </c>
      <c r="Q1199" s="23" t="e">
        <f>_xlfn.XLOOKUP(Tabla1[[#This Row],[Ean Normalizado]],Consumos!A:A,Consumos!E:E)</f>
        <v>#VALUE!</v>
      </c>
      <c r="R1199" s="22" t="e">
        <f>_xlfn.XLOOKUP(Tabla1[[#This Row],[Ean Normalizado]],tabla_consumos[EAN],tabla_consumos[UM])</f>
        <v>#VALUE!</v>
      </c>
      <c r="S1199" s="22" t="e">
        <f>Tabla1[[#This Row],[StockDisp]]*Tabla1[[#This Row],[UM producto]]</f>
        <v>#VALUE!</v>
      </c>
    </row>
    <row r="1200" spans="1:19" x14ac:dyDescent="0.35">
      <c r="A1200" s="5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6"/>
      <c r="P1200" s="23" t="e">
        <f>TRIM(Tabla1[[#This Row],[Articulo]])</f>
        <v>#VALUE!</v>
      </c>
      <c r="Q1200" s="23" t="e">
        <f>_xlfn.XLOOKUP(Tabla1[[#This Row],[Ean Normalizado]],Consumos!A:A,Consumos!E:E)</f>
        <v>#VALUE!</v>
      </c>
      <c r="R1200" s="22" t="e">
        <f>_xlfn.XLOOKUP(Tabla1[[#This Row],[Ean Normalizado]],tabla_consumos[EAN],tabla_consumos[UM])</f>
        <v>#VALUE!</v>
      </c>
      <c r="S1200" s="22" t="e">
        <f>Tabla1[[#This Row],[StockDisp]]*Tabla1[[#This Row],[UM producto]]</f>
        <v>#VALUE!</v>
      </c>
    </row>
    <row r="1201" spans="1:19" x14ac:dyDescent="0.35">
      <c r="A1201" s="5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6"/>
      <c r="P1201" s="23" t="e">
        <f>TRIM(Tabla1[[#This Row],[Articulo]])</f>
        <v>#VALUE!</v>
      </c>
      <c r="Q1201" s="23" t="e">
        <f>_xlfn.XLOOKUP(Tabla1[[#This Row],[Ean Normalizado]],Consumos!A:A,Consumos!E:E)</f>
        <v>#VALUE!</v>
      </c>
      <c r="R1201" s="22" t="e">
        <f>_xlfn.XLOOKUP(Tabla1[[#This Row],[Ean Normalizado]],tabla_consumos[EAN],tabla_consumos[UM])</f>
        <v>#VALUE!</v>
      </c>
      <c r="S1201" s="22" t="e">
        <f>Tabla1[[#This Row],[StockDisp]]*Tabla1[[#This Row],[UM producto]]</f>
        <v>#VALUE!</v>
      </c>
    </row>
    <row r="1202" spans="1:19" x14ac:dyDescent="0.35">
      <c r="A1202" s="5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6"/>
      <c r="P1202" s="23" t="e">
        <f>TRIM(Tabla1[[#This Row],[Articulo]])</f>
        <v>#VALUE!</v>
      </c>
      <c r="Q1202" s="23" t="e">
        <f>_xlfn.XLOOKUP(Tabla1[[#This Row],[Ean Normalizado]],Consumos!A:A,Consumos!E:E)</f>
        <v>#VALUE!</v>
      </c>
      <c r="R1202" s="22" t="e">
        <f>_xlfn.XLOOKUP(Tabla1[[#This Row],[Ean Normalizado]],tabla_consumos[EAN],tabla_consumos[UM])</f>
        <v>#VALUE!</v>
      </c>
      <c r="S1202" s="22" t="e">
        <f>Tabla1[[#This Row],[StockDisp]]*Tabla1[[#This Row],[UM producto]]</f>
        <v>#VALUE!</v>
      </c>
    </row>
    <row r="1203" spans="1:19" x14ac:dyDescent="0.35">
      <c r="A1203" s="5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6"/>
      <c r="P1203" s="23" t="e">
        <f>TRIM(Tabla1[[#This Row],[Articulo]])</f>
        <v>#VALUE!</v>
      </c>
      <c r="Q1203" s="23" t="e">
        <f>_xlfn.XLOOKUP(Tabla1[[#This Row],[Ean Normalizado]],Consumos!A:A,Consumos!E:E)</f>
        <v>#VALUE!</v>
      </c>
      <c r="R1203" s="22" t="e">
        <f>_xlfn.XLOOKUP(Tabla1[[#This Row],[Ean Normalizado]],tabla_consumos[EAN],tabla_consumos[UM])</f>
        <v>#VALUE!</v>
      </c>
      <c r="S1203" s="22" t="e">
        <f>Tabla1[[#This Row],[StockDisp]]*Tabla1[[#This Row],[UM producto]]</f>
        <v>#VALUE!</v>
      </c>
    </row>
    <row r="1204" spans="1:19" x14ac:dyDescent="0.35">
      <c r="A1204" s="5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6"/>
      <c r="P1204" s="23" t="e">
        <f>TRIM(Tabla1[[#This Row],[Articulo]])</f>
        <v>#VALUE!</v>
      </c>
      <c r="Q1204" s="23" t="e">
        <f>_xlfn.XLOOKUP(Tabla1[[#This Row],[Ean Normalizado]],Consumos!A:A,Consumos!E:E)</f>
        <v>#VALUE!</v>
      </c>
      <c r="R1204" s="22" t="e">
        <f>_xlfn.XLOOKUP(Tabla1[[#This Row],[Ean Normalizado]],tabla_consumos[EAN],tabla_consumos[UM])</f>
        <v>#VALUE!</v>
      </c>
      <c r="S1204" s="22" t="e">
        <f>Tabla1[[#This Row],[StockDisp]]*Tabla1[[#This Row],[UM producto]]</f>
        <v>#VALUE!</v>
      </c>
    </row>
    <row r="1205" spans="1:19" x14ac:dyDescent="0.35">
      <c r="A1205" s="5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6"/>
      <c r="P1205" s="23" t="e">
        <f>TRIM(Tabla1[[#This Row],[Articulo]])</f>
        <v>#VALUE!</v>
      </c>
      <c r="Q1205" s="23" t="e">
        <f>_xlfn.XLOOKUP(Tabla1[[#This Row],[Ean Normalizado]],Consumos!A:A,Consumos!E:E)</f>
        <v>#VALUE!</v>
      </c>
      <c r="R1205" s="22" t="e">
        <f>_xlfn.XLOOKUP(Tabla1[[#This Row],[Ean Normalizado]],tabla_consumos[EAN],tabla_consumos[UM])</f>
        <v>#VALUE!</v>
      </c>
      <c r="S1205" s="22" t="e">
        <f>Tabla1[[#This Row],[StockDisp]]*Tabla1[[#This Row],[UM producto]]</f>
        <v>#VALUE!</v>
      </c>
    </row>
    <row r="1206" spans="1:19" x14ac:dyDescent="0.35">
      <c r="A1206" s="5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6"/>
      <c r="P1206" s="23" t="e">
        <f>TRIM(Tabla1[[#This Row],[Articulo]])</f>
        <v>#VALUE!</v>
      </c>
      <c r="Q1206" s="23" t="e">
        <f>_xlfn.XLOOKUP(Tabla1[[#This Row],[Ean Normalizado]],Consumos!A:A,Consumos!E:E)</f>
        <v>#VALUE!</v>
      </c>
      <c r="R1206" s="22" t="e">
        <f>_xlfn.XLOOKUP(Tabla1[[#This Row],[Ean Normalizado]],tabla_consumos[EAN],tabla_consumos[UM])</f>
        <v>#VALUE!</v>
      </c>
      <c r="S1206" s="22" t="e">
        <f>Tabla1[[#This Row],[StockDisp]]*Tabla1[[#This Row],[UM producto]]</f>
        <v>#VALUE!</v>
      </c>
    </row>
    <row r="1207" spans="1:19" x14ac:dyDescent="0.35">
      <c r="A1207" s="5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6"/>
      <c r="P1207" s="23" t="e">
        <f>TRIM(Tabla1[[#This Row],[Articulo]])</f>
        <v>#VALUE!</v>
      </c>
      <c r="Q1207" s="23" t="e">
        <f>_xlfn.XLOOKUP(Tabla1[[#This Row],[Ean Normalizado]],Consumos!A:A,Consumos!E:E)</f>
        <v>#VALUE!</v>
      </c>
      <c r="R1207" s="22" t="e">
        <f>_xlfn.XLOOKUP(Tabla1[[#This Row],[Ean Normalizado]],tabla_consumos[EAN],tabla_consumos[UM])</f>
        <v>#VALUE!</v>
      </c>
      <c r="S1207" s="22" t="e">
        <f>Tabla1[[#This Row],[StockDisp]]*Tabla1[[#This Row],[UM producto]]</f>
        <v>#VALUE!</v>
      </c>
    </row>
    <row r="1208" spans="1:19" x14ac:dyDescent="0.35">
      <c r="A1208" s="5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6"/>
      <c r="P1208" s="23" t="e">
        <f>TRIM(Tabla1[[#This Row],[Articulo]])</f>
        <v>#VALUE!</v>
      </c>
      <c r="Q1208" s="23" t="e">
        <f>_xlfn.XLOOKUP(Tabla1[[#This Row],[Ean Normalizado]],Consumos!A:A,Consumos!E:E)</f>
        <v>#VALUE!</v>
      </c>
      <c r="R1208" s="22" t="e">
        <f>_xlfn.XLOOKUP(Tabla1[[#This Row],[Ean Normalizado]],tabla_consumos[EAN],tabla_consumos[UM])</f>
        <v>#VALUE!</v>
      </c>
      <c r="S1208" s="22" t="e">
        <f>Tabla1[[#This Row],[StockDisp]]*Tabla1[[#This Row],[UM producto]]</f>
        <v>#VALUE!</v>
      </c>
    </row>
    <row r="1209" spans="1:19" x14ac:dyDescent="0.35">
      <c r="A1209" s="5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6"/>
      <c r="P1209" s="23" t="e">
        <f>TRIM(Tabla1[[#This Row],[Articulo]])</f>
        <v>#VALUE!</v>
      </c>
      <c r="Q1209" s="23" t="e">
        <f>_xlfn.XLOOKUP(Tabla1[[#This Row],[Ean Normalizado]],Consumos!A:A,Consumos!E:E)</f>
        <v>#VALUE!</v>
      </c>
      <c r="R1209" s="22" t="e">
        <f>_xlfn.XLOOKUP(Tabla1[[#This Row],[Ean Normalizado]],tabla_consumos[EAN],tabla_consumos[UM])</f>
        <v>#VALUE!</v>
      </c>
      <c r="S1209" s="22" t="e">
        <f>Tabla1[[#This Row],[StockDisp]]*Tabla1[[#This Row],[UM producto]]</f>
        <v>#VALUE!</v>
      </c>
    </row>
    <row r="1210" spans="1:19" x14ac:dyDescent="0.35">
      <c r="A1210" s="5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6"/>
      <c r="P1210" s="23" t="e">
        <f>TRIM(Tabla1[[#This Row],[Articulo]])</f>
        <v>#VALUE!</v>
      </c>
      <c r="Q1210" s="23" t="e">
        <f>_xlfn.XLOOKUP(Tabla1[[#This Row],[Ean Normalizado]],Consumos!A:A,Consumos!E:E)</f>
        <v>#VALUE!</v>
      </c>
      <c r="R1210" s="22" t="e">
        <f>_xlfn.XLOOKUP(Tabla1[[#This Row],[Ean Normalizado]],tabla_consumos[EAN],tabla_consumos[UM])</f>
        <v>#VALUE!</v>
      </c>
      <c r="S1210" s="22" t="e">
        <f>Tabla1[[#This Row],[StockDisp]]*Tabla1[[#This Row],[UM producto]]</f>
        <v>#VALUE!</v>
      </c>
    </row>
    <row r="1211" spans="1:19" x14ac:dyDescent="0.35">
      <c r="A1211" s="5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6"/>
      <c r="P1211" s="23" t="e">
        <f>TRIM(Tabla1[[#This Row],[Articulo]])</f>
        <v>#VALUE!</v>
      </c>
      <c r="Q1211" s="23" t="e">
        <f>_xlfn.XLOOKUP(Tabla1[[#This Row],[Ean Normalizado]],Consumos!A:A,Consumos!E:E)</f>
        <v>#VALUE!</v>
      </c>
      <c r="R1211" s="22" t="e">
        <f>_xlfn.XLOOKUP(Tabla1[[#This Row],[Ean Normalizado]],tabla_consumos[EAN],tabla_consumos[UM])</f>
        <v>#VALUE!</v>
      </c>
      <c r="S1211" s="22" t="e">
        <f>Tabla1[[#This Row],[StockDisp]]*Tabla1[[#This Row],[UM producto]]</f>
        <v>#VALUE!</v>
      </c>
    </row>
    <row r="1212" spans="1:19" x14ac:dyDescent="0.35">
      <c r="A1212" s="5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6"/>
      <c r="P1212" s="23" t="e">
        <f>TRIM(Tabla1[[#This Row],[Articulo]])</f>
        <v>#VALUE!</v>
      </c>
      <c r="Q1212" s="23" t="e">
        <f>_xlfn.XLOOKUP(Tabla1[[#This Row],[Ean Normalizado]],Consumos!A:A,Consumos!E:E)</f>
        <v>#VALUE!</v>
      </c>
      <c r="R1212" s="22" t="e">
        <f>_xlfn.XLOOKUP(Tabla1[[#This Row],[Ean Normalizado]],tabla_consumos[EAN],tabla_consumos[UM])</f>
        <v>#VALUE!</v>
      </c>
      <c r="S1212" s="22" t="e">
        <f>Tabla1[[#This Row],[StockDisp]]*Tabla1[[#This Row],[UM producto]]</f>
        <v>#VALUE!</v>
      </c>
    </row>
    <row r="1213" spans="1:19" x14ac:dyDescent="0.35">
      <c r="A1213" s="5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6"/>
      <c r="P1213" s="23" t="e">
        <f>TRIM(Tabla1[[#This Row],[Articulo]])</f>
        <v>#VALUE!</v>
      </c>
      <c r="Q1213" s="23" t="e">
        <f>_xlfn.XLOOKUP(Tabla1[[#This Row],[Ean Normalizado]],Consumos!A:A,Consumos!E:E)</f>
        <v>#VALUE!</v>
      </c>
      <c r="R1213" s="22" t="e">
        <f>_xlfn.XLOOKUP(Tabla1[[#This Row],[Ean Normalizado]],tabla_consumos[EAN],tabla_consumos[UM])</f>
        <v>#VALUE!</v>
      </c>
      <c r="S1213" s="22" t="e">
        <f>Tabla1[[#This Row],[StockDisp]]*Tabla1[[#This Row],[UM producto]]</f>
        <v>#VALUE!</v>
      </c>
    </row>
    <row r="1214" spans="1:19" x14ac:dyDescent="0.35">
      <c r="A1214" s="5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6"/>
      <c r="P1214" s="23" t="e">
        <f>TRIM(Tabla1[[#This Row],[Articulo]])</f>
        <v>#VALUE!</v>
      </c>
      <c r="Q1214" s="23" t="e">
        <f>_xlfn.XLOOKUP(Tabla1[[#This Row],[Ean Normalizado]],Consumos!A:A,Consumos!E:E)</f>
        <v>#VALUE!</v>
      </c>
      <c r="R1214" s="22" t="e">
        <f>_xlfn.XLOOKUP(Tabla1[[#This Row],[Ean Normalizado]],tabla_consumos[EAN],tabla_consumos[UM])</f>
        <v>#VALUE!</v>
      </c>
      <c r="S1214" s="22" t="e">
        <f>Tabla1[[#This Row],[StockDisp]]*Tabla1[[#This Row],[UM producto]]</f>
        <v>#VALUE!</v>
      </c>
    </row>
    <row r="1215" spans="1:19" x14ac:dyDescent="0.35">
      <c r="A1215" s="5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6"/>
      <c r="P1215" s="23" t="e">
        <f>TRIM(Tabla1[[#This Row],[Articulo]])</f>
        <v>#VALUE!</v>
      </c>
      <c r="Q1215" s="23" t="e">
        <f>_xlfn.XLOOKUP(Tabla1[[#This Row],[Ean Normalizado]],Consumos!A:A,Consumos!E:E)</f>
        <v>#VALUE!</v>
      </c>
      <c r="R1215" s="22" t="e">
        <f>_xlfn.XLOOKUP(Tabla1[[#This Row],[Ean Normalizado]],tabla_consumos[EAN],tabla_consumos[UM])</f>
        <v>#VALUE!</v>
      </c>
      <c r="S1215" s="22" t="e">
        <f>Tabla1[[#This Row],[StockDisp]]*Tabla1[[#This Row],[UM producto]]</f>
        <v>#VALUE!</v>
      </c>
    </row>
    <row r="1216" spans="1:19" x14ac:dyDescent="0.35">
      <c r="A1216" s="5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6"/>
      <c r="P1216" s="23" t="e">
        <f>TRIM(Tabla1[[#This Row],[Articulo]])</f>
        <v>#VALUE!</v>
      </c>
      <c r="Q1216" s="23" t="e">
        <f>_xlfn.XLOOKUP(Tabla1[[#This Row],[Ean Normalizado]],Consumos!A:A,Consumos!E:E)</f>
        <v>#VALUE!</v>
      </c>
      <c r="R1216" s="22" t="e">
        <f>_xlfn.XLOOKUP(Tabla1[[#This Row],[Ean Normalizado]],tabla_consumos[EAN],tabla_consumos[UM])</f>
        <v>#VALUE!</v>
      </c>
      <c r="S1216" s="22" t="e">
        <f>Tabla1[[#This Row],[StockDisp]]*Tabla1[[#This Row],[UM producto]]</f>
        <v>#VALUE!</v>
      </c>
    </row>
    <row r="1217" spans="1:19" x14ac:dyDescent="0.35">
      <c r="A1217" s="5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6"/>
      <c r="P1217" s="23" t="e">
        <f>TRIM(Tabla1[[#This Row],[Articulo]])</f>
        <v>#VALUE!</v>
      </c>
      <c r="Q1217" s="23" t="e">
        <f>_xlfn.XLOOKUP(Tabla1[[#This Row],[Ean Normalizado]],Consumos!A:A,Consumos!E:E)</f>
        <v>#VALUE!</v>
      </c>
      <c r="R1217" s="22" t="e">
        <f>_xlfn.XLOOKUP(Tabla1[[#This Row],[Ean Normalizado]],tabla_consumos[EAN],tabla_consumos[UM])</f>
        <v>#VALUE!</v>
      </c>
      <c r="S1217" s="22" t="e">
        <f>Tabla1[[#This Row],[StockDisp]]*Tabla1[[#This Row],[UM producto]]</f>
        <v>#VALUE!</v>
      </c>
    </row>
    <row r="1218" spans="1:19" x14ac:dyDescent="0.35">
      <c r="A1218" s="5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6"/>
      <c r="P1218" s="23" t="e">
        <f>TRIM(Tabla1[[#This Row],[Articulo]])</f>
        <v>#VALUE!</v>
      </c>
      <c r="Q1218" s="23" t="e">
        <f>_xlfn.XLOOKUP(Tabla1[[#This Row],[Ean Normalizado]],Consumos!A:A,Consumos!E:E)</f>
        <v>#VALUE!</v>
      </c>
      <c r="R1218" s="22" t="e">
        <f>_xlfn.XLOOKUP(Tabla1[[#This Row],[Ean Normalizado]],tabla_consumos[EAN],tabla_consumos[UM])</f>
        <v>#VALUE!</v>
      </c>
      <c r="S1218" s="22" t="e">
        <f>Tabla1[[#This Row],[StockDisp]]*Tabla1[[#This Row],[UM producto]]</f>
        <v>#VALUE!</v>
      </c>
    </row>
    <row r="1219" spans="1:19" x14ac:dyDescent="0.35">
      <c r="A1219" s="5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6"/>
      <c r="P1219" s="23" t="e">
        <f>TRIM(Tabla1[[#This Row],[Articulo]])</f>
        <v>#VALUE!</v>
      </c>
      <c r="Q1219" s="23" t="e">
        <f>_xlfn.XLOOKUP(Tabla1[[#This Row],[Ean Normalizado]],Consumos!A:A,Consumos!E:E)</f>
        <v>#VALUE!</v>
      </c>
      <c r="R1219" s="22" t="e">
        <f>_xlfn.XLOOKUP(Tabla1[[#This Row],[Ean Normalizado]],tabla_consumos[EAN],tabla_consumos[UM])</f>
        <v>#VALUE!</v>
      </c>
      <c r="S1219" s="22" t="e">
        <f>Tabla1[[#This Row],[StockDisp]]*Tabla1[[#This Row],[UM producto]]</f>
        <v>#VALUE!</v>
      </c>
    </row>
    <row r="1220" spans="1:19" x14ac:dyDescent="0.35">
      <c r="A1220" s="5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6"/>
      <c r="P1220" s="23" t="e">
        <f>TRIM(Tabla1[[#This Row],[Articulo]])</f>
        <v>#VALUE!</v>
      </c>
      <c r="Q1220" s="23" t="e">
        <f>_xlfn.XLOOKUP(Tabla1[[#This Row],[Ean Normalizado]],Consumos!A:A,Consumos!E:E)</f>
        <v>#VALUE!</v>
      </c>
      <c r="R1220" s="22" t="e">
        <f>_xlfn.XLOOKUP(Tabla1[[#This Row],[Ean Normalizado]],tabla_consumos[EAN],tabla_consumos[UM])</f>
        <v>#VALUE!</v>
      </c>
      <c r="S1220" s="22" t="e">
        <f>Tabla1[[#This Row],[StockDisp]]*Tabla1[[#This Row],[UM producto]]</f>
        <v>#VALUE!</v>
      </c>
    </row>
    <row r="1221" spans="1:19" x14ac:dyDescent="0.35">
      <c r="A1221" s="5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6"/>
      <c r="P1221" s="23" t="e">
        <f>TRIM(Tabla1[[#This Row],[Articulo]])</f>
        <v>#VALUE!</v>
      </c>
      <c r="Q1221" s="23" t="e">
        <f>_xlfn.XLOOKUP(Tabla1[[#This Row],[Ean Normalizado]],Consumos!A:A,Consumos!E:E)</f>
        <v>#VALUE!</v>
      </c>
      <c r="R1221" s="22" t="e">
        <f>_xlfn.XLOOKUP(Tabla1[[#This Row],[Ean Normalizado]],tabla_consumos[EAN],tabla_consumos[UM])</f>
        <v>#VALUE!</v>
      </c>
      <c r="S1221" s="22" t="e">
        <f>Tabla1[[#This Row],[StockDisp]]*Tabla1[[#This Row],[UM producto]]</f>
        <v>#VALUE!</v>
      </c>
    </row>
    <row r="1222" spans="1:19" x14ac:dyDescent="0.35">
      <c r="A1222" s="5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6"/>
      <c r="P1222" s="23" t="e">
        <f>TRIM(Tabla1[[#This Row],[Articulo]])</f>
        <v>#VALUE!</v>
      </c>
      <c r="Q1222" s="23" t="e">
        <f>_xlfn.XLOOKUP(Tabla1[[#This Row],[Ean Normalizado]],Consumos!A:A,Consumos!E:E)</f>
        <v>#VALUE!</v>
      </c>
      <c r="R1222" s="22" t="e">
        <f>_xlfn.XLOOKUP(Tabla1[[#This Row],[Ean Normalizado]],tabla_consumos[EAN],tabla_consumos[UM])</f>
        <v>#VALUE!</v>
      </c>
      <c r="S1222" s="22" t="e">
        <f>Tabla1[[#This Row],[StockDisp]]*Tabla1[[#This Row],[UM producto]]</f>
        <v>#VALUE!</v>
      </c>
    </row>
    <row r="1223" spans="1:19" x14ac:dyDescent="0.35">
      <c r="A1223" s="5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6"/>
      <c r="P1223" s="23" t="e">
        <f>TRIM(Tabla1[[#This Row],[Articulo]])</f>
        <v>#VALUE!</v>
      </c>
      <c r="Q1223" s="23" t="e">
        <f>_xlfn.XLOOKUP(Tabla1[[#This Row],[Ean Normalizado]],Consumos!A:A,Consumos!E:E)</f>
        <v>#VALUE!</v>
      </c>
      <c r="R1223" s="22" t="e">
        <f>_xlfn.XLOOKUP(Tabla1[[#This Row],[Ean Normalizado]],tabla_consumos[EAN],tabla_consumos[UM])</f>
        <v>#VALUE!</v>
      </c>
      <c r="S1223" s="22" t="e">
        <f>Tabla1[[#This Row],[StockDisp]]*Tabla1[[#This Row],[UM producto]]</f>
        <v>#VALUE!</v>
      </c>
    </row>
    <row r="1224" spans="1:19" x14ac:dyDescent="0.35">
      <c r="A1224" s="5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6"/>
      <c r="P1224" s="23" t="e">
        <f>TRIM(Tabla1[[#This Row],[Articulo]])</f>
        <v>#VALUE!</v>
      </c>
      <c r="Q1224" s="23" t="e">
        <f>_xlfn.XLOOKUP(Tabla1[[#This Row],[Ean Normalizado]],Consumos!A:A,Consumos!E:E)</f>
        <v>#VALUE!</v>
      </c>
      <c r="R1224" s="22" t="e">
        <f>_xlfn.XLOOKUP(Tabla1[[#This Row],[Ean Normalizado]],tabla_consumos[EAN],tabla_consumos[UM])</f>
        <v>#VALUE!</v>
      </c>
      <c r="S1224" s="22" t="e">
        <f>Tabla1[[#This Row],[StockDisp]]*Tabla1[[#This Row],[UM producto]]</f>
        <v>#VALUE!</v>
      </c>
    </row>
    <row r="1225" spans="1:19" x14ac:dyDescent="0.35">
      <c r="A1225" s="5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6"/>
      <c r="P1225" s="23" t="e">
        <f>TRIM(Tabla1[[#This Row],[Articulo]])</f>
        <v>#VALUE!</v>
      </c>
      <c r="Q1225" s="23" t="e">
        <f>_xlfn.XLOOKUP(Tabla1[[#This Row],[Ean Normalizado]],Consumos!A:A,Consumos!E:E)</f>
        <v>#VALUE!</v>
      </c>
      <c r="R1225" s="22" t="e">
        <f>_xlfn.XLOOKUP(Tabla1[[#This Row],[Ean Normalizado]],tabla_consumos[EAN],tabla_consumos[UM])</f>
        <v>#VALUE!</v>
      </c>
      <c r="S1225" s="22" t="e">
        <f>Tabla1[[#This Row],[StockDisp]]*Tabla1[[#This Row],[UM producto]]</f>
        <v>#VALUE!</v>
      </c>
    </row>
    <row r="1226" spans="1:19" x14ac:dyDescent="0.35">
      <c r="A1226" s="5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6"/>
      <c r="P1226" s="23" t="e">
        <f>TRIM(Tabla1[[#This Row],[Articulo]])</f>
        <v>#VALUE!</v>
      </c>
      <c r="Q1226" s="23" t="e">
        <f>_xlfn.XLOOKUP(Tabla1[[#This Row],[Ean Normalizado]],Consumos!A:A,Consumos!E:E)</f>
        <v>#VALUE!</v>
      </c>
      <c r="R1226" s="22" t="e">
        <f>_xlfn.XLOOKUP(Tabla1[[#This Row],[Ean Normalizado]],tabla_consumos[EAN],tabla_consumos[UM])</f>
        <v>#VALUE!</v>
      </c>
      <c r="S1226" s="22" t="e">
        <f>Tabla1[[#This Row],[StockDisp]]*Tabla1[[#This Row],[UM producto]]</f>
        <v>#VALUE!</v>
      </c>
    </row>
    <row r="1227" spans="1:19" x14ac:dyDescent="0.35">
      <c r="A1227" s="5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6"/>
      <c r="P1227" s="23" t="e">
        <f>TRIM(Tabla1[[#This Row],[Articulo]])</f>
        <v>#VALUE!</v>
      </c>
      <c r="Q1227" s="23" t="e">
        <f>_xlfn.XLOOKUP(Tabla1[[#This Row],[Ean Normalizado]],Consumos!A:A,Consumos!E:E)</f>
        <v>#VALUE!</v>
      </c>
      <c r="R1227" s="22" t="e">
        <f>_xlfn.XLOOKUP(Tabla1[[#This Row],[Ean Normalizado]],tabla_consumos[EAN],tabla_consumos[UM])</f>
        <v>#VALUE!</v>
      </c>
      <c r="S1227" s="22" t="e">
        <f>Tabla1[[#This Row],[StockDisp]]*Tabla1[[#This Row],[UM producto]]</f>
        <v>#VALUE!</v>
      </c>
    </row>
    <row r="1228" spans="1:19" x14ac:dyDescent="0.35">
      <c r="A1228" s="5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6"/>
      <c r="P1228" s="23" t="e">
        <f>TRIM(Tabla1[[#This Row],[Articulo]])</f>
        <v>#VALUE!</v>
      </c>
      <c r="Q1228" s="23" t="e">
        <f>_xlfn.XLOOKUP(Tabla1[[#This Row],[Ean Normalizado]],Consumos!A:A,Consumos!E:E)</f>
        <v>#VALUE!</v>
      </c>
      <c r="R1228" s="22" t="e">
        <f>_xlfn.XLOOKUP(Tabla1[[#This Row],[Ean Normalizado]],tabla_consumos[EAN],tabla_consumos[UM])</f>
        <v>#VALUE!</v>
      </c>
      <c r="S1228" s="22" t="e">
        <f>Tabla1[[#This Row],[StockDisp]]*Tabla1[[#This Row],[UM producto]]</f>
        <v>#VALUE!</v>
      </c>
    </row>
    <row r="1229" spans="1:19" x14ac:dyDescent="0.35">
      <c r="A1229" s="5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6"/>
      <c r="P1229" s="23" t="e">
        <f>TRIM(Tabla1[[#This Row],[Articulo]])</f>
        <v>#VALUE!</v>
      </c>
      <c r="Q1229" s="23" t="e">
        <f>_xlfn.XLOOKUP(Tabla1[[#This Row],[Ean Normalizado]],Consumos!A:A,Consumos!E:E)</f>
        <v>#VALUE!</v>
      </c>
      <c r="R1229" s="22" t="e">
        <f>_xlfn.XLOOKUP(Tabla1[[#This Row],[Ean Normalizado]],tabla_consumos[EAN],tabla_consumos[UM])</f>
        <v>#VALUE!</v>
      </c>
      <c r="S1229" s="22" t="e">
        <f>Tabla1[[#This Row],[StockDisp]]*Tabla1[[#This Row],[UM producto]]</f>
        <v>#VALUE!</v>
      </c>
    </row>
    <row r="1230" spans="1:19" x14ac:dyDescent="0.35">
      <c r="A1230" s="5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6"/>
      <c r="P1230" s="23" t="e">
        <f>TRIM(Tabla1[[#This Row],[Articulo]])</f>
        <v>#VALUE!</v>
      </c>
      <c r="Q1230" s="23" t="e">
        <f>_xlfn.XLOOKUP(Tabla1[[#This Row],[Ean Normalizado]],Consumos!A:A,Consumos!E:E)</f>
        <v>#VALUE!</v>
      </c>
      <c r="R1230" s="22" t="e">
        <f>_xlfn.XLOOKUP(Tabla1[[#This Row],[Ean Normalizado]],tabla_consumos[EAN],tabla_consumos[UM])</f>
        <v>#VALUE!</v>
      </c>
      <c r="S1230" s="22" t="e">
        <f>Tabla1[[#This Row],[StockDisp]]*Tabla1[[#This Row],[UM producto]]</f>
        <v>#VALUE!</v>
      </c>
    </row>
    <row r="1231" spans="1:19" x14ac:dyDescent="0.35">
      <c r="A1231" s="5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6"/>
      <c r="P1231" s="23" t="e">
        <f>TRIM(Tabla1[[#This Row],[Articulo]])</f>
        <v>#VALUE!</v>
      </c>
      <c r="Q1231" s="23" t="e">
        <f>_xlfn.XLOOKUP(Tabla1[[#This Row],[Ean Normalizado]],Consumos!A:A,Consumos!E:E)</f>
        <v>#VALUE!</v>
      </c>
      <c r="R1231" s="22" t="e">
        <f>_xlfn.XLOOKUP(Tabla1[[#This Row],[Ean Normalizado]],tabla_consumos[EAN],tabla_consumos[UM])</f>
        <v>#VALUE!</v>
      </c>
      <c r="S1231" s="22" t="e">
        <f>Tabla1[[#This Row],[StockDisp]]*Tabla1[[#This Row],[UM producto]]</f>
        <v>#VALUE!</v>
      </c>
    </row>
    <row r="1232" spans="1:19" x14ac:dyDescent="0.35">
      <c r="A1232" s="5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6"/>
      <c r="P1232" s="23" t="e">
        <f>TRIM(Tabla1[[#This Row],[Articulo]])</f>
        <v>#VALUE!</v>
      </c>
      <c r="Q1232" s="23" t="e">
        <f>_xlfn.XLOOKUP(Tabla1[[#This Row],[Ean Normalizado]],Consumos!A:A,Consumos!E:E)</f>
        <v>#VALUE!</v>
      </c>
      <c r="R1232" s="22" t="e">
        <f>_xlfn.XLOOKUP(Tabla1[[#This Row],[Ean Normalizado]],tabla_consumos[EAN],tabla_consumos[UM])</f>
        <v>#VALUE!</v>
      </c>
      <c r="S1232" s="22" t="e">
        <f>Tabla1[[#This Row],[StockDisp]]*Tabla1[[#This Row],[UM producto]]</f>
        <v>#VALUE!</v>
      </c>
    </row>
    <row r="1233" spans="1:19" x14ac:dyDescent="0.35">
      <c r="A1233" s="5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6"/>
      <c r="P1233" s="23" t="e">
        <f>TRIM(Tabla1[[#This Row],[Articulo]])</f>
        <v>#VALUE!</v>
      </c>
      <c r="Q1233" s="23" t="e">
        <f>_xlfn.XLOOKUP(Tabla1[[#This Row],[Ean Normalizado]],Consumos!A:A,Consumos!E:E)</f>
        <v>#VALUE!</v>
      </c>
      <c r="R1233" s="22" t="e">
        <f>_xlfn.XLOOKUP(Tabla1[[#This Row],[Ean Normalizado]],tabla_consumos[EAN],tabla_consumos[UM])</f>
        <v>#VALUE!</v>
      </c>
      <c r="S1233" s="22" t="e">
        <f>Tabla1[[#This Row],[StockDisp]]*Tabla1[[#This Row],[UM producto]]</f>
        <v>#VALUE!</v>
      </c>
    </row>
    <row r="1234" spans="1:19" x14ac:dyDescent="0.35">
      <c r="A1234" s="5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6"/>
      <c r="P1234" s="23" t="e">
        <f>TRIM(Tabla1[[#This Row],[Articulo]])</f>
        <v>#VALUE!</v>
      </c>
      <c r="Q1234" s="23" t="e">
        <f>_xlfn.XLOOKUP(Tabla1[[#This Row],[Ean Normalizado]],Consumos!A:A,Consumos!E:E)</f>
        <v>#VALUE!</v>
      </c>
      <c r="R1234" s="22" t="e">
        <f>_xlfn.XLOOKUP(Tabla1[[#This Row],[Ean Normalizado]],tabla_consumos[EAN],tabla_consumos[UM])</f>
        <v>#VALUE!</v>
      </c>
      <c r="S1234" s="22" t="e">
        <f>Tabla1[[#This Row],[StockDisp]]*Tabla1[[#This Row],[UM producto]]</f>
        <v>#VALUE!</v>
      </c>
    </row>
    <row r="1235" spans="1:19" x14ac:dyDescent="0.35">
      <c r="A1235" s="5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6"/>
      <c r="P1235" s="23" t="e">
        <f>TRIM(Tabla1[[#This Row],[Articulo]])</f>
        <v>#VALUE!</v>
      </c>
      <c r="Q1235" s="23" t="e">
        <f>_xlfn.XLOOKUP(Tabla1[[#This Row],[Ean Normalizado]],Consumos!A:A,Consumos!E:E)</f>
        <v>#VALUE!</v>
      </c>
      <c r="R1235" s="22" t="e">
        <f>_xlfn.XLOOKUP(Tabla1[[#This Row],[Ean Normalizado]],tabla_consumos[EAN],tabla_consumos[UM])</f>
        <v>#VALUE!</v>
      </c>
      <c r="S1235" s="22" t="e">
        <f>Tabla1[[#This Row],[StockDisp]]*Tabla1[[#This Row],[UM producto]]</f>
        <v>#VALUE!</v>
      </c>
    </row>
    <row r="1236" spans="1:19" x14ac:dyDescent="0.35">
      <c r="A1236" s="5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6"/>
      <c r="P1236" s="23" t="e">
        <f>TRIM(Tabla1[[#This Row],[Articulo]])</f>
        <v>#VALUE!</v>
      </c>
      <c r="Q1236" s="23" t="e">
        <f>_xlfn.XLOOKUP(Tabla1[[#This Row],[Ean Normalizado]],Consumos!A:A,Consumos!E:E)</f>
        <v>#VALUE!</v>
      </c>
      <c r="R1236" s="22" t="e">
        <f>_xlfn.XLOOKUP(Tabla1[[#This Row],[Ean Normalizado]],tabla_consumos[EAN],tabla_consumos[UM])</f>
        <v>#VALUE!</v>
      </c>
      <c r="S1236" s="22" t="e">
        <f>Tabla1[[#This Row],[StockDisp]]*Tabla1[[#This Row],[UM producto]]</f>
        <v>#VALUE!</v>
      </c>
    </row>
    <row r="1237" spans="1:19" x14ac:dyDescent="0.35">
      <c r="A1237" s="5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6"/>
      <c r="P1237" s="23" t="e">
        <f>TRIM(Tabla1[[#This Row],[Articulo]])</f>
        <v>#VALUE!</v>
      </c>
      <c r="Q1237" s="23" t="e">
        <f>_xlfn.XLOOKUP(Tabla1[[#This Row],[Ean Normalizado]],Consumos!A:A,Consumos!E:E)</f>
        <v>#VALUE!</v>
      </c>
      <c r="R1237" s="22" t="e">
        <f>_xlfn.XLOOKUP(Tabla1[[#This Row],[Ean Normalizado]],tabla_consumos[EAN],tabla_consumos[UM])</f>
        <v>#VALUE!</v>
      </c>
      <c r="S1237" s="22" t="e">
        <f>Tabla1[[#This Row],[StockDisp]]*Tabla1[[#This Row],[UM producto]]</f>
        <v>#VALUE!</v>
      </c>
    </row>
    <row r="1238" spans="1:19" x14ac:dyDescent="0.35">
      <c r="A1238" s="5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6"/>
      <c r="P1238" s="23" t="e">
        <f>TRIM(Tabla1[[#This Row],[Articulo]])</f>
        <v>#VALUE!</v>
      </c>
      <c r="Q1238" s="23" t="e">
        <f>_xlfn.XLOOKUP(Tabla1[[#This Row],[Ean Normalizado]],Consumos!A:A,Consumos!E:E)</f>
        <v>#VALUE!</v>
      </c>
      <c r="R1238" s="22" t="e">
        <f>_xlfn.XLOOKUP(Tabla1[[#This Row],[Ean Normalizado]],tabla_consumos[EAN],tabla_consumos[UM])</f>
        <v>#VALUE!</v>
      </c>
      <c r="S1238" s="22" t="e">
        <f>Tabla1[[#This Row],[StockDisp]]*Tabla1[[#This Row],[UM producto]]</f>
        <v>#VALUE!</v>
      </c>
    </row>
    <row r="1239" spans="1:19" x14ac:dyDescent="0.35">
      <c r="A1239" s="5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6"/>
      <c r="P1239" s="23" t="e">
        <f>TRIM(Tabla1[[#This Row],[Articulo]])</f>
        <v>#VALUE!</v>
      </c>
      <c r="Q1239" s="23" t="e">
        <f>_xlfn.XLOOKUP(Tabla1[[#This Row],[Ean Normalizado]],Consumos!A:A,Consumos!E:E)</f>
        <v>#VALUE!</v>
      </c>
      <c r="R1239" s="22" t="e">
        <f>_xlfn.XLOOKUP(Tabla1[[#This Row],[Ean Normalizado]],tabla_consumos[EAN],tabla_consumos[UM])</f>
        <v>#VALUE!</v>
      </c>
      <c r="S1239" s="22" t="e">
        <f>Tabla1[[#This Row],[StockDisp]]*Tabla1[[#This Row],[UM producto]]</f>
        <v>#VALUE!</v>
      </c>
    </row>
    <row r="1240" spans="1:19" x14ac:dyDescent="0.35">
      <c r="A1240" s="5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6"/>
      <c r="P1240" s="23" t="e">
        <f>TRIM(Tabla1[[#This Row],[Articulo]])</f>
        <v>#VALUE!</v>
      </c>
      <c r="Q1240" s="23" t="e">
        <f>_xlfn.XLOOKUP(Tabla1[[#This Row],[Ean Normalizado]],Consumos!A:A,Consumos!E:E)</f>
        <v>#VALUE!</v>
      </c>
      <c r="R1240" s="22" t="e">
        <f>_xlfn.XLOOKUP(Tabla1[[#This Row],[Ean Normalizado]],tabla_consumos[EAN],tabla_consumos[UM])</f>
        <v>#VALUE!</v>
      </c>
      <c r="S1240" s="22" t="e">
        <f>Tabla1[[#This Row],[StockDisp]]*Tabla1[[#This Row],[UM producto]]</f>
        <v>#VALUE!</v>
      </c>
    </row>
    <row r="1241" spans="1:19" x14ac:dyDescent="0.35">
      <c r="A1241" s="5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6"/>
      <c r="P1241" s="23" t="e">
        <f>TRIM(Tabla1[[#This Row],[Articulo]])</f>
        <v>#VALUE!</v>
      </c>
      <c r="Q1241" s="23" t="e">
        <f>_xlfn.XLOOKUP(Tabla1[[#This Row],[Ean Normalizado]],Consumos!A:A,Consumos!E:E)</f>
        <v>#VALUE!</v>
      </c>
      <c r="R1241" s="22" t="e">
        <f>_xlfn.XLOOKUP(Tabla1[[#This Row],[Ean Normalizado]],tabla_consumos[EAN],tabla_consumos[UM])</f>
        <v>#VALUE!</v>
      </c>
      <c r="S1241" s="22" t="e">
        <f>Tabla1[[#This Row],[StockDisp]]*Tabla1[[#This Row],[UM producto]]</f>
        <v>#VALUE!</v>
      </c>
    </row>
    <row r="1242" spans="1:19" x14ac:dyDescent="0.35">
      <c r="A1242" s="5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6"/>
      <c r="P1242" s="23" t="e">
        <f>TRIM(Tabla1[[#This Row],[Articulo]])</f>
        <v>#VALUE!</v>
      </c>
      <c r="Q1242" s="23" t="e">
        <f>_xlfn.XLOOKUP(Tabla1[[#This Row],[Ean Normalizado]],Consumos!A:A,Consumos!E:E)</f>
        <v>#VALUE!</v>
      </c>
      <c r="R1242" s="22" t="e">
        <f>_xlfn.XLOOKUP(Tabla1[[#This Row],[Ean Normalizado]],tabla_consumos[EAN],tabla_consumos[UM])</f>
        <v>#VALUE!</v>
      </c>
      <c r="S1242" s="22" t="e">
        <f>Tabla1[[#This Row],[StockDisp]]*Tabla1[[#This Row],[UM producto]]</f>
        <v>#VALUE!</v>
      </c>
    </row>
    <row r="1243" spans="1:19" x14ac:dyDescent="0.35">
      <c r="A1243" s="5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6"/>
      <c r="P1243" s="23" t="e">
        <f>TRIM(Tabla1[[#This Row],[Articulo]])</f>
        <v>#VALUE!</v>
      </c>
      <c r="Q1243" s="23" t="e">
        <f>_xlfn.XLOOKUP(Tabla1[[#This Row],[Ean Normalizado]],Consumos!A:A,Consumos!E:E)</f>
        <v>#VALUE!</v>
      </c>
      <c r="R1243" s="22" t="e">
        <f>_xlfn.XLOOKUP(Tabla1[[#This Row],[Ean Normalizado]],tabla_consumos[EAN],tabla_consumos[UM])</f>
        <v>#VALUE!</v>
      </c>
      <c r="S1243" s="22" t="e">
        <f>Tabla1[[#This Row],[StockDisp]]*Tabla1[[#This Row],[UM producto]]</f>
        <v>#VALUE!</v>
      </c>
    </row>
    <row r="1244" spans="1:19" x14ac:dyDescent="0.35">
      <c r="A1244" s="5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6"/>
      <c r="P1244" s="23" t="e">
        <f>TRIM(Tabla1[[#This Row],[Articulo]])</f>
        <v>#VALUE!</v>
      </c>
      <c r="Q1244" s="23" t="e">
        <f>_xlfn.XLOOKUP(Tabla1[[#This Row],[Ean Normalizado]],Consumos!A:A,Consumos!E:E)</f>
        <v>#VALUE!</v>
      </c>
      <c r="R1244" s="22" t="e">
        <f>_xlfn.XLOOKUP(Tabla1[[#This Row],[Ean Normalizado]],tabla_consumos[EAN],tabla_consumos[UM])</f>
        <v>#VALUE!</v>
      </c>
      <c r="S1244" s="22" t="e">
        <f>Tabla1[[#This Row],[StockDisp]]*Tabla1[[#This Row],[UM producto]]</f>
        <v>#VALUE!</v>
      </c>
    </row>
    <row r="1245" spans="1:19" x14ac:dyDescent="0.35">
      <c r="A1245" s="5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6"/>
      <c r="P1245" s="23" t="e">
        <f>TRIM(Tabla1[[#This Row],[Articulo]])</f>
        <v>#VALUE!</v>
      </c>
      <c r="Q1245" s="23" t="e">
        <f>_xlfn.XLOOKUP(Tabla1[[#This Row],[Ean Normalizado]],Consumos!A:A,Consumos!E:E)</f>
        <v>#VALUE!</v>
      </c>
      <c r="R1245" s="22" t="e">
        <f>_xlfn.XLOOKUP(Tabla1[[#This Row],[Ean Normalizado]],tabla_consumos[EAN],tabla_consumos[UM])</f>
        <v>#VALUE!</v>
      </c>
      <c r="S1245" s="22" t="e">
        <f>Tabla1[[#This Row],[StockDisp]]*Tabla1[[#This Row],[UM producto]]</f>
        <v>#VALUE!</v>
      </c>
    </row>
    <row r="1246" spans="1:19" x14ac:dyDescent="0.35">
      <c r="A1246" s="5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6"/>
      <c r="P1246" s="23" t="e">
        <f>TRIM(Tabla1[[#This Row],[Articulo]])</f>
        <v>#VALUE!</v>
      </c>
      <c r="Q1246" s="23" t="e">
        <f>_xlfn.XLOOKUP(Tabla1[[#This Row],[Ean Normalizado]],Consumos!A:A,Consumos!E:E)</f>
        <v>#VALUE!</v>
      </c>
      <c r="R1246" s="22" t="e">
        <f>_xlfn.XLOOKUP(Tabla1[[#This Row],[Ean Normalizado]],tabla_consumos[EAN],tabla_consumos[UM])</f>
        <v>#VALUE!</v>
      </c>
      <c r="S1246" s="22" t="e">
        <f>Tabla1[[#This Row],[StockDisp]]*Tabla1[[#This Row],[UM producto]]</f>
        <v>#VALUE!</v>
      </c>
    </row>
    <row r="1247" spans="1:19" x14ac:dyDescent="0.35">
      <c r="A1247" s="5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6"/>
      <c r="P1247" s="23" t="e">
        <f>TRIM(Tabla1[[#This Row],[Articulo]])</f>
        <v>#VALUE!</v>
      </c>
      <c r="Q1247" s="23" t="e">
        <f>_xlfn.XLOOKUP(Tabla1[[#This Row],[Ean Normalizado]],Consumos!A:A,Consumos!E:E)</f>
        <v>#VALUE!</v>
      </c>
      <c r="R1247" s="22" t="e">
        <f>_xlfn.XLOOKUP(Tabla1[[#This Row],[Ean Normalizado]],tabla_consumos[EAN],tabla_consumos[UM])</f>
        <v>#VALUE!</v>
      </c>
      <c r="S1247" s="22" t="e">
        <f>Tabla1[[#This Row],[StockDisp]]*Tabla1[[#This Row],[UM producto]]</f>
        <v>#VALUE!</v>
      </c>
    </row>
    <row r="1248" spans="1:19" x14ac:dyDescent="0.35">
      <c r="A1248" s="5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6"/>
      <c r="P1248" s="23" t="e">
        <f>TRIM(Tabla1[[#This Row],[Articulo]])</f>
        <v>#VALUE!</v>
      </c>
      <c r="Q1248" s="23" t="e">
        <f>_xlfn.XLOOKUP(Tabla1[[#This Row],[Ean Normalizado]],Consumos!A:A,Consumos!E:E)</f>
        <v>#VALUE!</v>
      </c>
      <c r="R1248" s="22" t="e">
        <f>_xlfn.XLOOKUP(Tabla1[[#This Row],[Ean Normalizado]],tabla_consumos[EAN],tabla_consumos[UM])</f>
        <v>#VALUE!</v>
      </c>
      <c r="S1248" s="22" t="e">
        <f>Tabla1[[#This Row],[StockDisp]]*Tabla1[[#This Row],[UM producto]]</f>
        <v>#VALUE!</v>
      </c>
    </row>
    <row r="1249" spans="1:19" x14ac:dyDescent="0.35">
      <c r="A1249" s="5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6"/>
      <c r="P1249" s="23" t="e">
        <f>TRIM(Tabla1[[#This Row],[Articulo]])</f>
        <v>#VALUE!</v>
      </c>
      <c r="Q1249" s="23" t="e">
        <f>_xlfn.XLOOKUP(Tabla1[[#This Row],[Ean Normalizado]],Consumos!A:A,Consumos!E:E)</f>
        <v>#VALUE!</v>
      </c>
      <c r="R1249" s="22" t="e">
        <f>_xlfn.XLOOKUP(Tabla1[[#This Row],[Ean Normalizado]],tabla_consumos[EAN],tabla_consumos[UM])</f>
        <v>#VALUE!</v>
      </c>
      <c r="S1249" s="22" t="e">
        <f>Tabla1[[#This Row],[StockDisp]]*Tabla1[[#This Row],[UM producto]]</f>
        <v>#VALUE!</v>
      </c>
    </row>
    <row r="1250" spans="1:19" x14ac:dyDescent="0.35">
      <c r="A1250" s="5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6"/>
      <c r="P1250" s="23" t="e">
        <f>TRIM(Tabla1[[#This Row],[Articulo]])</f>
        <v>#VALUE!</v>
      </c>
      <c r="Q1250" s="23" t="e">
        <f>_xlfn.XLOOKUP(Tabla1[[#This Row],[Ean Normalizado]],Consumos!A:A,Consumos!E:E)</f>
        <v>#VALUE!</v>
      </c>
      <c r="R1250" s="22" t="e">
        <f>_xlfn.XLOOKUP(Tabla1[[#This Row],[Ean Normalizado]],tabla_consumos[EAN],tabla_consumos[UM])</f>
        <v>#VALUE!</v>
      </c>
      <c r="S1250" s="22" t="e">
        <f>Tabla1[[#This Row],[StockDisp]]*Tabla1[[#This Row],[UM producto]]</f>
        <v>#VALUE!</v>
      </c>
    </row>
    <row r="1251" spans="1:19" x14ac:dyDescent="0.35">
      <c r="A1251" s="5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6"/>
      <c r="P1251" s="23" t="e">
        <f>TRIM(Tabla1[[#This Row],[Articulo]])</f>
        <v>#VALUE!</v>
      </c>
      <c r="Q1251" s="23" t="e">
        <f>_xlfn.XLOOKUP(Tabla1[[#This Row],[Ean Normalizado]],Consumos!A:A,Consumos!E:E)</f>
        <v>#VALUE!</v>
      </c>
      <c r="R1251" s="22" t="e">
        <f>_xlfn.XLOOKUP(Tabla1[[#This Row],[Ean Normalizado]],tabla_consumos[EAN],tabla_consumos[UM])</f>
        <v>#VALUE!</v>
      </c>
      <c r="S1251" s="22" t="e">
        <f>Tabla1[[#This Row],[StockDisp]]*Tabla1[[#This Row],[UM producto]]</f>
        <v>#VALUE!</v>
      </c>
    </row>
    <row r="1252" spans="1:19" x14ac:dyDescent="0.35">
      <c r="A1252" s="5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6"/>
      <c r="P1252" s="23" t="e">
        <f>TRIM(Tabla1[[#This Row],[Articulo]])</f>
        <v>#VALUE!</v>
      </c>
      <c r="Q1252" s="23" t="e">
        <f>_xlfn.XLOOKUP(Tabla1[[#This Row],[Ean Normalizado]],Consumos!A:A,Consumos!E:E)</f>
        <v>#VALUE!</v>
      </c>
      <c r="R1252" s="22" t="e">
        <f>_xlfn.XLOOKUP(Tabla1[[#This Row],[Ean Normalizado]],tabla_consumos[EAN],tabla_consumos[UM])</f>
        <v>#VALUE!</v>
      </c>
      <c r="S1252" s="22" t="e">
        <f>Tabla1[[#This Row],[StockDisp]]*Tabla1[[#This Row],[UM producto]]</f>
        <v>#VALUE!</v>
      </c>
    </row>
    <row r="1253" spans="1:19" x14ac:dyDescent="0.35">
      <c r="A1253" s="5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6"/>
      <c r="P1253" s="23" t="e">
        <f>TRIM(Tabla1[[#This Row],[Articulo]])</f>
        <v>#VALUE!</v>
      </c>
      <c r="Q1253" s="23" t="e">
        <f>_xlfn.XLOOKUP(Tabla1[[#This Row],[Ean Normalizado]],Consumos!A:A,Consumos!E:E)</f>
        <v>#VALUE!</v>
      </c>
      <c r="R1253" s="22" t="e">
        <f>_xlfn.XLOOKUP(Tabla1[[#This Row],[Ean Normalizado]],tabla_consumos[EAN],tabla_consumos[UM])</f>
        <v>#VALUE!</v>
      </c>
      <c r="S1253" s="22" t="e">
        <f>Tabla1[[#This Row],[StockDisp]]*Tabla1[[#This Row],[UM producto]]</f>
        <v>#VALUE!</v>
      </c>
    </row>
    <row r="1254" spans="1:19" x14ac:dyDescent="0.35">
      <c r="A1254" s="5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6"/>
      <c r="P1254" s="23" t="e">
        <f>TRIM(Tabla1[[#This Row],[Articulo]])</f>
        <v>#VALUE!</v>
      </c>
      <c r="Q1254" s="23" t="e">
        <f>_xlfn.XLOOKUP(Tabla1[[#This Row],[Ean Normalizado]],Consumos!A:A,Consumos!E:E)</f>
        <v>#VALUE!</v>
      </c>
      <c r="R1254" s="22" t="e">
        <f>_xlfn.XLOOKUP(Tabla1[[#This Row],[Ean Normalizado]],tabla_consumos[EAN],tabla_consumos[UM])</f>
        <v>#VALUE!</v>
      </c>
      <c r="S1254" s="22" t="e">
        <f>Tabla1[[#This Row],[StockDisp]]*Tabla1[[#This Row],[UM producto]]</f>
        <v>#VALUE!</v>
      </c>
    </row>
    <row r="1255" spans="1:19" x14ac:dyDescent="0.35">
      <c r="A1255" s="5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6"/>
      <c r="P1255" s="23" t="e">
        <f>TRIM(Tabla1[[#This Row],[Articulo]])</f>
        <v>#VALUE!</v>
      </c>
      <c r="Q1255" s="23" t="e">
        <f>_xlfn.XLOOKUP(Tabla1[[#This Row],[Ean Normalizado]],Consumos!A:A,Consumos!E:E)</f>
        <v>#VALUE!</v>
      </c>
      <c r="R1255" s="22" t="e">
        <f>_xlfn.XLOOKUP(Tabla1[[#This Row],[Ean Normalizado]],tabla_consumos[EAN],tabla_consumos[UM])</f>
        <v>#VALUE!</v>
      </c>
      <c r="S1255" s="22" t="e">
        <f>Tabla1[[#This Row],[StockDisp]]*Tabla1[[#This Row],[UM producto]]</f>
        <v>#VALUE!</v>
      </c>
    </row>
    <row r="1256" spans="1:19" x14ac:dyDescent="0.35">
      <c r="A1256" s="5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6"/>
      <c r="P1256" s="23" t="e">
        <f>TRIM(Tabla1[[#This Row],[Articulo]])</f>
        <v>#VALUE!</v>
      </c>
      <c r="Q1256" s="23" t="e">
        <f>_xlfn.XLOOKUP(Tabla1[[#This Row],[Ean Normalizado]],Consumos!A:A,Consumos!E:E)</f>
        <v>#VALUE!</v>
      </c>
      <c r="R1256" s="22" t="e">
        <f>_xlfn.XLOOKUP(Tabla1[[#This Row],[Ean Normalizado]],tabla_consumos[EAN],tabla_consumos[UM])</f>
        <v>#VALUE!</v>
      </c>
      <c r="S1256" s="22" t="e">
        <f>Tabla1[[#This Row],[StockDisp]]*Tabla1[[#This Row],[UM producto]]</f>
        <v>#VALUE!</v>
      </c>
    </row>
    <row r="1257" spans="1:19" x14ac:dyDescent="0.35">
      <c r="A1257" s="5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6"/>
      <c r="P1257" s="23" t="e">
        <f>TRIM(Tabla1[[#This Row],[Articulo]])</f>
        <v>#VALUE!</v>
      </c>
      <c r="Q1257" s="23" t="e">
        <f>_xlfn.XLOOKUP(Tabla1[[#This Row],[Ean Normalizado]],Consumos!A:A,Consumos!E:E)</f>
        <v>#VALUE!</v>
      </c>
      <c r="R1257" s="22" t="e">
        <f>_xlfn.XLOOKUP(Tabla1[[#This Row],[Ean Normalizado]],tabla_consumos[EAN],tabla_consumos[UM])</f>
        <v>#VALUE!</v>
      </c>
      <c r="S1257" s="22" t="e">
        <f>Tabla1[[#This Row],[StockDisp]]*Tabla1[[#This Row],[UM producto]]</f>
        <v>#VALUE!</v>
      </c>
    </row>
    <row r="1258" spans="1:19" x14ac:dyDescent="0.35">
      <c r="A1258" s="5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6"/>
      <c r="P1258" s="23" t="e">
        <f>TRIM(Tabla1[[#This Row],[Articulo]])</f>
        <v>#VALUE!</v>
      </c>
      <c r="Q1258" s="23" t="e">
        <f>_xlfn.XLOOKUP(Tabla1[[#This Row],[Ean Normalizado]],Consumos!A:A,Consumos!E:E)</f>
        <v>#VALUE!</v>
      </c>
      <c r="R1258" s="22" t="e">
        <f>_xlfn.XLOOKUP(Tabla1[[#This Row],[Ean Normalizado]],tabla_consumos[EAN],tabla_consumos[UM])</f>
        <v>#VALUE!</v>
      </c>
      <c r="S1258" s="22" t="e">
        <f>Tabla1[[#This Row],[StockDisp]]*Tabla1[[#This Row],[UM producto]]</f>
        <v>#VALUE!</v>
      </c>
    </row>
    <row r="1259" spans="1:19" x14ac:dyDescent="0.35">
      <c r="A1259" s="5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6"/>
      <c r="P1259" s="23" t="e">
        <f>TRIM(Tabla1[[#This Row],[Articulo]])</f>
        <v>#VALUE!</v>
      </c>
      <c r="Q1259" s="23" t="e">
        <f>_xlfn.XLOOKUP(Tabla1[[#This Row],[Ean Normalizado]],Consumos!A:A,Consumos!E:E)</f>
        <v>#VALUE!</v>
      </c>
      <c r="R1259" s="22" t="e">
        <f>_xlfn.XLOOKUP(Tabla1[[#This Row],[Ean Normalizado]],tabla_consumos[EAN],tabla_consumos[UM])</f>
        <v>#VALUE!</v>
      </c>
      <c r="S1259" s="22" t="e">
        <f>Tabla1[[#This Row],[StockDisp]]*Tabla1[[#This Row],[UM producto]]</f>
        <v>#VALUE!</v>
      </c>
    </row>
    <row r="1260" spans="1:19" x14ac:dyDescent="0.35">
      <c r="A1260" s="5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6"/>
      <c r="P1260" s="23" t="e">
        <f>TRIM(Tabla1[[#This Row],[Articulo]])</f>
        <v>#VALUE!</v>
      </c>
      <c r="Q1260" s="23" t="e">
        <f>_xlfn.XLOOKUP(Tabla1[[#This Row],[Ean Normalizado]],Consumos!A:A,Consumos!E:E)</f>
        <v>#VALUE!</v>
      </c>
      <c r="R1260" s="22" t="e">
        <f>_xlfn.XLOOKUP(Tabla1[[#This Row],[Ean Normalizado]],tabla_consumos[EAN],tabla_consumos[UM])</f>
        <v>#VALUE!</v>
      </c>
      <c r="S1260" s="22" t="e">
        <f>Tabla1[[#This Row],[StockDisp]]*Tabla1[[#This Row],[UM producto]]</f>
        <v>#VALUE!</v>
      </c>
    </row>
    <row r="1261" spans="1:19" x14ac:dyDescent="0.35">
      <c r="A1261" s="5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6"/>
      <c r="P1261" s="23" t="e">
        <f>TRIM(Tabla1[[#This Row],[Articulo]])</f>
        <v>#VALUE!</v>
      </c>
      <c r="Q1261" s="23" t="e">
        <f>_xlfn.XLOOKUP(Tabla1[[#This Row],[Ean Normalizado]],Consumos!A:A,Consumos!E:E)</f>
        <v>#VALUE!</v>
      </c>
      <c r="R1261" s="22" t="e">
        <f>_xlfn.XLOOKUP(Tabla1[[#This Row],[Ean Normalizado]],tabla_consumos[EAN],tabla_consumos[UM])</f>
        <v>#VALUE!</v>
      </c>
      <c r="S1261" s="22" t="e">
        <f>Tabla1[[#This Row],[StockDisp]]*Tabla1[[#This Row],[UM producto]]</f>
        <v>#VALUE!</v>
      </c>
    </row>
    <row r="1262" spans="1:19" x14ac:dyDescent="0.35">
      <c r="A1262" s="5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6"/>
      <c r="P1262" s="23" t="e">
        <f>TRIM(Tabla1[[#This Row],[Articulo]])</f>
        <v>#VALUE!</v>
      </c>
      <c r="Q1262" s="23" t="e">
        <f>_xlfn.XLOOKUP(Tabla1[[#This Row],[Ean Normalizado]],Consumos!A:A,Consumos!E:E)</f>
        <v>#VALUE!</v>
      </c>
      <c r="R1262" s="22" t="e">
        <f>_xlfn.XLOOKUP(Tabla1[[#This Row],[Ean Normalizado]],tabla_consumos[EAN],tabla_consumos[UM])</f>
        <v>#VALUE!</v>
      </c>
      <c r="S1262" s="22" t="e">
        <f>Tabla1[[#This Row],[StockDisp]]*Tabla1[[#This Row],[UM producto]]</f>
        <v>#VALUE!</v>
      </c>
    </row>
    <row r="1263" spans="1:19" x14ac:dyDescent="0.35">
      <c r="A1263" s="5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6"/>
      <c r="P1263" s="23" t="e">
        <f>TRIM(Tabla1[[#This Row],[Articulo]])</f>
        <v>#VALUE!</v>
      </c>
      <c r="Q1263" s="23" t="e">
        <f>_xlfn.XLOOKUP(Tabla1[[#This Row],[Ean Normalizado]],Consumos!A:A,Consumos!E:E)</f>
        <v>#VALUE!</v>
      </c>
      <c r="R1263" s="22" t="e">
        <f>_xlfn.XLOOKUP(Tabla1[[#This Row],[Ean Normalizado]],tabla_consumos[EAN],tabla_consumos[UM])</f>
        <v>#VALUE!</v>
      </c>
      <c r="S1263" s="22" t="e">
        <f>Tabla1[[#This Row],[StockDisp]]*Tabla1[[#This Row],[UM producto]]</f>
        <v>#VALUE!</v>
      </c>
    </row>
    <row r="1264" spans="1:19" x14ac:dyDescent="0.35">
      <c r="A1264" s="5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6"/>
      <c r="P1264" s="23" t="e">
        <f>TRIM(Tabla1[[#This Row],[Articulo]])</f>
        <v>#VALUE!</v>
      </c>
      <c r="Q1264" s="23" t="e">
        <f>_xlfn.XLOOKUP(Tabla1[[#This Row],[Ean Normalizado]],Consumos!A:A,Consumos!E:E)</f>
        <v>#VALUE!</v>
      </c>
      <c r="R1264" s="22" t="e">
        <f>_xlfn.XLOOKUP(Tabla1[[#This Row],[Ean Normalizado]],tabla_consumos[EAN],tabla_consumos[UM])</f>
        <v>#VALUE!</v>
      </c>
      <c r="S1264" s="22" t="e">
        <f>Tabla1[[#This Row],[StockDisp]]*Tabla1[[#This Row],[UM producto]]</f>
        <v>#VALUE!</v>
      </c>
    </row>
    <row r="1265" spans="1:19" x14ac:dyDescent="0.35">
      <c r="A1265" s="5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6"/>
      <c r="P1265" s="23" t="e">
        <f>TRIM(Tabla1[[#This Row],[Articulo]])</f>
        <v>#VALUE!</v>
      </c>
      <c r="Q1265" s="23" t="e">
        <f>_xlfn.XLOOKUP(Tabla1[[#This Row],[Ean Normalizado]],Consumos!A:A,Consumos!E:E)</f>
        <v>#VALUE!</v>
      </c>
      <c r="R1265" s="22" t="e">
        <f>_xlfn.XLOOKUP(Tabla1[[#This Row],[Ean Normalizado]],tabla_consumos[EAN],tabla_consumos[UM])</f>
        <v>#VALUE!</v>
      </c>
      <c r="S1265" s="22" t="e">
        <f>Tabla1[[#This Row],[StockDisp]]*Tabla1[[#This Row],[UM producto]]</f>
        <v>#VALUE!</v>
      </c>
    </row>
    <row r="1266" spans="1:19" x14ac:dyDescent="0.35">
      <c r="A1266" s="5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6"/>
      <c r="P1266" s="23" t="e">
        <f>TRIM(Tabla1[[#This Row],[Articulo]])</f>
        <v>#VALUE!</v>
      </c>
      <c r="Q1266" s="23" t="e">
        <f>_xlfn.XLOOKUP(Tabla1[[#This Row],[Ean Normalizado]],Consumos!A:A,Consumos!E:E)</f>
        <v>#VALUE!</v>
      </c>
      <c r="R1266" s="22" t="e">
        <f>_xlfn.XLOOKUP(Tabla1[[#This Row],[Ean Normalizado]],tabla_consumos[EAN],tabla_consumos[UM])</f>
        <v>#VALUE!</v>
      </c>
      <c r="S1266" s="22" t="e">
        <f>Tabla1[[#This Row],[StockDisp]]*Tabla1[[#This Row],[UM producto]]</f>
        <v>#VALUE!</v>
      </c>
    </row>
    <row r="1267" spans="1:19" x14ac:dyDescent="0.35">
      <c r="A1267" s="5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6"/>
      <c r="P1267" s="23" t="e">
        <f>TRIM(Tabla1[[#This Row],[Articulo]])</f>
        <v>#VALUE!</v>
      </c>
      <c r="Q1267" s="23" t="e">
        <f>_xlfn.XLOOKUP(Tabla1[[#This Row],[Ean Normalizado]],Consumos!A:A,Consumos!E:E)</f>
        <v>#VALUE!</v>
      </c>
      <c r="R1267" s="22" t="e">
        <f>_xlfn.XLOOKUP(Tabla1[[#This Row],[Ean Normalizado]],tabla_consumos[EAN],tabla_consumos[UM])</f>
        <v>#VALUE!</v>
      </c>
      <c r="S1267" s="22" t="e">
        <f>Tabla1[[#This Row],[StockDisp]]*Tabla1[[#This Row],[UM producto]]</f>
        <v>#VALUE!</v>
      </c>
    </row>
    <row r="1268" spans="1:19" x14ac:dyDescent="0.35">
      <c r="A1268" s="5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6"/>
      <c r="P1268" s="23" t="e">
        <f>TRIM(Tabla1[[#This Row],[Articulo]])</f>
        <v>#VALUE!</v>
      </c>
      <c r="Q1268" s="23" t="e">
        <f>_xlfn.XLOOKUP(Tabla1[[#This Row],[Ean Normalizado]],Consumos!A:A,Consumos!E:E)</f>
        <v>#VALUE!</v>
      </c>
      <c r="R1268" s="22" t="e">
        <f>_xlfn.XLOOKUP(Tabla1[[#This Row],[Ean Normalizado]],tabla_consumos[EAN],tabla_consumos[UM])</f>
        <v>#VALUE!</v>
      </c>
      <c r="S1268" s="22" t="e">
        <f>Tabla1[[#This Row],[StockDisp]]*Tabla1[[#This Row],[UM producto]]</f>
        <v>#VALUE!</v>
      </c>
    </row>
    <row r="1269" spans="1:19" x14ac:dyDescent="0.35">
      <c r="A1269" s="5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6"/>
      <c r="P1269" s="23" t="e">
        <f>TRIM(Tabla1[[#This Row],[Articulo]])</f>
        <v>#VALUE!</v>
      </c>
      <c r="Q1269" s="23" t="e">
        <f>_xlfn.XLOOKUP(Tabla1[[#This Row],[Ean Normalizado]],Consumos!A:A,Consumos!E:E)</f>
        <v>#VALUE!</v>
      </c>
      <c r="R1269" s="22" t="e">
        <f>_xlfn.XLOOKUP(Tabla1[[#This Row],[Ean Normalizado]],tabla_consumos[EAN],tabla_consumos[UM])</f>
        <v>#VALUE!</v>
      </c>
      <c r="S1269" s="22" t="e">
        <f>Tabla1[[#This Row],[StockDisp]]*Tabla1[[#This Row],[UM producto]]</f>
        <v>#VALUE!</v>
      </c>
    </row>
    <row r="1270" spans="1:19" x14ac:dyDescent="0.35">
      <c r="A1270" s="5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6"/>
      <c r="P1270" s="23" t="e">
        <f>TRIM(Tabla1[[#This Row],[Articulo]])</f>
        <v>#VALUE!</v>
      </c>
      <c r="Q1270" s="23" t="e">
        <f>_xlfn.XLOOKUP(Tabla1[[#This Row],[Ean Normalizado]],Consumos!A:A,Consumos!E:E)</f>
        <v>#VALUE!</v>
      </c>
      <c r="R1270" s="22" t="e">
        <f>_xlfn.XLOOKUP(Tabla1[[#This Row],[Ean Normalizado]],tabla_consumos[EAN],tabla_consumos[UM])</f>
        <v>#VALUE!</v>
      </c>
      <c r="S1270" s="22" t="e">
        <f>Tabla1[[#This Row],[StockDisp]]*Tabla1[[#This Row],[UM producto]]</f>
        <v>#VALUE!</v>
      </c>
    </row>
    <row r="1271" spans="1:19" x14ac:dyDescent="0.35">
      <c r="A1271" s="5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6"/>
      <c r="P1271" s="23" t="e">
        <f>TRIM(Tabla1[[#This Row],[Articulo]])</f>
        <v>#VALUE!</v>
      </c>
      <c r="Q1271" s="23" t="e">
        <f>_xlfn.XLOOKUP(Tabla1[[#This Row],[Ean Normalizado]],Consumos!A:A,Consumos!E:E)</f>
        <v>#VALUE!</v>
      </c>
      <c r="R1271" s="22" t="e">
        <f>_xlfn.XLOOKUP(Tabla1[[#This Row],[Ean Normalizado]],tabla_consumos[EAN],tabla_consumos[UM])</f>
        <v>#VALUE!</v>
      </c>
      <c r="S1271" s="22" t="e">
        <f>Tabla1[[#This Row],[StockDisp]]*Tabla1[[#This Row],[UM producto]]</f>
        <v>#VALUE!</v>
      </c>
    </row>
    <row r="1272" spans="1:19" x14ac:dyDescent="0.35">
      <c r="A1272" s="5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6"/>
      <c r="P1272" s="23" t="e">
        <f>TRIM(Tabla1[[#This Row],[Articulo]])</f>
        <v>#VALUE!</v>
      </c>
      <c r="Q1272" s="23" t="e">
        <f>_xlfn.XLOOKUP(Tabla1[[#This Row],[Ean Normalizado]],Consumos!A:A,Consumos!E:E)</f>
        <v>#VALUE!</v>
      </c>
      <c r="R1272" s="22" t="e">
        <f>_xlfn.XLOOKUP(Tabla1[[#This Row],[Ean Normalizado]],tabla_consumos[EAN],tabla_consumos[UM])</f>
        <v>#VALUE!</v>
      </c>
      <c r="S1272" s="22" t="e">
        <f>Tabla1[[#This Row],[StockDisp]]*Tabla1[[#This Row],[UM producto]]</f>
        <v>#VALUE!</v>
      </c>
    </row>
    <row r="1273" spans="1:19" x14ac:dyDescent="0.35">
      <c r="A1273" s="5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6"/>
      <c r="P1273" s="23" t="e">
        <f>TRIM(Tabla1[[#This Row],[Articulo]])</f>
        <v>#VALUE!</v>
      </c>
      <c r="Q1273" s="23" t="e">
        <f>_xlfn.XLOOKUP(Tabla1[[#This Row],[Ean Normalizado]],Consumos!A:A,Consumos!E:E)</f>
        <v>#VALUE!</v>
      </c>
      <c r="R1273" s="22" t="e">
        <f>_xlfn.XLOOKUP(Tabla1[[#This Row],[Ean Normalizado]],tabla_consumos[EAN],tabla_consumos[UM])</f>
        <v>#VALUE!</v>
      </c>
      <c r="S1273" s="22" t="e">
        <f>Tabla1[[#This Row],[StockDisp]]*Tabla1[[#This Row],[UM producto]]</f>
        <v>#VALUE!</v>
      </c>
    </row>
    <row r="1274" spans="1:19" x14ac:dyDescent="0.35">
      <c r="A1274" s="5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6"/>
      <c r="P1274" s="23" t="e">
        <f>TRIM(Tabla1[[#This Row],[Articulo]])</f>
        <v>#VALUE!</v>
      </c>
      <c r="Q1274" s="23" t="e">
        <f>_xlfn.XLOOKUP(Tabla1[[#This Row],[Ean Normalizado]],Consumos!A:A,Consumos!E:E)</f>
        <v>#VALUE!</v>
      </c>
      <c r="R1274" s="22" t="e">
        <f>_xlfn.XLOOKUP(Tabla1[[#This Row],[Ean Normalizado]],tabla_consumos[EAN],tabla_consumos[UM])</f>
        <v>#VALUE!</v>
      </c>
      <c r="S1274" s="22" t="e">
        <f>Tabla1[[#This Row],[StockDisp]]*Tabla1[[#This Row],[UM producto]]</f>
        <v>#VALUE!</v>
      </c>
    </row>
    <row r="1275" spans="1:19" x14ac:dyDescent="0.35">
      <c r="A1275" s="5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6"/>
      <c r="P1275" s="23" t="e">
        <f>TRIM(Tabla1[[#This Row],[Articulo]])</f>
        <v>#VALUE!</v>
      </c>
      <c r="Q1275" s="23" t="e">
        <f>_xlfn.XLOOKUP(Tabla1[[#This Row],[Ean Normalizado]],Consumos!A:A,Consumos!E:E)</f>
        <v>#VALUE!</v>
      </c>
      <c r="R1275" s="22" t="e">
        <f>_xlfn.XLOOKUP(Tabla1[[#This Row],[Ean Normalizado]],tabla_consumos[EAN],tabla_consumos[UM])</f>
        <v>#VALUE!</v>
      </c>
      <c r="S1275" s="22" t="e">
        <f>Tabla1[[#This Row],[StockDisp]]*Tabla1[[#This Row],[UM producto]]</f>
        <v>#VALUE!</v>
      </c>
    </row>
    <row r="1276" spans="1:19" x14ac:dyDescent="0.35">
      <c r="A1276" s="5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6"/>
      <c r="P1276" s="23" t="e">
        <f>TRIM(Tabla1[[#This Row],[Articulo]])</f>
        <v>#VALUE!</v>
      </c>
      <c r="Q1276" s="23" t="e">
        <f>_xlfn.XLOOKUP(Tabla1[[#This Row],[Ean Normalizado]],Consumos!A:A,Consumos!E:E)</f>
        <v>#VALUE!</v>
      </c>
      <c r="R1276" s="22" t="e">
        <f>_xlfn.XLOOKUP(Tabla1[[#This Row],[Ean Normalizado]],tabla_consumos[EAN],tabla_consumos[UM])</f>
        <v>#VALUE!</v>
      </c>
      <c r="S1276" s="22" t="e">
        <f>Tabla1[[#This Row],[StockDisp]]*Tabla1[[#This Row],[UM producto]]</f>
        <v>#VALUE!</v>
      </c>
    </row>
    <row r="1277" spans="1:19" x14ac:dyDescent="0.35">
      <c r="A1277" s="5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6"/>
      <c r="P1277" s="23" t="e">
        <f>TRIM(Tabla1[[#This Row],[Articulo]])</f>
        <v>#VALUE!</v>
      </c>
      <c r="Q1277" s="23" t="e">
        <f>_xlfn.XLOOKUP(Tabla1[[#This Row],[Ean Normalizado]],Consumos!A:A,Consumos!E:E)</f>
        <v>#VALUE!</v>
      </c>
      <c r="R1277" s="22" t="e">
        <f>_xlfn.XLOOKUP(Tabla1[[#This Row],[Ean Normalizado]],tabla_consumos[EAN],tabla_consumos[UM])</f>
        <v>#VALUE!</v>
      </c>
      <c r="S1277" s="22" t="e">
        <f>Tabla1[[#This Row],[StockDisp]]*Tabla1[[#This Row],[UM producto]]</f>
        <v>#VALUE!</v>
      </c>
    </row>
    <row r="1278" spans="1:19" x14ac:dyDescent="0.35">
      <c r="A1278" s="5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6"/>
      <c r="P1278" s="23" t="e">
        <f>TRIM(Tabla1[[#This Row],[Articulo]])</f>
        <v>#VALUE!</v>
      </c>
      <c r="Q1278" s="23" t="e">
        <f>_xlfn.XLOOKUP(Tabla1[[#This Row],[Ean Normalizado]],Consumos!A:A,Consumos!E:E)</f>
        <v>#VALUE!</v>
      </c>
      <c r="R1278" s="22" t="e">
        <f>_xlfn.XLOOKUP(Tabla1[[#This Row],[Ean Normalizado]],tabla_consumos[EAN],tabla_consumos[UM])</f>
        <v>#VALUE!</v>
      </c>
      <c r="S1278" s="22" t="e">
        <f>Tabla1[[#This Row],[StockDisp]]*Tabla1[[#This Row],[UM producto]]</f>
        <v>#VALUE!</v>
      </c>
    </row>
    <row r="1279" spans="1:19" x14ac:dyDescent="0.35">
      <c r="A1279" s="5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6"/>
      <c r="P1279" s="23" t="e">
        <f>TRIM(Tabla1[[#This Row],[Articulo]])</f>
        <v>#VALUE!</v>
      </c>
      <c r="Q1279" s="23" t="e">
        <f>_xlfn.XLOOKUP(Tabla1[[#This Row],[Ean Normalizado]],Consumos!A:A,Consumos!E:E)</f>
        <v>#VALUE!</v>
      </c>
      <c r="R1279" s="22" t="e">
        <f>_xlfn.XLOOKUP(Tabla1[[#This Row],[Ean Normalizado]],tabla_consumos[EAN],tabla_consumos[UM])</f>
        <v>#VALUE!</v>
      </c>
      <c r="S1279" s="22" t="e">
        <f>Tabla1[[#This Row],[StockDisp]]*Tabla1[[#This Row],[UM producto]]</f>
        <v>#VALUE!</v>
      </c>
    </row>
    <row r="1280" spans="1:19" x14ac:dyDescent="0.35">
      <c r="A1280" s="5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6"/>
      <c r="P1280" s="23" t="e">
        <f>TRIM(Tabla1[[#This Row],[Articulo]])</f>
        <v>#VALUE!</v>
      </c>
      <c r="Q1280" s="23" t="e">
        <f>_xlfn.XLOOKUP(Tabla1[[#This Row],[Ean Normalizado]],Consumos!A:A,Consumos!E:E)</f>
        <v>#VALUE!</v>
      </c>
      <c r="R1280" s="22" t="e">
        <f>_xlfn.XLOOKUP(Tabla1[[#This Row],[Ean Normalizado]],tabla_consumos[EAN],tabla_consumos[UM])</f>
        <v>#VALUE!</v>
      </c>
      <c r="S1280" s="22" t="e">
        <f>Tabla1[[#This Row],[StockDisp]]*Tabla1[[#This Row],[UM producto]]</f>
        <v>#VALUE!</v>
      </c>
    </row>
    <row r="1281" spans="1:19" x14ac:dyDescent="0.35">
      <c r="A1281" s="5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6"/>
      <c r="P1281" s="23" t="e">
        <f>TRIM(Tabla1[[#This Row],[Articulo]])</f>
        <v>#VALUE!</v>
      </c>
      <c r="Q1281" s="23" t="e">
        <f>_xlfn.XLOOKUP(Tabla1[[#This Row],[Ean Normalizado]],Consumos!A:A,Consumos!E:E)</f>
        <v>#VALUE!</v>
      </c>
      <c r="R1281" s="22" t="e">
        <f>_xlfn.XLOOKUP(Tabla1[[#This Row],[Ean Normalizado]],tabla_consumos[EAN],tabla_consumos[UM])</f>
        <v>#VALUE!</v>
      </c>
      <c r="S1281" s="22" t="e">
        <f>Tabla1[[#This Row],[StockDisp]]*Tabla1[[#This Row],[UM producto]]</f>
        <v>#VALUE!</v>
      </c>
    </row>
    <row r="1282" spans="1:19" x14ac:dyDescent="0.35">
      <c r="A1282" s="5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6"/>
      <c r="P1282" s="23" t="e">
        <f>TRIM(Tabla1[[#This Row],[Articulo]])</f>
        <v>#VALUE!</v>
      </c>
      <c r="Q1282" s="23" t="e">
        <f>_xlfn.XLOOKUP(Tabla1[[#This Row],[Ean Normalizado]],Consumos!A:A,Consumos!E:E)</f>
        <v>#VALUE!</v>
      </c>
      <c r="R1282" s="22" t="e">
        <f>_xlfn.XLOOKUP(Tabla1[[#This Row],[Ean Normalizado]],tabla_consumos[EAN],tabla_consumos[UM])</f>
        <v>#VALUE!</v>
      </c>
      <c r="S1282" s="22" t="e">
        <f>Tabla1[[#This Row],[StockDisp]]*Tabla1[[#This Row],[UM producto]]</f>
        <v>#VALUE!</v>
      </c>
    </row>
    <row r="1283" spans="1:19" x14ac:dyDescent="0.35">
      <c r="A1283" s="5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6"/>
      <c r="P1283" s="23" t="e">
        <f>TRIM(Tabla1[[#This Row],[Articulo]])</f>
        <v>#VALUE!</v>
      </c>
      <c r="Q1283" s="23" t="e">
        <f>_xlfn.XLOOKUP(Tabla1[[#This Row],[Ean Normalizado]],Consumos!A:A,Consumos!E:E)</f>
        <v>#VALUE!</v>
      </c>
      <c r="R1283" s="22" t="e">
        <f>_xlfn.XLOOKUP(Tabla1[[#This Row],[Ean Normalizado]],tabla_consumos[EAN],tabla_consumos[UM])</f>
        <v>#VALUE!</v>
      </c>
      <c r="S1283" s="22" t="e">
        <f>Tabla1[[#This Row],[StockDisp]]*Tabla1[[#This Row],[UM producto]]</f>
        <v>#VALUE!</v>
      </c>
    </row>
    <row r="1284" spans="1:19" x14ac:dyDescent="0.35">
      <c r="A1284" s="5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6"/>
      <c r="P1284" s="23" t="e">
        <f>TRIM(Tabla1[[#This Row],[Articulo]])</f>
        <v>#VALUE!</v>
      </c>
      <c r="Q1284" s="23" t="e">
        <f>_xlfn.XLOOKUP(Tabla1[[#This Row],[Ean Normalizado]],Consumos!A:A,Consumos!E:E)</f>
        <v>#VALUE!</v>
      </c>
      <c r="R1284" s="22" t="e">
        <f>_xlfn.XLOOKUP(Tabla1[[#This Row],[Ean Normalizado]],tabla_consumos[EAN],tabla_consumos[UM])</f>
        <v>#VALUE!</v>
      </c>
      <c r="S1284" s="22" t="e">
        <f>Tabla1[[#This Row],[StockDisp]]*Tabla1[[#This Row],[UM producto]]</f>
        <v>#VALUE!</v>
      </c>
    </row>
    <row r="1285" spans="1:19" x14ac:dyDescent="0.35">
      <c r="A1285" s="5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6"/>
      <c r="P1285" s="23" t="e">
        <f>TRIM(Tabla1[[#This Row],[Articulo]])</f>
        <v>#VALUE!</v>
      </c>
      <c r="Q1285" s="23" t="e">
        <f>_xlfn.XLOOKUP(Tabla1[[#This Row],[Ean Normalizado]],Consumos!A:A,Consumos!E:E)</f>
        <v>#VALUE!</v>
      </c>
      <c r="R1285" s="22" t="e">
        <f>_xlfn.XLOOKUP(Tabla1[[#This Row],[Ean Normalizado]],tabla_consumos[EAN],tabla_consumos[UM])</f>
        <v>#VALUE!</v>
      </c>
      <c r="S1285" s="22" t="e">
        <f>Tabla1[[#This Row],[StockDisp]]*Tabla1[[#This Row],[UM producto]]</f>
        <v>#VALUE!</v>
      </c>
    </row>
    <row r="1286" spans="1:19" x14ac:dyDescent="0.35">
      <c r="A1286" s="5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6"/>
      <c r="P1286" s="23" t="e">
        <f>TRIM(Tabla1[[#This Row],[Articulo]])</f>
        <v>#VALUE!</v>
      </c>
      <c r="Q1286" s="23" t="e">
        <f>_xlfn.XLOOKUP(Tabla1[[#This Row],[Ean Normalizado]],Consumos!A:A,Consumos!E:E)</f>
        <v>#VALUE!</v>
      </c>
      <c r="R1286" s="22" t="e">
        <f>_xlfn.XLOOKUP(Tabla1[[#This Row],[Ean Normalizado]],tabla_consumos[EAN],tabla_consumos[UM])</f>
        <v>#VALUE!</v>
      </c>
      <c r="S1286" s="22" t="e">
        <f>Tabla1[[#This Row],[StockDisp]]*Tabla1[[#This Row],[UM producto]]</f>
        <v>#VALUE!</v>
      </c>
    </row>
    <row r="1287" spans="1:19" x14ac:dyDescent="0.35">
      <c r="A1287" s="5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6"/>
      <c r="P1287" s="23" t="e">
        <f>TRIM(Tabla1[[#This Row],[Articulo]])</f>
        <v>#VALUE!</v>
      </c>
      <c r="Q1287" s="23" t="e">
        <f>_xlfn.XLOOKUP(Tabla1[[#This Row],[Ean Normalizado]],Consumos!A:A,Consumos!E:E)</f>
        <v>#VALUE!</v>
      </c>
      <c r="R1287" s="22" t="e">
        <f>_xlfn.XLOOKUP(Tabla1[[#This Row],[Ean Normalizado]],tabla_consumos[EAN],tabla_consumos[UM])</f>
        <v>#VALUE!</v>
      </c>
      <c r="S1287" s="22" t="e">
        <f>Tabla1[[#This Row],[StockDisp]]*Tabla1[[#This Row],[UM producto]]</f>
        <v>#VALUE!</v>
      </c>
    </row>
    <row r="1288" spans="1:19" x14ac:dyDescent="0.35">
      <c r="A1288" s="5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6"/>
      <c r="P1288" s="23" t="e">
        <f>TRIM(Tabla1[[#This Row],[Articulo]])</f>
        <v>#VALUE!</v>
      </c>
      <c r="Q1288" s="23" t="e">
        <f>_xlfn.XLOOKUP(Tabla1[[#This Row],[Ean Normalizado]],Consumos!A:A,Consumos!E:E)</f>
        <v>#VALUE!</v>
      </c>
      <c r="R1288" s="22" t="e">
        <f>_xlfn.XLOOKUP(Tabla1[[#This Row],[Ean Normalizado]],tabla_consumos[EAN],tabla_consumos[UM])</f>
        <v>#VALUE!</v>
      </c>
      <c r="S1288" s="22" t="e">
        <f>Tabla1[[#This Row],[StockDisp]]*Tabla1[[#This Row],[UM producto]]</f>
        <v>#VALUE!</v>
      </c>
    </row>
    <row r="1289" spans="1:19" x14ac:dyDescent="0.35">
      <c r="A1289" s="5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6"/>
      <c r="P1289" s="23" t="e">
        <f>TRIM(Tabla1[[#This Row],[Articulo]])</f>
        <v>#VALUE!</v>
      </c>
      <c r="Q1289" s="23" t="e">
        <f>_xlfn.XLOOKUP(Tabla1[[#This Row],[Ean Normalizado]],Consumos!A:A,Consumos!E:E)</f>
        <v>#VALUE!</v>
      </c>
      <c r="R1289" s="22" t="e">
        <f>_xlfn.XLOOKUP(Tabla1[[#This Row],[Ean Normalizado]],tabla_consumos[EAN],tabla_consumos[UM])</f>
        <v>#VALUE!</v>
      </c>
      <c r="S1289" s="22" t="e">
        <f>Tabla1[[#This Row],[StockDisp]]*Tabla1[[#This Row],[UM producto]]</f>
        <v>#VALUE!</v>
      </c>
    </row>
    <row r="1290" spans="1:19" x14ac:dyDescent="0.35">
      <c r="A1290" s="5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6"/>
      <c r="P1290" s="23" t="e">
        <f>TRIM(Tabla1[[#This Row],[Articulo]])</f>
        <v>#VALUE!</v>
      </c>
      <c r="Q1290" s="23" t="e">
        <f>_xlfn.XLOOKUP(Tabla1[[#This Row],[Ean Normalizado]],Consumos!A:A,Consumos!E:E)</f>
        <v>#VALUE!</v>
      </c>
      <c r="R1290" s="22" t="e">
        <f>_xlfn.XLOOKUP(Tabla1[[#This Row],[Ean Normalizado]],tabla_consumos[EAN],tabla_consumos[UM])</f>
        <v>#VALUE!</v>
      </c>
      <c r="S1290" s="22" t="e">
        <f>Tabla1[[#This Row],[StockDisp]]*Tabla1[[#This Row],[UM producto]]</f>
        <v>#VALUE!</v>
      </c>
    </row>
    <row r="1291" spans="1:19" x14ac:dyDescent="0.35">
      <c r="A1291" s="5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6"/>
      <c r="P1291" s="23" t="e">
        <f>TRIM(Tabla1[[#This Row],[Articulo]])</f>
        <v>#VALUE!</v>
      </c>
      <c r="Q1291" s="23" t="e">
        <f>_xlfn.XLOOKUP(Tabla1[[#This Row],[Ean Normalizado]],Consumos!A:A,Consumos!E:E)</f>
        <v>#VALUE!</v>
      </c>
      <c r="R1291" s="22" t="e">
        <f>_xlfn.XLOOKUP(Tabla1[[#This Row],[Ean Normalizado]],tabla_consumos[EAN],tabla_consumos[UM])</f>
        <v>#VALUE!</v>
      </c>
      <c r="S1291" s="22" t="e">
        <f>Tabla1[[#This Row],[StockDisp]]*Tabla1[[#This Row],[UM producto]]</f>
        <v>#VALUE!</v>
      </c>
    </row>
    <row r="1292" spans="1:19" x14ac:dyDescent="0.35">
      <c r="A1292" s="5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6"/>
      <c r="P1292" s="23" t="e">
        <f>TRIM(Tabla1[[#This Row],[Articulo]])</f>
        <v>#VALUE!</v>
      </c>
      <c r="Q1292" s="23" t="e">
        <f>_xlfn.XLOOKUP(Tabla1[[#This Row],[Ean Normalizado]],Consumos!A:A,Consumos!E:E)</f>
        <v>#VALUE!</v>
      </c>
      <c r="R1292" s="22" t="e">
        <f>_xlfn.XLOOKUP(Tabla1[[#This Row],[Ean Normalizado]],tabla_consumos[EAN],tabla_consumos[UM])</f>
        <v>#VALUE!</v>
      </c>
      <c r="S1292" s="22" t="e">
        <f>Tabla1[[#This Row],[StockDisp]]*Tabla1[[#This Row],[UM producto]]</f>
        <v>#VALUE!</v>
      </c>
    </row>
    <row r="1293" spans="1:19" x14ac:dyDescent="0.35">
      <c r="A1293" s="5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6"/>
      <c r="P1293" s="23" t="e">
        <f>TRIM(Tabla1[[#This Row],[Articulo]])</f>
        <v>#VALUE!</v>
      </c>
      <c r="Q1293" s="23" t="e">
        <f>_xlfn.XLOOKUP(Tabla1[[#This Row],[Ean Normalizado]],Consumos!A:A,Consumos!E:E)</f>
        <v>#VALUE!</v>
      </c>
      <c r="R1293" s="22" t="e">
        <f>_xlfn.XLOOKUP(Tabla1[[#This Row],[Ean Normalizado]],tabla_consumos[EAN],tabla_consumos[UM])</f>
        <v>#VALUE!</v>
      </c>
      <c r="S1293" s="22" t="e">
        <f>Tabla1[[#This Row],[StockDisp]]*Tabla1[[#This Row],[UM producto]]</f>
        <v>#VALUE!</v>
      </c>
    </row>
    <row r="1294" spans="1:19" x14ac:dyDescent="0.35">
      <c r="A1294" s="5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6"/>
      <c r="P1294" s="23" t="e">
        <f>TRIM(Tabla1[[#This Row],[Articulo]])</f>
        <v>#VALUE!</v>
      </c>
      <c r="Q1294" s="23" t="e">
        <f>_xlfn.XLOOKUP(Tabla1[[#This Row],[Ean Normalizado]],Consumos!A:A,Consumos!E:E)</f>
        <v>#VALUE!</v>
      </c>
      <c r="R1294" s="22" t="e">
        <f>_xlfn.XLOOKUP(Tabla1[[#This Row],[Ean Normalizado]],tabla_consumos[EAN],tabla_consumos[UM])</f>
        <v>#VALUE!</v>
      </c>
      <c r="S1294" s="22" t="e">
        <f>Tabla1[[#This Row],[StockDisp]]*Tabla1[[#This Row],[UM producto]]</f>
        <v>#VALUE!</v>
      </c>
    </row>
    <row r="1295" spans="1:19" x14ac:dyDescent="0.35">
      <c r="A1295" s="5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6"/>
      <c r="P1295" s="23" t="e">
        <f>TRIM(Tabla1[[#This Row],[Articulo]])</f>
        <v>#VALUE!</v>
      </c>
      <c r="Q1295" s="23" t="e">
        <f>_xlfn.XLOOKUP(Tabla1[[#This Row],[Ean Normalizado]],Consumos!A:A,Consumos!E:E)</f>
        <v>#VALUE!</v>
      </c>
      <c r="R1295" s="22" t="e">
        <f>_xlfn.XLOOKUP(Tabla1[[#This Row],[Ean Normalizado]],tabla_consumos[EAN],tabla_consumos[UM])</f>
        <v>#VALUE!</v>
      </c>
      <c r="S1295" s="22" t="e">
        <f>Tabla1[[#This Row],[StockDisp]]*Tabla1[[#This Row],[UM producto]]</f>
        <v>#VALUE!</v>
      </c>
    </row>
    <row r="1296" spans="1:19" x14ac:dyDescent="0.35">
      <c r="A1296" s="5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6"/>
      <c r="P1296" s="23" t="e">
        <f>TRIM(Tabla1[[#This Row],[Articulo]])</f>
        <v>#VALUE!</v>
      </c>
      <c r="Q1296" s="23" t="e">
        <f>_xlfn.XLOOKUP(Tabla1[[#This Row],[Ean Normalizado]],Consumos!A:A,Consumos!E:E)</f>
        <v>#VALUE!</v>
      </c>
      <c r="R1296" s="22" t="e">
        <f>_xlfn.XLOOKUP(Tabla1[[#This Row],[Ean Normalizado]],tabla_consumos[EAN],tabla_consumos[UM])</f>
        <v>#VALUE!</v>
      </c>
      <c r="S1296" s="22" t="e">
        <f>Tabla1[[#This Row],[StockDisp]]*Tabla1[[#This Row],[UM producto]]</f>
        <v>#VALUE!</v>
      </c>
    </row>
    <row r="1297" spans="1:19" x14ac:dyDescent="0.35">
      <c r="A1297" s="5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6"/>
      <c r="P1297" s="23" t="e">
        <f>TRIM(Tabla1[[#This Row],[Articulo]])</f>
        <v>#VALUE!</v>
      </c>
      <c r="Q1297" s="23" t="e">
        <f>_xlfn.XLOOKUP(Tabla1[[#This Row],[Ean Normalizado]],Consumos!A:A,Consumos!E:E)</f>
        <v>#VALUE!</v>
      </c>
      <c r="R1297" s="22" t="e">
        <f>_xlfn.XLOOKUP(Tabla1[[#This Row],[Ean Normalizado]],tabla_consumos[EAN],tabla_consumos[UM])</f>
        <v>#VALUE!</v>
      </c>
      <c r="S1297" s="22" t="e">
        <f>Tabla1[[#This Row],[StockDisp]]*Tabla1[[#This Row],[UM producto]]</f>
        <v>#VALUE!</v>
      </c>
    </row>
    <row r="1298" spans="1:19" x14ac:dyDescent="0.35">
      <c r="A1298" s="5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6"/>
      <c r="P1298" s="23" t="e">
        <f>TRIM(Tabla1[[#This Row],[Articulo]])</f>
        <v>#VALUE!</v>
      </c>
      <c r="Q1298" s="23" t="e">
        <f>_xlfn.XLOOKUP(Tabla1[[#This Row],[Ean Normalizado]],Consumos!A:A,Consumos!E:E)</f>
        <v>#VALUE!</v>
      </c>
      <c r="R1298" s="22" t="e">
        <f>_xlfn.XLOOKUP(Tabla1[[#This Row],[Ean Normalizado]],tabla_consumos[EAN],tabla_consumos[UM])</f>
        <v>#VALUE!</v>
      </c>
      <c r="S1298" s="22" t="e">
        <f>Tabla1[[#This Row],[StockDisp]]*Tabla1[[#This Row],[UM producto]]</f>
        <v>#VALUE!</v>
      </c>
    </row>
    <row r="1299" spans="1:19" x14ac:dyDescent="0.35">
      <c r="A1299" s="5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6"/>
      <c r="P1299" s="23" t="e">
        <f>TRIM(Tabla1[[#This Row],[Articulo]])</f>
        <v>#VALUE!</v>
      </c>
      <c r="Q1299" s="23" t="e">
        <f>_xlfn.XLOOKUP(Tabla1[[#This Row],[Ean Normalizado]],Consumos!A:A,Consumos!E:E)</f>
        <v>#VALUE!</v>
      </c>
      <c r="R1299" s="22" t="e">
        <f>_xlfn.XLOOKUP(Tabla1[[#This Row],[Ean Normalizado]],tabla_consumos[EAN],tabla_consumos[UM])</f>
        <v>#VALUE!</v>
      </c>
      <c r="S1299" s="22" t="e">
        <f>Tabla1[[#This Row],[StockDisp]]*Tabla1[[#This Row],[UM producto]]</f>
        <v>#VALUE!</v>
      </c>
    </row>
    <row r="1300" spans="1:19" x14ac:dyDescent="0.35">
      <c r="A1300" s="5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6"/>
      <c r="P1300" s="23" t="e">
        <f>TRIM(Tabla1[[#This Row],[Articulo]])</f>
        <v>#VALUE!</v>
      </c>
      <c r="Q1300" s="23" t="e">
        <f>_xlfn.XLOOKUP(Tabla1[[#This Row],[Ean Normalizado]],Consumos!A:A,Consumos!E:E)</f>
        <v>#VALUE!</v>
      </c>
      <c r="R1300" s="22" t="e">
        <f>_xlfn.XLOOKUP(Tabla1[[#This Row],[Ean Normalizado]],tabla_consumos[EAN],tabla_consumos[UM])</f>
        <v>#VALUE!</v>
      </c>
      <c r="S1300" s="22" t="e">
        <f>Tabla1[[#This Row],[StockDisp]]*Tabla1[[#This Row],[UM producto]]</f>
        <v>#VALUE!</v>
      </c>
    </row>
    <row r="1301" spans="1:19" x14ac:dyDescent="0.35">
      <c r="A1301" s="5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6"/>
      <c r="P1301" s="23" t="e">
        <f>TRIM(Tabla1[[#This Row],[Articulo]])</f>
        <v>#VALUE!</v>
      </c>
      <c r="Q1301" s="23" t="e">
        <f>_xlfn.XLOOKUP(Tabla1[[#This Row],[Ean Normalizado]],Consumos!A:A,Consumos!E:E)</f>
        <v>#VALUE!</v>
      </c>
      <c r="R1301" s="22" t="e">
        <f>_xlfn.XLOOKUP(Tabla1[[#This Row],[Ean Normalizado]],tabla_consumos[EAN],tabla_consumos[UM])</f>
        <v>#VALUE!</v>
      </c>
      <c r="S1301" s="22" t="e">
        <f>Tabla1[[#This Row],[StockDisp]]*Tabla1[[#This Row],[UM producto]]</f>
        <v>#VALUE!</v>
      </c>
    </row>
    <row r="1302" spans="1:19" x14ac:dyDescent="0.35">
      <c r="A1302" s="5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6"/>
      <c r="P1302" s="23" t="e">
        <f>TRIM(Tabla1[[#This Row],[Articulo]])</f>
        <v>#VALUE!</v>
      </c>
      <c r="Q1302" s="23" t="e">
        <f>_xlfn.XLOOKUP(Tabla1[[#This Row],[Ean Normalizado]],Consumos!A:A,Consumos!E:E)</f>
        <v>#VALUE!</v>
      </c>
      <c r="R1302" s="22" t="e">
        <f>_xlfn.XLOOKUP(Tabla1[[#This Row],[Ean Normalizado]],tabla_consumos[EAN],tabla_consumos[UM])</f>
        <v>#VALUE!</v>
      </c>
      <c r="S1302" s="22" t="e">
        <f>Tabla1[[#This Row],[StockDisp]]*Tabla1[[#This Row],[UM producto]]</f>
        <v>#VALUE!</v>
      </c>
    </row>
    <row r="1303" spans="1:19" x14ac:dyDescent="0.35">
      <c r="A1303" s="5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6"/>
      <c r="P1303" s="23" t="e">
        <f>TRIM(Tabla1[[#This Row],[Articulo]])</f>
        <v>#VALUE!</v>
      </c>
      <c r="Q1303" s="23" t="e">
        <f>_xlfn.XLOOKUP(Tabla1[[#This Row],[Ean Normalizado]],Consumos!A:A,Consumos!E:E)</f>
        <v>#VALUE!</v>
      </c>
      <c r="R1303" s="22" t="e">
        <f>_xlfn.XLOOKUP(Tabla1[[#This Row],[Ean Normalizado]],tabla_consumos[EAN],tabla_consumos[UM])</f>
        <v>#VALUE!</v>
      </c>
      <c r="S1303" s="22" t="e">
        <f>Tabla1[[#This Row],[StockDisp]]*Tabla1[[#This Row],[UM producto]]</f>
        <v>#VALUE!</v>
      </c>
    </row>
    <row r="1304" spans="1:19" x14ac:dyDescent="0.35">
      <c r="A1304" s="5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6"/>
      <c r="P1304" s="23" t="e">
        <f>TRIM(Tabla1[[#This Row],[Articulo]])</f>
        <v>#VALUE!</v>
      </c>
      <c r="Q1304" s="23" t="e">
        <f>_xlfn.XLOOKUP(Tabla1[[#This Row],[Ean Normalizado]],Consumos!A:A,Consumos!E:E)</f>
        <v>#VALUE!</v>
      </c>
      <c r="R1304" s="22" t="e">
        <f>_xlfn.XLOOKUP(Tabla1[[#This Row],[Ean Normalizado]],tabla_consumos[EAN],tabla_consumos[UM])</f>
        <v>#VALUE!</v>
      </c>
      <c r="S1304" s="22" t="e">
        <f>Tabla1[[#This Row],[StockDisp]]*Tabla1[[#This Row],[UM producto]]</f>
        <v>#VALUE!</v>
      </c>
    </row>
    <row r="1305" spans="1:19" x14ac:dyDescent="0.35">
      <c r="A1305" s="5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6"/>
      <c r="P1305" s="23" t="e">
        <f>TRIM(Tabla1[[#This Row],[Articulo]])</f>
        <v>#VALUE!</v>
      </c>
      <c r="Q1305" s="23" t="e">
        <f>_xlfn.XLOOKUP(Tabla1[[#This Row],[Ean Normalizado]],Consumos!A:A,Consumos!E:E)</f>
        <v>#VALUE!</v>
      </c>
      <c r="R1305" s="22" t="e">
        <f>_xlfn.XLOOKUP(Tabla1[[#This Row],[Ean Normalizado]],tabla_consumos[EAN],tabla_consumos[UM])</f>
        <v>#VALUE!</v>
      </c>
      <c r="S1305" s="22" t="e">
        <f>Tabla1[[#This Row],[StockDisp]]*Tabla1[[#This Row],[UM producto]]</f>
        <v>#VALUE!</v>
      </c>
    </row>
    <row r="1306" spans="1:19" x14ac:dyDescent="0.35">
      <c r="A1306" s="5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6"/>
      <c r="P1306" s="23" t="e">
        <f>TRIM(Tabla1[[#This Row],[Articulo]])</f>
        <v>#VALUE!</v>
      </c>
      <c r="Q1306" s="23" t="e">
        <f>_xlfn.XLOOKUP(Tabla1[[#This Row],[Ean Normalizado]],Consumos!A:A,Consumos!E:E)</f>
        <v>#VALUE!</v>
      </c>
      <c r="R1306" s="22" t="e">
        <f>_xlfn.XLOOKUP(Tabla1[[#This Row],[Ean Normalizado]],tabla_consumos[EAN],tabla_consumos[UM])</f>
        <v>#VALUE!</v>
      </c>
      <c r="S1306" s="22" t="e">
        <f>Tabla1[[#This Row],[StockDisp]]*Tabla1[[#This Row],[UM producto]]</f>
        <v>#VALUE!</v>
      </c>
    </row>
    <row r="1307" spans="1:19" x14ac:dyDescent="0.35">
      <c r="A1307" s="5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6"/>
      <c r="P1307" s="23" t="e">
        <f>TRIM(Tabla1[[#This Row],[Articulo]])</f>
        <v>#VALUE!</v>
      </c>
      <c r="Q1307" s="23" t="e">
        <f>_xlfn.XLOOKUP(Tabla1[[#This Row],[Ean Normalizado]],Consumos!A:A,Consumos!E:E)</f>
        <v>#VALUE!</v>
      </c>
      <c r="R1307" s="22" t="e">
        <f>_xlfn.XLOOKUP(Tabla1[[#This Row],[Ean Normalizado]],tabla_consumos[EAN],tabla_consumos[UM])</f>
        <v>#VALUE!</v>
      </c>
      <c r="S1307" s="22" t="e">
        <f>Tabla1[[#This Row],[StockDisp]]*Tabla1[[#This Row],[UM producto]]</f>
        <v>#VALUE!</v>
      </c>
    </row>
    <row r="1308" spans="1:19" x14ac:dyDescent="0.35">
      <c r="A1308" s="5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6"/>
      <c r="P1308" s="23" t="e">
        <f>TRIM(Tabla1[[#This Row],[Articulo]])</f>
        <v>#VALUE!</v>
      </c>
      <c r="Q1308" s="23" t="e">
        <f>_xlfn.XLOOKUP(Tabla1[[#This Row],[Ean Normalizado]],Consumos!A:A,Consumos!E:E)</f>
        <v>#VALUE!</v>
      </c>
      <c r="R1308" s="22" t="e">
        <f>_xlfn.XLOOKUP(Tabla1[[#This Row],[Ean Normalizado]],tabla_consumos[EAN],tabla_consumos[UM])</f>
        <v>#VALUE!</v>
      </c>
      <c r="S1308" s="22" t="e">
        <f>Tabla1[[#This Row],[StockDisp]]*Tabla1[[#This Row],[UM producto]]</f>
        <v>#VALUE!</v>
      </c>
    </row>
    <row r="1309" spans="1:19" x14ac:dyDescent="0.35">
      <c r="A1309" s="5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6"/>
      <c r="P1309" s="23" t="e">
        <f>TRIM(Tabla1[[#This Row],[Articulo]])</f>
        <v>#VALUE!</v>
      </c>
      <c r="Q1309" s="23" t="e">
        <f>_xlfn.XLOOKUP(Tabla1[[#This Row],[Ean Normalizado]],Consumos!A:A,Consumos!E:E)</f>
        <v>#VALUE!</v>
      </c>
      <c r="R1309" s="22" t="e">
        <f>_xlfn.XLOOKUP(Tabla1[[#This Row],[Ean Normalizado]],tabla_consumos[EAN],tabla_consumos[UM])</f>
        <v>#VALUE!</v>
      </c>
      <c r="S1309" s="22" t="e">
        <f>Tabla1[[#This Row],[StockDisp]]*Tabla1[[#This Row],[UM producto]]</f>
        <v>#VALUE!</v>
      </c>
    </row>
    <row r="1310" spans="1:19" x14ac:dyDescent="0.35">
      <c r="A1310" s="5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6"/>
      <c r="P1310" s="23" t="e">
        <f>TRIM(Tabla1[[#This Row],[Articulo]])</f>
        <v>#VALUE!</v>
      </c>
      <c r="Q1310" s="23" t="e">
        <f>_xlfn.XLOOKUP(Tabla1[[#This Row],[Ean Normalizado]],Consumos!A:A,Consumos!E:E)</f>
        <v>#VALUE!</v>
      </c>
      <c r="R1310" s="22" t="e">
        <f>_xlfn.XLOOKUP(Tabla1[[#This Row],[Ean Normalizado]],tabla_consumos[EAN],tabla_consumos[UM])</f>
        <v>#VALUE!</v>
      </c>
      <c r="S1310" s="22" t="e">
        <f>Tabla1[[#This Row],[StockDisp]]*Tabla1[[#This Row],[UM producto]]</f>
        <v>#VALUE!</v>
      </c>
    </row>
    <row r="1311" spans="1:19" x14ac:dyDescent="0.35">
      <c r="A1311" s="5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6"/>
      <c r="P1311" s="23" t="e">
        <f>TRIM(Tabla1[[#This Row],[Articulo]])</f>
        <v>#VALUE!</v>
      </c>
      <c r="Q1311" s="23" t="e">
        <f>_xlfn.XLOOKUP(Tabla1[[#This Row],[Ean Normalizado]],Consumos!A:A,Consumos!E:E)</f>
        <v>#VALUE!</v>
      </c>
      <c r="R1311" s="22" t="e">
        <f>_xlfn.XLOOKUP(Tabla1[[#This Row],[Ean Normalizado]],tabla_consumos[EAN],tabla_consumos[UM])</f>
        <v>#VALUE!</v>
      </c>
      <c r="S1311" s="22" t="e">
        <f>Tabla1[[#This Row],[StockDisp]]*Tabla1[[#This Row],[UM producto]]</f>
        <v>#VALUE!</v>
      </c>
    </row>
    <row r="1312" spans="1:19" x14ac:dyDescent="0.35">
      <c r="A1312" s="5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6"/>
      <c r="P1312" s="23" t="e">
        <f>TRIM(Tabla1[[#This Row],[Articulo]])</f>
        <v>#VALUE!</v>
      </c>
      <c r="Q1312" s="23" t="e">
        <f>_xlfn.XLOOKUP(Tabla1[[#This Row],[Ean Normalizado]],Consumos!A:A,Consumos!E:E)</f>
        <v>#VALUE!</v>
      </c>
      <c r="R1312" s="22" t="e">
        <f>_xlfn.XLOOKUP(Tabla1[[#This Row],[Ean Normalizado]],tabla_consumos[EAN],tabla_consumos[UM])</f>
        <v>#VALUE!</v>
      </c>
      <c r="S1312" s="22" t="e">
        <f>Tabla1[[#This Row],[StockDisp]]*Tabla1[[#This Row],[UM producto]]</f>
        <v>#VALUE!</v>
      </c>
    </row>
    <row r="1313" spans="1:19" x14ac:dyDescent="0.35">
      <c r="A1313" s="5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6"/>
      <c r="P1313" s="23" t="e">
        <f>TRIM(Tabla1[[#This Row],[Articulo]])</f>
        <v>#VALUE!</v>
      </c>
      <c r="Q1313" s="23" t="e">
        <f>_xlfn.XLOOKUP(Tabla1[[#This Row],[Ean Normalizado]],Consumos!A:A,Consumos!E:E)</f>
        <v>#VALUE!</v>
      </c>
      <c r="R1313" s="22" t="e">
        <f>_xlfn.XLOOKUP(Tabla1[[#This Row],[Ean Normalizado]],tabla_consumos[EAN],tabla_consumos[UM])</f>
        <v>#VALUE!</v>
      </c>
      <c r="S1313" s="22" t="e">
        <f>Tabla1[[#This Row],[StockDisp]]*Tabla1[[#This Row],[UM producto]]</f>
        <v>#VALUE!</v>
      </c>
    </row>
    <row r="1314" spans="1:19" x14ac:dyDescent="0.35">
      <c r="A1314" s="5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6"/>
      <c r="P1314" s="23" t="e">
        <f>TRIM(Tabla1[[#This Row],[Articulo]])</f>
        <v>#VALUE!</v>
      </c>
      <c r="Q1314" s="23" t="e">
        <f>_xlfn.XLOOKUP(Tabla1[[#This Row],[Ean Normalizado]],Consumos!A:A,Consumos!E:E)</f>
        <v>#VALUE!</v>
      </c>
      <c r="R1314" s="22" t="e">
        <f>_xlfn.XLOOKUP(Tabla1[[#This Row],[Ean Normalizado]],tabla_consumos[EAN],tabla_consumos[UM])</f>
        <v>#VALUE!</v>
      </c>
      <c r="S1314" s="22" t="e">
        <f>Tabla1[[#This Row],[StockDisp]]*Tabla1[[#This Row],[UM producto]]</f>
        <v>#VALUE!</v>
      </c>
    </row>
    <row r="1315" spans="1:19" x14ac:dyDescent="0.35">
      <c r="A1315" s="5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6"/>
      <c r="P1315" s="23" t="e">
        <f>TRIM(Tabla1[[#This Row],[Articulo]])</f>
        <v>#VALUE!</v>
      </c>
      <c r="Q1315" s="23" t="e">
        <f>_xlfn.XLOOKUP(Tabla1[[#This Row],[Ean Normalizado]],Consumos!A:A,Consumos!E:E)</f>
        <v>#VALUE!</v>
      </c>
      <c r="R1315" s="22" t="e">
        <f>_xlfn.XLOOKUP(Tabla1[[#This Row],[Ean Normalizado]],tabla_consumos[EAN],tabla_consumos[UM])</f>
        <v>#VALUE!</v>
      </c>
      <c r="S1315" s="22" t="e">
        <f>Tabla1[[#This Row],[StockDisp]]*Tabla1[[#This Row],[UM producto]]</f>
        <v>#VALUE!</v>
      </c>
    </row>
    <row r="1316" spans="1:19" x14ac:dyDescent="0.35">
      <c r="A1316" s="5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6"/>
      <c r="P1316" s="23" t="e">
        <f>TRIM(Tabla1[[#This Row],[Articulo]])</f>
        <v>#VALUE!</v>
      </c>
      <c r="Q1316" s="23" t="e">
        <f>_xlfn.XLOOKUP(Tabla1[[#This Row],[Ean Normalizado]],Consumos!A:A,Consumos!E:E)</f>
        <v>#VALUE!</v>
      </c>
      <c r="R1316" s="22" t="e">
        <f>_xlfn.XLOOKUP(Tabla1[[#This Row],[Ean Normalizado]],tabla_consumos[EAN],tabla_consumos[UM])</f>
        <v>#VALUE!</v>
      </c>
      <c r="S1316" s="22" t="e">
        <f>Tabla1[[#This Row],[StockDisp]]*Tabla1[[#This Row],[UM producto]]</f>
        <v>#VALUE!</v>
      </c>
    </row>
    <row r="1317" spans="1:19" x14ac:dyDescent="0.35">
      <c r="A1317" s="5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6"/>
      <c r="P1317" s="23" t="e">
        <f>TRIM(Tabla1[[#This Row],[Articulo]])</f>
        <v>#VALUE!</v>
      </c>
      <c r="Q1317" s="23" t="e">
        <f>_xlfn.XLOOKUP(Tabla1[[#This Row],[Ean Normalizado]],Consumos!A:A,Consumos!E:E)</f>
        <v>#VALUE!</v>
      </c>
      <c r="R1317" s="22" t="e">
        <f>_xlfn.XLOOKUP(Tabla1[[#This Row],[Ean Normalizado]],tabla_consumos[EAN],tabla_consumos[UM])</f>
        <v>#VALUE!</v>
      </c>
      <c r="S1317" s="22" t="e">
        <f>Tabla1[[#This Row],[StockDisp]]*Tabla1[[#This Row],[UM producto]]</f>
        <v>#VALUE!</v>
      </c>
    </row>
    <row r="1318" spans="1:19" x14ac:dyDescent="0.35">
      <c r="A1318" s="5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6"/>
      <c r="P1318" s="23" t="e">
        <f>TRIM(Tabla1[[#This Row],[Articulo]])</f>
        <v>#VALUE!</v>
      </c>
      <c r="Q1318" s="23" t="e">
        <f>_xlfn.XLOOKUP(Tabla1[[#This Row],[Ean Normalizado]],Consumos!A:A,Consumos!E:E)</f>
        <v>#VALUE!</v>
      </c>
      <c r="R1318" s="22" t="e">
        <f>_xlfn.XLOOKUP(Tabla1[[#This Row],[Ean Normalizado]],tabla_consumos[EAN],tabla_consumos[UM])</f>
        <v>#VALUE!</v>
      </c>
      <c r="S1318" s="22" t="e">
        <f>Tabla1[[#This Row],[StockDisp]]*Tabla1[[#This Row],[UM producto]]</f>
        <v>#VALUE!</v>
      </c>
    </row>
    <row r="1319" spans="1:19" x14ac:dyDescent="0.35">
      <c r="A1319" s="5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6"/>
      <c r="P1319" s="23" t="e">
        <f>TRIM(Tabla1[[#This Row],[Articulo]])</f>
        <v>#VALUE!</v>
      </c>
      <c r="Q1319" s="23" t="e">
        <f>_xlfn.XLOOKUP(Tabla1[[#This Row],[Ean Normalizado]],Consumos!A:A,Consumos!E:E)</f>
        <v>#VALUE!</v>
      </c>
      <c r="R1319" s="22" t="e">
        <f>_xlfn.XLOOKUP(Tabla1[[#This Row],[Ean Normalizado]],tabla_consumos[EAN],tabla_consumos[UM])</f>
        <v>#VALUE!</v>
      </c>
      <c r="S1319" s="22" t="e">
        <f>Tabla1[[#This Row],[StockDisp]]*Tabla1[[#This Row],[UM producto]]</f>
        <v>#VALUE!</v>
      </c>
    </row>
    <row r="1320" spans="1:19" x14ac:dyDescent="0.35">
      <c r="A1320" s="5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6"/>
      <c r="P1320" s="23" t="e">
        <f>TRIM(Tabla1[[#This Row],[Articulo]])</f>
        <v>#VALUE!</v>
      </c>
      <c r="Q1320" s="23" t="e">
        <f>_xlfn.XLOOKUP(Tabla1[[#This Row],[Ean Normalizado]],Consumos!A:A,Consumos!E:E)</f>
        <v>#VALUE!</v>
      </c>
      <c r="R1320" s="22" t="e">
        <f>_xlfn.XLOOKUP(Tabla1[[#This Row],[Ean Normalizado]],tabla_consumos[EAN],tabla_consumos[UM])</f>
        <v>#VALUE!</v>
      </c>
      <c r="S1320" s="22" t="e">
        <f>Tabla1[[#This Row],[StockDisp]]*Tabla1[[#This Row],[UM producto]]</f>
        <v>#VALUE!</v>
      </c>
    </row>
    <row r="1321" spans="1:19" x14ac:dyDescent="0.35">
      <c r="A1321" s="5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6"/>
      <c r="P1321" s="23" t="e">
        <f>TRIM(Tabla1[[#This Row],[Articulo]])</f>
        <v>#VALUE!</v>
      </c>
      <c r="Q1321" s="23" t="e">
        <f>_xlfn.XLOOKUP(Tabla1[[#This Row],[Ean Normalizado]],Consumos!A:A,Consumos!E:E)</f>
        <v>#VALUE!</v>
      </c>
      <c r="R1321" s="22" t="e">
        <f>_xlfn.XLOOKUP(Tabla1[[#This Row],[Ean Normalizado]],tabla_consumos[EAN],tabla_consumos[UM])</f>
        <v>#VALUE!</v>
      </c>
      <c r="S1321" s="22" t="e">
        <f>Tabla1[[#This Row],[StockDisp]]*Tabla1[[#This Row],[UM producto]]</f>
        <v>#VALUE!</v>
      </c>
    </row>
    <row r="1322" spans="1:19" x14ac:dyDescent="0.35">
      <c r="A1322" s="5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6"/>
      <c r="P1322" s="23" t="e">
        <f>TRIM(Tabla1[[#This Row],[Articulo]])</f>
        <v>#VALUE!</v>
      </c>
      <c r="Q1322" s="23" t="e">
        <f>_xlfn.XLOOKUP(Tabla1[[#This Row],[Ean Normalizado]],Consumos!A:A,Consumos!E:E)</f>
        <v>#VALUE!</v>
      </c>
      <c r="R1322" s="22" t="e">
        <f>_xlfn.XLOOKUP(Tabla1[[#This Row],[Ean Normalizado]],tabla_consumos[EAN],tabla_consumos[UM])</f>
        <v>#VALUE!</v>
      </c>
      <c r="S1322" s="22" t="e">
        <f>Tabla1[[#This Row],[StockDisp]]*Tabla1[[#This Row],[UM producto]]</f>
        <v>#VALUE!</v>
      </c>
    </row>
    <row r="1323" spans="1:19" x14ac:dyDescent="0.35">
      <c r="A1323" s="5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6"/>
      <c r="P1323" s="23" t="e">
        <f>TRIM(Tabla1[[#This Row],[Articulo]])</f>
        <v>#VALUE!</v>
      </c>
      <c r="Q1323" s="23" t="e">
        <f>_xlfn.XLOOKUP(Tabla1[[#This Row],[Ean Normalizado]],Consumos!A:A,Consumos!E:E)</f>
        <v>#VALUE!</v>
      </c>
      <c r="R1323" s="22" t="e">
        <f>_xlfn.XLOOKUP(Tabla1[[#This Row],[Ean Normalizado]],tabla_consumos[EAN],tabla_consumos[UM])</f>
        <v>#VALUE!</v>
      </c>
      <c r="S1323" s="22" t="e">
        <f>Tabla1[[#This Row],[StockDisp]]*Tabla1[[#This Row],[UM producto]]</f>
        <v>#VALUE!</v>
      </c>
    </row>
    <row r="1324" spans="1:19" x14ac:dyDescent="0.35">
      <c r="A1324" s="5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6"/>
      <c r="P1324" s="23" t="e">
        <f>TRIM(Tabla1[[#This Row],[Articulo]])</f>
        <v>#VALUE!</v>
      </c>
      <c r="Q1324" s="23" t="e">
        <f>_xlfn.XLOOKUP(Tabla1[[#This Row],[Ean Normalizado]],Consumos!A:A,Consumos!E:E)</f>
        <v>#VALUE!</v>
      </c>
      <c r="R1324" s="22" t="e">
        <f>_xlfn.XLOOKUP(Tabla1[[#This Row],[Ean Normalizado]],tabla_consumos[EAN],tabla_consumos[UM])</f>
        <v>#VALUE!</v>
      </c>
      <c r="S1324" s="22" t="e">
        <f>Tabla1[[#This Row],[StockDisp]]*Tabla1[[#This Row],[UM producto]]</f>
        <v>#VALUE!</v>
      </c>
    </row>
    <row r="1325" spans="1:19" x14ac:dyDescent="0.35">
      <c r="A1325" s="5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6"/>
      <c r="P1325" s="23" t="e">
        <f>TRIM(Tabla1[[#This Row],[Articulo]])</f>
        <v>#VALUE!</v>
      </c>
      <c r="Q1325" s="23" t="e">
        <f>_xlfn.XLOOKUP(Tabla1[[#This Row],[Ean Normalizado]],Consumos!A:A,Consumos!E:E)</f>
        <v>#VALUE!</v>
      </c>
      <c r="R1325" s="22" t="e">
        <f>_xlfn.XLOOKUP(Tabla1[[#This Row],[Ean Normalizado]],tabla_consumos[EAN],tabla_consumos[UM])</f>
        <v>#VALUE!</v>
      </c>
      <c r="S1325" s="22" t="e">
        <f>Tabla1[[#This Row],[StockDisp]]*Tabla1[[#This Row],[UM producto]]</f>
        <v>#VALUE!</v>
      </c>
    </row>
    <row r="1326" spans="1:19" x14ac:dyDescent="0.35">
      <c r="A1326" s="5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6"/>
      <c r="P1326" s="23" t="e">
        <f>TRIM(Tabla1[[#This Row],[Articulo]])</f>
        <v>#VALUE!</v>
      </c>
      <c r="Q1326" s="23" t="e">
        <f>_xlfn.XLOOKUP(Tabla1[[#This Row],[Ean Normalizado]],Consumos!A:A,Consumos!E:E)</f>
        <v>#VALUE!</v>
      </c>
      <c r="R1326" s="22" t="e">
        <f>_xlfn.XLOOKUP(Tabla1[[#This Row],[Ean Normalizado]],tabla_consumos[EAN],tabla_consumos[UM])</f>
        <v>#VALUE!</v>
      </c>
      <c r="S1326" s="22" t="e">
        <f>Tabla1[[#This Row],[StockDisp]]*Tabla1[[#This Row],[UM producto]]</f>
        <v>#VALUE!</v>
      </c>
    </row>
    <row r="1327" spans="1:19" x14ac:dyDescent="0.35">
      <c r="A1327" s="5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6"/>
      <c r="P1327" s="23" t="e">
        <f>TRIM(Tabla1[[#This Row],[Articulo]])</f>
        <v>#VALUE!</v>
      </c>
      <c r="Q1327" s="23" t="e">
        <f>_xlfn.XLOOKUP(Tabla1[[#This Row],[Ean Normalizado]],Consumos!A:A,Consumos!E:E)</f>
        <v>#VALUE!</v>
      </c>
      <c r="R1327" s="22" t="e">
        <f>_xlfn.XLOOKUP(Tabla1[[#This Row],[Ean Normalizado]],tabla_consumos[EAN],tabla_consumos[UM])</f>
        <v>#VALUE!</v>
      </c>
      <c r="S1327" s="22" t="e">
        <f>Tabla1[[#This Row],[StockDisp]]*Tabla1[[#This Row],[UM producto]]</f>
        <v>#VALUE!</v>
      </c>
    </row>
    <row r="1328" spans="1:19" x14ac:dyDescent="0.35">
      <c r="A1328" s="5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6"/>
      <c r="P1328" s="23" t="e">
        <f>TRIM(Tabla1[[#This Row],[Articulo]])</f>
        <v>#VALUE!</v>
      </c>
      <c r="Q1328" s="23" t="e">
        <f>_xlfn.XLOOKUP(Tabla1[[#This Row],[Ean Normalizado]],Consumos!A:A,Consumos!E:E)</f>
        <v>#VALUE!</v>
      </c>
      <c r="R1328" s="22" t="e">
        <f>_xlfn.XLOOKUP(Tabla1[[#This Row],[Ean Normalizado]],tabla_consumos[EAN],tabla_consumos[UM])</f>
        <v>#VALUE!</v>
      </c>
      <c r="S1328" s="22" t="e">
        <f>Tabla1[[#This Row],[StockDisp]]*Tabla1[[#This Row],[UM producto]]</f>
        <v>#VALUE!</v>
      </c>
    </row>
    <row r="1329" spans="1:19" x14ac:dyDescent="0.35">
      <c r="A1329" s="5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6"/>
      <c r="P1329" s="23" t="e">
        <f>TRIM(Tabla1[[#This Row],[Articulo]])</f>
        <v>#VALUE!</v>
      </c>
      <c r="Q1329" s="23" t="e">
        <f>_xlfn.XLOOKUP(Tabla1[[#This Row],[Ean Normalizado]],Consumos!A:A,Consumos!E:E)</f>
        <v>#VALUE!</v>
      </c>
      <c r="R1329" s="22" t="e">
        <f>_xlfn.XLOOKUP(Tabla1[[#This Row],[Ean Normalizado]],tabla_consumos[EAN],tabla_consumos[UM])</f>
        <v>#VALUE!</v>
      </c>
      <c r="S1329" s="22" t="e">
        <f>Tabla1[[#This Row],[StockDisp]]*Tabla1[[#This Row],[UM producto]]</f>
        <v>#VALUE!</v>
      </c>
    </row>
    <row r="1330" spans="1:19" x14ac:dyDescent="0.35">
      <c r="A1330" s="5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6"/>
      <c r="P1330" s="23" t="e">
        <f>TRIM(Tabla1[[#This Row],[Articulo]])</f>
        <v>#VALUE!</v>
      </c>
      <c r="Q1330" s="23" t="e">
        <f>_xlfn.XLOOKUP(Tabla1[[#This Row],[Ean Normalizado]],Consumos!A:A,Consumos!E:E)</f>
        <v>#VALUE!</v>
      </c>
      <c r="R1330" s="22" t="e">
        <f>_xlfn.XLOOKUP(Tabla1[[#This Row],[Ean Normalizado]],tabla_consumos[EAN],tabla_consumos[UM])</f>
        <v>#VALUE!</v>
      </c>
      <c r="S1330" s="22" t="e">
        <f>Tabla1[[#This Row],[StockDisp]]*Tabla1[[#This Row],[UM producto]]</f>
        <v>#VALUE!</v>
      </c>
    </row>
    <row r="1331" spans="1:19" x14ac:dyDescent="0.35">
      <c r="A1331" s="5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6"/>
      <c r="P1331" s="23" t="e">
        <f>TRIM(Tabla1[[#This Row],[Articulo]])</f>
        <v>#VALUE!</v>
      </c>
      <c r="Q1331" s="23" t="e">
        <f>_xlfn.XLOOKUP(Tabla1[[#This Row],[Ean Normalizado]],Consumos!A:A,Consumos!E:E)</f>
        <v>#VALUE!</v>
      </c>
      <c r="R1331" s="22" t="e">
        <f>_xlfn.XLOOKUP(Tabla1[[#This Row],[Ean Normalizado]],tabla_consumos[EAN],tabla_consumos[UM])</f>
        <v>#VALUE!</v>
      </c>
      <c r="S1331" s="22" t="e">
        <f>Tabla1[[#This Row],[StockDisp]]*Tabla1[[#This Row],[UM producto]]</f>
        <v>#VALUE!</v>
      </c>
    </row>
    <row r="1332" spans="1:19" x14ac:dyDescent="0.35">
      <c r="A1332" s="5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6"/>
      <c r="P1332" s="23" t="e">
        <f>TRIM(Tabla1[[#This Row],[Articulo]])</f>
        <v>#VALUE!</v>
      </c>
      <c r="Q1332" s="23" t="e">
        <f>_xlfn.XLOOKUP(Tabla1[[#This Row],[Ean Normalizado]],Consumos!A:A,Consumos!E:E)</f>
        <v>#VALUE!</v>
      </c>
      <c r="R1332" s="22" t="e">
        <f>_xlfn.XLOOKUP(Tabla1[[#This Row],[Ean Normalizado]],tabla_consumos[EAN],tabla_consumos[UM])</f>
        <v>#VALUE!</v>
      </c>
      <c r="S1332" s="22" t="e">
        <f>Tabla1[[#This Row],[StockDisp]]*Tabla1[[#This Row],[UM producto]]</f>
        <v>#VALUE!</v>
      </c>
    </row>
    <row r="1333" spans="1:19" x14ac:dyDescent="0.35">
      <c r="A1333" s="5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6"/>
      <c r="P1333" s="23" t="e">
        <f>TRIM(Tabla1[[#This Row],[Articulo]])</f>
        <v>#VALUE!</v>
      </c>
      <c r="Q1333" s="23" t="e">
        <f>_xlfn.XLOOKUP(Tabla1[[#This Row],[Ean Normalizado]],Consumos!A:A,Consumos!E:E)</f>
        <v>#VALUE!</v>
      </c>
      <c r="R1333" s="22" t="e">
        <f>_xlfn.XLOOKUP(Tabla1[[#This Row],[Ean Normalizado]],tabla_consumos[EAN],tabla_consumos[UM])</f>
        <v>#VALUE!</v>
      </c>
      <c r="S1333" s="22" t="e">
        <f>Tabla1[[#This Row],[StockDisp]]*Tabla1[[#This Row],[UM producto]]</f>
        <v>#VALUE!</v>
      </c>
    </row>
    <row r="1334" spans="1:19" x14ac:dyDescent="0.35">
      <c r="A1334" s="5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6"/>
      <c r="P1334" s="23" t="e">
        <f>TRIM(Tabla1[[#This Row],[Articulo]])</f>
        <v>#VALUE!</v>
      </c>
      <c r="Q1334" s="23" t="e">
        <f>_xlfn.XLOOKUP(Tabla1[[#This Row],[Ean Normalizado]],Consumos!A:A,Consumos!E:E)</f>
        <v>#VALUE!</v>
      </c>
      <c r="R1334" s="22" t="e">
        <f>_xlfn.XLOOKUP(Tabla1[[#This Row],[Ean Normalizado]],tabla_consumos[EAN],tabla_consumos[UM])</f>
        <v>#VALUE!</v>
      </c>
      <c r="S1334" s="22" t="e">
        <f>Tabla1[[#This Row],[StockDisp]]*Tabla1[[#This Row],[UM producto]]</f>
        <v>#VALUE!</v>
      </c>
    </row>
    <row r="1335" spans="1:19" x14ac:dyDescent="0.35">
      <c r="A1335" s="5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6"/>
      <c r="P1335" s="23" t="e">
        <f>TRIM(Tabla1[[#This Row],[Articulo]])</f>
        <v>#VALUE!</v>
      </c>
      <c r="Q1335" s="23" t="e">
        <f>_xlfn.XLOOKUP(Tabla1[[#This Row],[Ean Normalizado]],Consumos!A:A,Consumos!E:E)</f>
        <v>#VALUE!</v>
      </c>
      <c r="R1335" s="22" t="e">
        <f>_xlfn.XLOOKUP(Tabla1[[#This Row],[Ean Normalizado]],tabla_consumos[EAN],tabla_consumos[UM])</f>
        <v>#VALUE!</v>
      </c>
      <c r="S1335" s="22" t="e">
        <f>Tabla1[[#This Row],[StockDisp]]*Tabla1[[#This Row],[UM producto]]</f>
        <v>#VALUE!</v>
      </c>
    </row>
    <row r="1336" spans="1:19" x14ac:dyDescent="0.35">
      <c r="A1336" s="5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6"/>
      <c r="P1336" s="23" t="e">
        <f>TRIM(Tabla1[[#This Row],[Articulo]])</f>
        <v>#VALUE!</v>
      </c>
      <c r="Q1336" s="23" t="e">
        <f>_xlfn.XLOOKUP(Tabla1[[#This Row],[Ean Normalizado]],Consumos!A:A,Consumos!E:E)</f>
        <v>#VALUE!</v>
      </c>
      <c r="R1336" s="22" t="e">
        <f>_xlfn.XLOOKUP(Tabla1[[#This Row],[Ean Normalizado]],tabla_consumos[EAN],tabla_consumos[UM])</f>
        <v>#VALUE!</v>
      </c>
      <c r="S1336" s="22" t="e">
        <f>Tabla1[[#This Row],[StockDisp]]*Tabla1[[#This Row],[UM producto]]</f>
        <v>#VALUE!</v>
      </c>
    </row>
    <row r="1337" spans="1:19" x14ac:dyDescent="0.35">
      <c r="A1337" s="5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6"/>
      <c r="P1337" s="23" t="e">
        <f>TRIM(Tabla1[[#This Row],[Articulo]])</f>
        <v>#VALUE!</v>
      </c>
      <c r="Q1337" s="23" t="e">
        <f>_xlfn.XLOOKUP(Tabla1[[#This Row],[Ean Normalizado]],Consumos!A:A,Consumos!E:E)</f>
        <v>#VALUE!</v>
      </c>
      <c r="R1337" s="22" t="e">
        <f>_xlfn.XLOOKUP(Tabla1[[#This Row],[Ean Normalizado]],tabla_consumos[EAN],tabla_consumos[UM])</f>
        <v>#VALUE!</v>
      </c>
      <c r="S1337" s="22" t="e">
        <f>Tabla1[[#This Row],[StockDisp]]*Tabla1[[#This Row],[UM producto]]</f>
        <v>#VALUE!</v>
      </c>
    </row>
    <row r="1338" spans="1:19" x14ac:dyDescent="0.35">
      <c r="A1338" s="5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6"/>
      <c r="P1338" s="23" t="e">
        <f>TRIM(Tabla1[[#This Row],[Articulo]])</f>
        <v>#VALUE!</v>
      </c>
      <c r="Q1338" s="23" t="e">
        <f>_xlfn.XLOOKUP(Tabla1[[#This Row],[Ean Normalizado]],Consumos!A:A,Consumos!E:E)</f>
        <v>#VALUE!</v>
      </c>
      <c r="R1338" s="22" t="e">
        <f>_xlfn.XLOOKUP(Tabla1[[#This Row],[Ean Normalizado]],tabla_consumos[EAN],tabla_consumos[UM])</f>
        <v>#VALUE!</v>
      </c>
      <c r="S1338" s="22" t="e">
        <f>Tabla1[[#This Row],[StockDisp]]*Tabla1[[#This Row],[UM producto]]</f>
        <v>#VALUE!</v>
      </c>
    </row>
    <row r="1339" spans="1:19" x14ac:dyDescent="0.35">
      <c r="A1339" s="5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6"/>
      <c r="P1339" s="23" t="e">
        <f>TRIM(Tabla1[[#This Row],[Articulo]])</f>
        <v>#VALUE!</v>
      </c>
      <c r="Q1339" s="23" t="e">
        <f>_xlfn.XLOOKUP(Tabla1[[#This Row],[Ean Normalizado]],Consumos!A:A,Consumos!E:E)</f>
        <v>#VALUE!</v>
      </c>
      <c r="R1339" s="22" t="e">
        <f>_xlfn.XLOOKUP(Tabla1[[#This Row],[Ean Normalizado]],tabla_consumos[EAN],tabla_consumos[UM])</f>
        <v>#VALUE!</v>
      </c>
      <c r="S1339" s="22" t="e">
        <f>Tabla1[[#This Row],[StockDisp]]*Tabla1[[#This Row],[UM producto]]</f>
        <v>#VALUE!</v>
      </c>
    </row>
    <row r="1340" spans="1:19" x14ac:dyDescent="0.35">
      <c r="A1340" s="5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6"/>
      <c r="P1340" s="23" t="e">
        <f>TRIM(Tabla1[[#This Row],[Articulo]])</f>
        <v>#VALUE!</v>
      </c>
      <c r="Q1340" s="23" t="e">
        <f>_xlfn.XLOOKUP(Tabla1[[#This Row],[Ean Normalizado]],Consumos!A:A,Consumos!E:E)</f>
        <v>#VALUE!</v>
      </c>
      <c r="R1340" s="22" t="e">
        <f>_xlfn.XLOOKUP(Tabla1[[#This Row],[Ean Normalizado]],tabla_consumos[EAN],tabla_consumos[UM])</f>
        <v>#VALUE!</v>
      </c>
      <c r="S1340" s="22" t="e">
        <f>Tabla1[[#This Row],[StockDisp]]*Tabla1[[#This Row],[UM producto]]</f>
        <v>#VALUE!</v>
      </c>
    </row>
    <row r="1341" spans="1:19" x14ac:dyDescent="0.35">
      <c r="A1341" s="5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6"/>
      <c r="P1341" s="23" t="e">
        <f>TRIM(Tabla1[[#This Row],[Articulo]])</f>
        <v>#VALUE!</v>
      </c>
      <c r="Q1341" s="23" t="e">
        <f>_xlfn.XLOOKUP(Tabla1[[#This Row],[Ean Normalizado]],Consumos!A:A,Consumos!E:E)</f>
        <v>#VALUE!</v>
      </c>
      <c r="R1341" s="22" t="e">
        <f>_xlfn.XLOOKUP(Tabla1[[#This Row],[Ean Normalizado]],tabla_consumos[EAN],tabla_consumos[UM])</f>
        <v>#VALUE!</v>
      </c>
      <c r="S1341" s="22" t="e">
        <f>Tabla1[[#This Row],[StockDisp]]*Tabla1[[#This Row],[UM producto]]</f>
        <v>#VALUE!</v>
      </c>
    </row>
    <row r="1342" spans="1:19" x14ac:dyDescent="0.35">
      <c r="A1342" s="5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6"/>
      <c r="P1342" s="23" t="e">
        <f>TRIM(Tabla1[[#This Row],[Articulo]])</f>
        <v>#VALUE!</v>
      </c>
      <c r="Q1342" s="23" t="e">
        <f>_xlfn.XLOOKUP(Tabla1[[#This Row],[Ean Normalizado]],Consumos!A:A,Consumos!E:E)</f>
        <v>#VALUE!</v>
      </c>
      <c r="R1342" s="22" t="e">
        <f>_xlfn.XLOOKUP(Tabla1[[#This Row],[Ean Normalizado]],tabla_consumos[EAN],tabla_consumos[UM])</f>
        <v>#VALUE!</v>
      </c>
      <c r="S1342" s="22" t="e">
        <f>Tabla1[[#This Row],[StockDisp]]*Tabla1[[#This Row],[UM producto]]</f>
        <v>#VALUE!</v>
      </c>
    </row>
    <row r="1343" spans="1:19" x14ac:dyDescent="0.35">
      <c r="A1343" s="5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6"/>
      <c r="P1343" s="23" t="e">
        <f>TRIM(Tabla1[[#This Row],[Articulo]])</f>
        <v>#VALUE!</v>
      </c>
      <c r="Q1343" s="23" t="e">
        <f>_xlfn.XLOOKUP(Tabla1[[#This Row],[Ean Normalizado]],Consumos!A:A,Consumos!E:E)</f>
        <v>#VALUE!</v>
      </c>
      <c r="R1343" s="22" t="e">
        <f>_xlfn.XLOOKUP(Tabla1[[#This Row],[Ean Normalizado]],tabla_consumos[EAN],tabla_consumos[UM])</f>
        <v>#VALUE!</v>
      </c>
      <c r="S1343" s="22" t="e">
        <f>Tabla1[[#This Row],[StockDisp]]*Tabla1[[#This Row],[UM producto]]</f>
        <v>#VALUE!</v>
      </c>
    </row>
    <row r="1344" spans="1:19" x14ac:dyDescent="0.35">
      <c r="A1344" s="5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6"/>
      <c r="P1344" s="23" t="e">
        <f>TRIM(Tabla1[[#This Row],[Articulo]])</f>
        <v>#VALUE!</v>
      </c>
      <c r="Q1344" s="23" t="e">
        <f>_xlfn.XLOOKUP(Tabla1[[#This Row],[Ean Normalizado]],Consumos!A:A,Consumos!E:E)</f>
        <v>#VALUE!</v>
      </c>
      <c r="R1344" s="22" t="e">
        <f>_xlfn.XLOOKUP(Tabla1[[#This Row],[Ean Normalizado]],tabla_consumos[EAN],tabla_consumos[UM])</f>
        <v>#VALUE!</v>
      </c>
      <c r="S1344" s="22" t="e">
        <f>Tabla1[[#This Row],[StockDisp]]*Tabla1[[#This Row],[UM producto]]</f>
        <v>#VALUE!</v>
      </c>
    </row>
    <row r="1345" spans="1:19" x14ac:dyDescent="0.35">
      <c r="A1345" s="5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6"/>
      <c r="P1345" s="23" t="e">
        <f>TRIM(Tabla1[[#This Row],[Articulo]])</f>
        <v>#VALUE!</v>
      </c>
      <c r="Q1345" s="23" t="e">
        <f>_xlfn.XLOOKUP(Tabla1[[#This Row],[Ean Normalizado]],Consumos!A:A,Consumos!E:E)</f>
        <v>#VALUE!</v>
      </c>
      <c r="R1345" s="22" t="e">
        <f>_xlfn.XLOOKUP(Tabla1[[#This Row],[Ean Normalizado]],tabla_consumos[EAN],tabla_consumos[UM])</f>
        <v>#VALUE!</v>
      </c>
      <c r="S1345" s="22" t="e">
        <f>Tabla1[[#This Row],[StockDisp]]*Tabla1[[#This Row],[UM producto]]</f>
        <v>#VALUE!</v>
      </c>
    </row>
    <row r="1346" spans="1:19" x14ac:dyDescent="0.35">
      <c r="A1346" s="5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6"/>
      <c r="P1346" s="23" t="e">
        <f>TRIM(Tabla1[[#This Row],[Articulo]])</f>
        <v>#VALUE!</v>
      </c>
      <c r="Q1346" s="23" t="e">
        <f>_xlfn.XLOOKUP(Tabla1[[#This Row],[Ean Normalizado]],Consumos!A:A,Consumos!E:E)</f>
        <v>#VALUE!</v>
      </c>
      <c r="R1346" s="22" t="e">
        <f>_xlfn.XLOOKUP(Tabla1[[#This Row],[Ean Normalizado]],tabla_consumos[EAN],tabla_consumos[UM])</f>
        <v>#VALUE!</v>
      </c>
      <c r="S1346" s="22" t="e">
        <f>Tabla1[[#This Row],[StockDisp]]*Tabla1[[#This Row],[UM producto]]</f>
        <v>#VALUE!</v>
      </c>
    </row>
    <row r="1347" spans="1:19" x14ac:dyDescent="0.35">
      <c r="A1347" s="5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6"/>
      <c r="P1347" s="23" t="e">
        <f>TRIM(Tabla1[[#This Row],[Articulo]])</f>
        <v>#VALUE!</v>
      </c>
      <c r="Q1347" s="23" t="e">
        <f>_xlfn.XLOOKUP(Tabla1[[#This Row],[Ean Normalizado]],Consumos!A:A,Consumos!E:E)</f>
        <v>#VALUE!</v>
      </c>
      <c r="R1347" s="22" t="e">
        <f>_xlfn.XLOOKUP(Tabla1[[#This Row],[Ean Normalizado]],tabla_consumos[EAN],tabla_consumos[UM])</f>
        <v>#VALUE!</v>
      </c>
      <c r="S1347" s="22" t="e">
        <f>Tabla1[[#This Row],[StockDisp]]*Tabla1[[#This Row],[UM producto]]</f>
        <v>#VALUE!</v>
      </c>
    </row>
    <row r="1348" spans="1:19" x14ac:dyDescent="0.35">
      <c r="A1348" s="5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6"/>
      <c r="P1348" s="23" t="e">
        <f>TRIM(Tabla1[[#This Row],[Articulo]])</f>
        <v>#VALUE!</v>
      </c>
      <c r="Q1348" s="23" t="e">
        <f>_xlfn.XLOOKUP(Tabla1[[#This Row],[Ean Normalizado]],Consumos!A:A,Consumos!E:E)</f>
        <v>#VALUE!</v>
      </c>
      <c r="R1348" s="22" t="e">
        <f>_xlfn.XLOOKUP(Tabla1[[#This Row],[Ean Normalizado]],tabla_consumos[EAN],tabla_consumos[UM])</f>
        <v>#VALUE!</v>
      </c>
      <c r="S1348" s="22" t="e">
        <f>Tabla1[[#This Row],[StockDisp]]*Tabla1[[#This Row],[UM producto]]</f>
        <v>#VALUE!</v>
      </c>
    </row>
    <row r="1349" spans="1:19" x14ac:dyDescent="0.35">
      <c r="A1349" s="5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6"/>
      <c r="P1349" s="23" t="e">
        <f>TRIM(Tabla1[[#This Row],[Articulo]])</f>
        <v>#VALUE!</v>
      </c>
      <c r="Q1349" s="23" t="e">
        <f>_xlfn.XLOOKUP(Tabla1[[#This Row],[Ean Normalizado]],Consumos!A:A,Consumos!E:E)</f>
        <v>#VALUE!</v>
      </c>
      <c r="R1349" s="22" t="e">
        <f>_xlfn.XLOOKUP(Tabla1[[#This Row],[Ean Normalizado]],tabla_consumos[EAN],tabla_consumos[UM])</f>
        <v>#VALUE!</v>
      </c>
      <c r="S1349" s="22" t="e">
        <f>Tabla1[[#This Row],[StockDisp]]*Tabla1[[#This Row],[UM producto]]</f>
        <v>#VALUE!</v>
      </c>
    </row>
    <row r="1350" spans="1:19" x14ac:dyDescent="0.35">
      <c r="A1350" s="5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6"/>
      <c r="P1350" s="23" t="e">
        <f>TRIM(Tabla1[[#This Row],[Articulo]])</f>
        <v>#VALUE!</v>
      </c>
      <c r="Q1350" s="23" t="e">
        <f>_xlfn.XLOOKUP(Tabla1[[#This Row],[Ean Normalizado]],Consumos!A:A,Consumos!E:E)</f>
        <v>#VALUE!</v>
      </c>
      <c r="R1350" s="22" t="e">
        <f>_xlfn.XLOOKUP(Tabla1[[#This Row],[Ean Normalizado]],tabla_consumos[EAN],tabla_consumos[UM])</f>
        <v>#VALUE!</v>
      </c>
      <c r="S1350" s="22" t="e">
        <f>Tabla1[[#This Row],[StockDisp]]*Tabla1[[#This Row],[UM producto]]</f>
        <v>#VALUE!</v>
      </c>
    </row>
    <row r="1351" spans="1:19" x14ac:dyDescent="0.35">
      <c r="A1351" s="5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6"/>
      <c r="P1351" s="23" t="e">
        <f>TRIM(Tabla1[[#This Row],[Articulo]])</f>
        <v>#VALUE!</v>
      </c>
      <c r="Q1351" s="23" t="e">
        <f>_xlfn.XLOOKUP(Tabla1[[#This Row],[Ean Normalizado]],Consumos!A:A,Consumos!E:E)</f>
        <v>#VALUE!</v>
      </c>
      <c r="R1351" s="22" t="e">
        <f>_xlfn.XLOOKUP(Tabla1[[#This Row],[Ean Normalizado]],tabla_consumos[EAN],tabla_consumos[UM])</f>
        <v>#VALUE!</v>
      </c>
      <c r="S1351" s="22" t="e">
        <f>Tabla1[[#This Row],[StockDisp]]*Tabla1[[#This Row],[UM producto]]</f>
        <v>#VALUE!</v>
      </c>
    </row>
    <row r="1352" spans="1:19" x14ac:dyDescent="0.35">
      <c r="A1352" s="5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6"/>
      <c r="P1352" s="23" t="e">
        <f>TRIM(Tabla1[[#This Row],[Articulo]])</f>
        <v>#VALUE!</v>
      </c>
      <c r="Q1352" s="23" t="e">
        <f>_xlfn.XLOOKUP(Tabla1[[#This Row],[Ean Normalizado]],Consumos!A:A,Consumos!E:E)</f>
        <v>#VALUE!</v>
      </c>
      <c r="R1352" s="22" t="e">
        <f>_xlfn.XLOOKUP(Tabla1[[#This Row],[Ean Normalizado]],tabla_consumos[EAN],tabla_consumos[UM])</f>
        <v>#VALUE!</v>
      </c>
      <c r="S1352" s="22" t="e">
        <f>Tabla1[[#This Row],[StockDisp]]*Tabla1[[#This Row],[UM producto]]</f>
        <v>#VALUE!</v>
      </c>
    </row>
    <row r="1353" spans="1:19" x14ac:dyDescent="0.35">
      <c r="A1353" s="5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6"/>
      <c r="P1353" s="23" t="e">
        <f>TRIM(Tabla1[[#This Row],[Articulo]])</f>
        <v>#VALUE!</v>
      </c>
      <c r="Q1353" s="23" t="e">
        <f>_xlfn.XLOOKUP(Tabla1[[#This Row],[Ean Normalizado]],Consumos!A:A,Consumos!E:E)</f>
        <v>#VALUE!</v>
      </c>
      <c r="R1353" s="22" t="e">
        <f>_xlfn.XLOOKUP(Tabla1[[#This Row],[Ean Normalizado]],tabla_consumos[EAN],tabla_consumos[UM])</f>
        <v>#VALUE!</v>
      </c>
      <c r="S1353" s="22" t="e">
        <f>Tabla1[[#This Row],[StockDisp]]*Tabla1[[#This Row],[UM producto]]</f>
        <v>#VALUE!</v>
      </c>
    </row>
    <row r="1354" spans="1:19" x14ac:dyDescent="0.35">
      <c r="A1354" s="5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6"/>
      <c r="P1354" s="23" t="e">
        <f>TRIM(Tabla1[[#This Row],[Articulo]])</f>
        <v>#VALUE!</v>
      </c>
      <c r="Q1354" s="23" t="e">
        <f>_xlfn.XLOOKUP(Tabla1[[#This Row],[Ean Normalizado]],Consumos!A:A,Consumos!E:E)</f>
        <v>#VALUE!</v>
      </c>
      <c r="R1354" s="22" t="e">
        <f>_xlfn.XLOOKUP(Tabla1[[#This Row],[Ean Normalizado]],tabla_consumos[EAN],tabla_consumos[UM])</f>
        <v>#VALUE!</v>
      </c>
      <c r="S1354" s="22" t="e">
        <f>Tabla1[[#This Row],[StockDisp]]*Tabla1[[#This Row],[UM producto]]</f>
        <v>#VALUE!</v>
      </c>
    </row>
    <row r="1355" spans="1:19" x14ac:dyDescent="0.35">
      <c r="A1355" s="5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6"/>
      <c r="P1355" s="23" t="e">
        <f>TRIM(Tabla1[[#This Row],[Articulo]])</f>
        <v>#VALUE!</v>
      </c>
      <c r="Q1355" s="23" t="e">
        <f>_xlfn.XLOOKUP(Tabla1[[#This Row],[Ean Normalizado]],Consumos!A:A,Consumos!E:E)</f>
        <v>#VALUE!</v>
      </c>
      <c r="R1355" s="22" t="e">
        <f>_xlfn.XLOOKUP(Tabla1[[#This Row],[Ean Normalizado]],tabla_consumos[EAN],tabla_consumos[UM])</f>
        <v>#VALUE!</v>
      </c>
      <c r="S1355" s="22" t="e">
        <f>Tabla1[[#This Row],[StockDisp]]*Tabla1[[#This Row],[UM producto]]</f>
        <v>#VALUE!</v>
      </c>
    </row>
    <row r="1356" spans="1:19" x14ac:dyDescent="0.35">
      <c r="A1356" s="5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6"/>
      <c r="P1356" s="23" t="e">
        <f>TRIM(Tabla1[[#This Row],[Articulo]])</f>
        <v>#VALUE!</v>
      </c>
      <c r="Q1356" s="23" t="e">
        <f>_xlfn.XLOOKUP(Tabla1[[#This Row],[Ean Normalizado]],Consumos!A:A,Consumos!E:E)</f>
        <v>#VALUE!</v>
      </c>
      <c r="R1356" s="22" t="e">
        <f>_xlfn.XLOOKUP(Tabla1[[#This Row],[Ean Normalizado]],tabla_consumos[EAN],tabla_consumos[UM])</f>
        <v>#VALUE!</v>
      </c>
      <c r="S1356" s="22" t="e">
        <f>Tabla1[[#This Row],[StockDisp]]*Tabla1[[#This Row],[UM producto]]</f>
        <v>#VALUE!</v>
      </c>
    </row>
    <row r="1357" spans="1:19" x14ac:dyDescent="0.35">
      <c r="A1357" s="5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6"/>
      <c r="P1357" s="23" t="e">
        <f>TRIM(Tabla1[[#This Row],[Articulo]])</f>
        <v>#VALUE!</v>
      </c>
      <c r="Q1357" s="23" t="e">
        <f>_xlfn.XLOOKUP(Tabla1[[#This Row],[Ean Normalizado]],Consumos!A:A,Consumos!E:E)</f>
        <v>#VALUE!</v>
      </c>
      <c r="R1357" s="22" t="e">
        <f>_xlfn.XLOOKUP(Tabla1[[#This Row],[Ean Normalizado]],tabla_consumos[EAN],tabla_consumos[UM])</f>
        <v>#VALUE!</v>
      </c>
      <c r="S1357" s="22" t="e">
        <f>Tabla1[[#This Row],[StockDisp]]*Tabla1[[#This Row],[UM producto]]</f>
        <v>#VALUE!</v>
      </c>
    </row>
    <row r="1358" spans="1:19" x14ac:dyDescent="0.35">
      <c r="A1358" s="5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6"/>
      <c r="P1358" s="23" t="e">
        <f>TRIM(Tabla1[[#This Row],[Articulo]])</f>
        <v>#VALUE!</v>
      </c>
      <c r="Q1358" s="23" t="e">
        <f>_xlfn.XLOOKUP(Tabla1[[#This Row],[Ean Normalizado]],Consumos!A:A,Consumos!E:E)</f>
        <v>#VALUE!</v>
      </c>
      <c r="R1358" s="22" t="e">
        <f>_xlfn.XLOOKUP(Tabla1[[#This Row],[Ean Normalizado]],tabla_consumos[EAN],tabla_consumos[UM])</f>
        <v>#VALUE!</v>
      </c>
      <c r="S1358" s="22" t="e">
        <f>Tabla1[[#This Row],[StockDisp]]*Tabla1[[#This Row],[UM producto]]</f>
        <v>#VALUE!</v>
      </c>
    </row>
    <row r="1359" spans="1:19" x14ac:dyDescent="0.35">
      <c r="A1359" s="5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6"/>
      <c r="P1359" s="23" t="e">
        <f>TRIM(Tabla1[[#This Row],[Articulo]])</f>
        <v>#VALUE!</v>
      </c>
      <c r="Q1359" s="23" t="e">
        <f>_xlfn.XLOOKUP(Tabla1[[#This Row],[Ean Normalizado]],Consumos!A:A,Consumos!E:E)</f>
        <v>#VALUE!</v>
      </c>
      <c r="R1359" s="22" t="e">
        <f>_xlfn.XLOOKUP(Tabla1[[#This Row],[Ean Normalizado]],tabla_consumos[EAN],tabla_consumos[UM])</f>
        <v>#VALUE!</v>
      </c>
      <c r="S1359" s="22" t="e">
        <f>Tabla1[[#This Row],[StockDisp]]*Tabla1[[#This Row],[UM producto]]</f>
        <v>#VALUE!</v>
      </c>
    </row>
    <row r="1360" spans="1:19" x14ac:dyDescent="0.35">
      <c r="A1360" s="5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6"/>
      <c r="P1360" s="23" t="e">
        <f>TRIM(Tabla1[[#This Row],[Articulo]])</f>
        <v>#VALUE!</v>
      </c>
      <c r="Q1360" s="23" t="e">
        <f>_xlfn.XLOOKUP(Tabla1[[#This Row],[Ean Normalizado]],Consumos!A:A,Consumos!E:E)</f>
        <v>#VALUE!</v>
      </c>
      <c r="R1360" s="22" t="e">
        <f>_xlfn.XLOOKUP(Tabla1[[#This Row],[Ean Normalizado]],tabla_consumos[EAN],tabla_consumos[UM])</f>
        <v>#VALUE!</v>
      </c>
      <c r="S1360" s="22" t="e">
        <f>Tabla1[[#This Row],[StockDisp]]*Tabla1[[#This Row],[UM producto]]</f>
        <v>#VALUE!</v>
      </c>
    </row>
    <row r="1361" spans="1:19" x14ac:dyDescent="0.35">
      <c r="A1361" s="5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6"/>
      <c r="P1361" s="23" t="e">
        <f>TRIM(Tabla1[[#This Row],[Articulo]])</f>
        <v>#VALUE!</v>
      </c>
      <c r="Q1361" s="23" t="e">
        <f>_xlfn.XLOOKUP(Tabla1[[#This Row],[Ean Normalizado]],Consumos!A:A,Consumos!E:E)</f>
        <v>#VALUE!</v>
      </c>
      <c r="R1361" s="22" t="e">
        <f>_xlfn.XLOOKUP(Tabla1[[#This Row],[Ean Normalizado]],tabla_consumos[EAN],tabla_consumos[UM])</f>
        <v>#VALUE!</v>
      </c>
      <c r="S1361" s="22" t="e">
        <f>Tabla1[[#This Row],[StockDisp]]*Tabla1[[#This Row],[UM producto]]</f>
        <v>#VALUE!</v>
      </c>
    </row>
    <row r="1362" spans="1:19" x14ac:dyDescent="0.35">
      <c r="A1362" s="5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6"/>
      <c r="P1362" s="23" t="e">
        <f>TRIM(Tabla1[[#This Row],[Articulo]])</f>
        <v>#VALUE!</v>
      </c>
      <c r="Q1362" s="23" t="e">
        <f>_xlfn.XLOOKUP(Tabla1[[#This Row],[Ean Normalizado]],Consumos!A:A,Consumos!E:E)</f>
        <v>#VALUE!</v>
      </c>
      <c r="R1362" s="22" t="e">
        <f>_xlfn.XLOOKUP(Tabla1[[#This Row],[Ean Normalizado]],tabla_consumos[EAN],tabla_consumos[UM])</f>
        <v>#VALUE!</v>
      </c>
      <c r="S1362" s="22" t="e">
        <f>Tabla1[[#This Row],[StockDisp]]*Tabla1[[#This Row],[UM producto]]</f>
        <v>#VALUE!</v>
      </c>
    </row>
    <row r="1363" spans="1:19" x14ac:dyDescent="0.35">
      <c r="A1363" s="5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6"/>
      <c r="P1363" s="23" t="e">
        <f>TRIM(Tabla1[[#This Row],[Articulo]])</f>
        <v>#VALUE!</v>
      </c>
      <c r="Q1363" s="23" t="e">
        <f>_xlfn.XLOOKUP(Tabla1[[#This Row],[Ean Normalizado]],Consumos!A:A,Consumos!E:E)</f>
        <v>#VALUE!</v>
      </c>
      <c r="R1363" s="22" t="e">
        <f>_xlfn.XLOOKUP(Tabla1[[#This Row],[Ean Normalizado]],tabla_consumos[EAN],tabla_consumos[UM])</f>
        <v>#VALUE!</v>
      </c>
      <c r="S1363" s="22" t="e">
        <f>Tabla1[[#This Row],[StockDisp]]*Tabla1[[#This Row],[UM producto]]</f>
        <v>#VALUE!</v>
      </c>
    </row>
    <row r="1364" spans="1:19" x14ac:dyDescent="0.35">
      <c r="A1364" s="5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6"/>
      <c r="P1364" s="23" t="e">
        <f>TRIM(Tabla1[[#This Row],[Articulo]])</f>
        <v>#VALUE!</v>
      </c>
      <c r="Q1364" s="23" t="e">
        <f>_xlfn.XLOOKUP(Tabla1[[#This Row],[Ean Normalizado]],Consumos!A:A,Consumos!E:E)</f>
        <v>#VALUE!</v>
      </c>
      <c r="R1364" s="22" t="e">
        <f>_xlfn.XLOOKUP(Tabla1[[#This Row],[Ean Normalizado]],tabla_consumos[EAN],tabla_consumos[UM])</f>
        <v>#VALUE!</v>
      </c>
      <c r="S1364" s="22" t="e">
        <f>Tabla1[[#This Row],[StockDisp]]*Tabla1[[#This Row],[UM producto]]</f>
        <v>#VALUE!</v>
      </c>
    </row>
    <row r="1365" spans="1:19" x14ac:dyDescent="0.35">
      <c r="A1365" s="5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6"/>
      <c r="P1365" s="23" t="e">
        <f>TRIM(Tabla1[[#This Row],[Articulo]])</f>
        <v>#VALUE!</v>
      </c>
      <c r="Q1365" s="23" t="e">
        <f>_xlfn.XLOOKUP(Tabla1[[#This Row],[Ean Normalizado]],Consumos!A:A,Consumos!E:E)</f>
        <v>#VALUE!</v>
      </c>
      <c r="R1365" s="22" t="e">
        <f>_xlfn.XLOOKUP(Tabla1[[#This Row],[Ean Normalizado]],tabla_consumos[EAN],tabla_consumos[UM])</f>
        <v>#VALUE!</v>
      </c>
      <c r="S1365" s="22" t="e">
        <f>Tabla1[[#This Row],[StockDisp]]*Tabla1[[#This Row],[UM producto]]</f>
        <v>#VALUE!</v>
      </c>
    </row>
    <row r="1366" spans="1:19" x14ac:dyDescent="0.35">
      <c r="A1366" s="5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6"/>
      <c r="P1366" s="23" t="e">
        <f>TRIM(Tabla1[[#This Row],[Articulo]])</f>
        <v>#VALUE!</v>
      </c>
      <c r="Q1366" s="23" t="e">
        <f>_xlfn.XLOOKUP(Tabla1[[#This Row],[Ean Normalizado]],Consumos!A:A,Consumos!E:E)</f>
        <v>#VALUE!</v>
      </c>
      <c r="R1366" s="22" t="e">
        <f>_xlfn.XLOOKUP(Tabla1[[#This Row],[Ean Normalizado]],tabla_consumos[EAN],tabla_consumos[UM])</f>
        <v>#VALUE!</v>
      </c>
      <c r="S1366" s="22" t="e">
        <f>Tabla1[[#This Row],[StockDisp]]*Tabla1[[#This Row],[UM producto]]</f>
        <v>#VALUE!</v>
      </c>
    </row>
    <row r="1367" spans="1:19" x14ac:dyDescent="0.35">
      <c r="A1367" s="5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6"/>
      <c r="P1367" s="23" t="e">
        <f>TRIM(Tabla1[[#This Row],[Articulo]])</f>
        <v>#VALUE!</v>
      </c>
      <c r="Q1367" s="23" t="e">
        <f>_xlfn.XLOOKUP(Tabla1[[#This Row],[Ean Normalizado]],Consumos!A:A,Consumos!E:E)</f>
        <v>#VALUE!</v>
      </c>
      <c r="R1367" s="22" t="e">
        <f>_xlfn.XLOOKUP(Tabla1[[#This Row],[Ean Normalizado]],tabla_consumos[EAN],tabla_consumos[UM])</f>
        <v>#VALUE!</v>
      </c>
      <c r="S1367" s="22" t="e">
        <f>Tabla1[[#This Row],[StockDisp]]*Tabla1[[#This Row],[UM producto]]</f>
        <v>#VALUE!</v>
      </c>
    </row>
    <row r="1368" spans="1:19" x14ac:dyDescent="0.35">
      <c r="A1368" s="5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6"/>
      <c r="P1368" s="23" t="e">
        <f>TRIM(Tabla1[[#This Row],[Articulo]])</f>
        <v>#VALUE!</v>
      </c>
      <c r="Q1368" s="23" t="e">
        <f>_xlfn.XLOOKUP(Tabla1[[#This Row],[Ean Normalizado]],Consumos!A:A,Consumos!E:E)</f>
        <v>#VALUE!</v>
      </c>
      <c r="R1368" s="22" t="e">
        <f>_xlfn.XLOOKUP(Tabla1[[#This Row],[Ean Normalizado]],tabla_consumos[EAN],tabla_consumos[UM])</f>
        <v>#VALUE!</v>
      </c>
      <c r="S1368" s="22" t="e">
        <f>Tabla1[[#This Row],[StockDisp]]*Tabla1[[#This Row],[UM producto]]</f>
        <v>#VALUE!</v>
      </c>
    </row>
    <row r="1369" spans="1:19" x14ac:dyDescent="0.35">
      <c r="A1369" s="5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6"/>
      <c r="P1369" s="23" t="e">
        <f>TRIM(Tabla1[[#This Row],[Articulo]])</f>
        <v>#VALUE!</v>
      </c>
      <c r="Q1369" s="23" t="e">
        <f>_xlfn.XLOOKUP(Tabla1[[#This Row],[Ean Normalizado]],Consumos!A:A,Consumos!E:E)</f>
        <v>#VALUE!</v>
      </c>
      <c r="R1369" s="22" t="e">
        <f>_xlfn.XLOOKUP(Tabla1[[#This Row],[Ean Normalizado]],tabla_consumos[EAN],tabla_consumos[UM])</f>
        <v>#VALUE!</v>
      </c>
      <c r="S1369" s="22" t="e">
        <f>Tabla1[[#This Row],[StockDisp]]*Tabla1[[#This Row],[UM producto]]</f>
        <v>#VALUE!</v>
      </c>
    </row>
    <row r="1370" spans="1:19" x14ac:dyDescent="0.35">
      <c r="A1370" s="5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6"/>
      <c r="P1370" s="23" t="e">
        <f>TRIM(Tabla1[[#This Row],[Articulo]])</f>
        <v>#VALUE!</v>
      </c>
      <c r="Q1370" s="23" t="e">
        <f>_xlfn.XLOOKUP(Tabla1[[#This Row],[Ean Normalizado]],Consumos!A:A,Consumos!E:E)</f>
        <v>#VALUE!</v>
      </c>
      <c r="R1370" s="22" t="e">
        <f>_xlfn.XLOOKUP(Tabla1[[#This Row],[Ean Normalizado]],tabla_consumos[EAN],tabla_consumos[UM])</f>
        <v>#VALUE!</v>
      </c>
      <c r="S1370" s="22" t="e">
        <f>Tabla1[[#This Row],[StockDisp]]*Tabla1[[#This Row],[UM producto]]</f>
        <v>#VALUE!</v>
      </c>
    </row>
    <row r="1371" spans="1:19" x14ac:dyDescent="0.35">
      <c r="A1371" s="5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6"/>
      <c r="P1371" s="23" t="e">
        <f>TRIM(Tabla1[[#This Row],[Articulo]])</f>
        <v>#VALUE!</v>
      </c>
      <c r="Q1371" s="23" t="e">
        <f>_xlfn.XLOOKUP(Tabla1[[#This Row],[Ean Normalizado]],Consumos!A:A,Consumos!E:E)</f>
        <v>#VALUE!</v>
      </c>
      <c r="R1371" s="22" t="e">
        <f>_xlfn.XLOOKUP(Tabla1[[#This Row],[Ean Normalizado]],tabla_consumos[EAN],tabla_consumos[UM])</f>
        <v>#VALUE!</v>
      </c>
      <c r="S1371" s="22" t="e">
        <f>Tabla1[[#This Row],[StockDisp]]*Tabla1[[#This Row],[UM producto]]</f>
        <v>#VALUE!</v>
      </c>
    </row>
    <row r="1372" spans="1:19" x14ac:dyDescent="0.35">
      <c r="A1372" s="5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6"/>
      <c r="P1372" s="23" t="e">
        <f>TRIM(Tabla1[[#This Row],[Articulo]])</f>
        <v>#VALUE!</v>
      </c>
      <c r="Q1372" s="23" t="e">
        <f>_xlfn.XLOOKUP(Tabla1[[#This Row],[Ean Normalizado]],Consumos!A:A,Consumos!E:E)</f>
        <v>#VALUE!</v>
      </c>
      <c r="R1372" s="22" t="e">
        <f>_xlfn.XLOOKUP(Tabla1[[#This Row],[Ean Normalizado]],tabla_consumos[EAN],tabla_consumos[UM])</f>
        <v>#VALUE!</v>
      </c>
      <c r="S1372" s="22" t="e">
        <f>Tabla1[[#This Row],[StockDisp]]*Tabla1[[#This Row],[UM producto]]</f>
        <v>#VALUE!</v>
      </c>
    </row>
    <row r="1373" spans="1:19" x14ac:dyDescent="0.35">
      <c r="A1373" s="5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6"/>
      <c r="P1373" s="23" t="e">
        <f>TRIM(Tabla1[[#This Row],[Articulo]])</f>
        <v>#VALUE!</v>
      </c>
      <c r="Q1373" s="23" t="e">
        <f>_xlfn.XLOOKUP(Tabla1[[#This Row],[Ean Normalizado]],Consumos!A:A,Consumos!E:E)</f>
        <v>#VALUE!</v>
      </c>
      <c r="R1373" s="22" t="e">
        <f>_xlfn.XLOOKUP(Tabla1[[#This Row],[Ean Normalizado]],tabla_consumos[EAN],tabla_consumos[UM])</f>
        <v>#VALUE!</v>
      </c>
      <c r="S1373" s="22" t="e">
        <f>Tabla1[[#This Row],[StockDisp]]*Tabla1[[#This Row],[UM producto]]</f>
        <v>#VALUE!</v>
      </c>
    </row>
    <row r="1374" spans="1:19" x14ac:dyDescent="0.35">
      <c r="A1374" s="5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6"/>
      <c r="P1374" s="23" t="e">
        <f>TRIM(Tabla1[[#This Row],[Articulo]])</f>
        <v>#VALUE!</v>
      </c>
      <c r="Q1374" s="23" t="e">
        <f>_xlfn.XLOOKUP(Tabla1[[#This Row],[Ean Normalizado]],Consumos!A:A,Consumos!E:E)</f>
        <v>#VALUE!</v>
      </c>
      <c r="R1374" s="22" t="e">
        <f>_xlfn.XLOOKUP(Tabla1[[#This Row],[Ean Normalizado]],tabla_consumos[EAN],tabla_consumos[UM])</f>
        <v>#VALUE!</v>
      </c>
      <c r="S1374" s="22" t="e">
        <f>Tabla1[[#This Row],[StockDisp]]*Tabla1[[#This Row],[UM producto]]</f>
        <v>#VALUE!</v>
      </c>
    </row>
    <row r="1375" spans="1:19" x14ac:dyDescent="0.35">
      <c r="A1375" s="5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6"/>
      <c r="P1375" s="23" t="e">
        <f>TRIM(Tabla1[[#This Row],[Articulo]])</f>
        <v>#VALUE!</v>
      </c>
      <c r="Q1375" s="23" t="e">
        <f>_xlfn.XLOOKUP(Tabla1[[#This Row],[Ean Normalizado]],Consumos!A:A,Consumos!E:E)</f>
        <v>#VALUE!</v>
      </c>
      <c r="R1375" s="22" t="e">
        <f>_xlfn.XLOOKUP(Tabla1[[#This Row],[Ean Normalizado]],tabla_consumos[EAN],tabla_consumos[UM])</f>
        <v>#VALUE!</v>
      </c>
      <c r="S1375" s="22" t="e">
        <f>Tabla1[[#This Row],[StockDisp]]*Tabla1[[#This Row],[UM producto]]</f>
        <v>#VALUE!</v>
      </c>
    </row>
    <row r="1376" spans="1:19" x14ac:dyDescent="0.35">
      <c r="A1376" s="5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6"/>
      <c r="P1376" s="23" t="e">
        <f>TRIM(Tabla1[[#This Row],[Articulo]])</f>
        <v>#VALUE!</v>
      </c>
      <c r="Q1376" s="23" t="e">
        <f>_xlfn.XLOOKUP(Tabla1[[#This Row],[Ean Normalizado]],Consumos!A:A,Consumos!E:E)</f>
        <v>#VALUE!</v>
      </c>
      <c r="R1376" s="22" t="e">
        <f>_xlfn.XLOOKUP(Tabla1[[#This Row],[Ean Normalizado]],tabla_consumos[EAN],tabla_consumos[UM])</f>
        <v>#VALUE!</v>
      </c>
      <c r="S1376" s="22" t="e">
        <f>Tabla1[[#This Row],[StockDisp]]*Tabla1[[#This Row],[UM producto]]</f>
        <v>#VALUE!</v>
      </c>
    </row>
    <row r="1377" spans="1:19" x14ac:dyDescent="0.35">
      <c r="A1377" s="5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6"/>
      <c r="P1377" s="23" t="e">
        <f>TRIM(Tabla1[[#This Row],[Articulo]])</f>
        <v>#VALUE!</v>
      </c>
      <c r="Q1377" s="23" t="e">
        <f>_xlfn.XLOOKUP(Tabla1[[#This Row],[Ean Normalizado]],Consumos!A:A,Consumos!E:E)</f>
        <v>#VALUE!</v>
      </c>
      <c r="R1377" s="22" t="e">
        <f>_xlfn.XLOOKUP(Tabla1[[#This Row],[Ean Normalizado]],tabla_consumos[EAN],tabla_consumos[UM])</f>
        <v>#VALUE!</v>
      </c>
      <c r="S1377" s="22" t="e">
        <f>Tabla1[[#This Row],[StockDisp]]*Tabla1[[#This Row],[UM producto]]</f>
        <v>#VALUE!</v>
      </c>
    </row>
    <row r="1378" spans="1:19" x14ac:dyDescent="0.35">
      <c r="A1378" s="5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6"/>
      <c r="P1378" s="23" t="e">
        <f>TRIM(Tabla1[[#This Row],[Articulo]])</f>
        <v>#VALUE!</v>
      </c>
      <c r="Q1378" s="23" t="e">
        <f>_xlfn.XLOOKUP(Tabla1[[#This Row],[Ean Normalizado]],Consumos!A:A,Consumos!E:E)</f>
        <v>#VALUE!</v>
      </c>
      <c r="R1378" s="22" t="e">
        <f>_xlfn.XLOOKUP(Tabla1[[#This Row],[Ean Normalizado]],tabla_consumos[EAN],tabla_consumos[UM])</f>
        <v>#VALUE!</v>
      </c>
      <c r="S1378" s="22" t="e">
        <f>Tabla1[[#This Row],[StockDisp]]*Tabla1[[#This Row],[UM producto]]</f>
        <v>#VALUE!</v>
      </c>
    </row>
    <row r="1379" spans="1:19" x14ac:dyDescent="0.35">
      <c r="A1379" s="5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6"/>
      <c r="P1379" s="23" t="e">
        <f>TRIM(Tabla1[[#This Row],[Articulo]])</f>
        <v>#VALUE!</v>
      </c>
      <c r="Q1379" s="23" t="e">
        <f>_xlfn.XLOOKUP(Tabla1[[#This Row],[Ean Normalizado]],Consumos!A:A,Consumos!E:E)</f>
        <v>#VALUE!</v>
      </c>
      <c r="R1379" s="22" t="e">
        <f>_xlfn.XLOOKUP(Tabla1[[#This Row],[Ean Normalizado]],tabla_consumos[EAN],tabla_consumos[UM])</f>
        <v>#VALUE!</v>
      </c>
      <c r="S1379" s="22" t="e">
        <f>Tabla1[[#This Row],[StockDisp]]*Tabla1[[#This Row],[UM producto]]</f>
        <v>#VALUE!</v>
      </c>
    </row>
    <row r="1380" spans="1:19" x14ac:dyDescent="0.35">
      <c r="A1380" s="5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6"/>
      <c r="P1380" s="23" t="e">
        <f>TRIM(Tabla1[[#This Row],[Articulo]])</f>
        <v>#VALUE!</v>
      </c>
      <c r="Q1380" s="23" t="e">
        <f>_xlfn.XLOOKUP(Tabla1[[#This Row],[Ean Normalizado]],Consumos!A:A,Consumos!E:E)</f>
        <v>#VALUE!</v>
      </c>
      <c r="R1380" s="22" t="e">
        <f>_xlfn.XLOOKUP(Tabla1[[#This Row],[Ean Normalizado]],tabla_consumos[EAN],tabla_consumos[UM])</f>
        <v>#VALUE!</v>
      </c>
      <c r="S1380" s="22" t="e">
        <f>Tabla1[[#This Row],[StockDisp]]*Tabla1[[#This Row],[UM producto]]</f>
        <v>#VALUE!</v>
      </c>
    </row>
    <row r="1381" spans="1:19" x14ac:dyDescent="0.35">
      <c r="A1381" s="5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6"/>
      <c r="P1381" s="23" t="e">
        <f>TRIM(Tabla1[[#This Row],[Articulo]])</f>
        <v>#VALUE!</v>
      </c>
      <c r="Q1381" s="23" t="e">
        <f>_xlfn.XLOOKUP(Tabla1[[#This Row],[Ean Normalizado]],Consumos!A:A,Consumos!E:E)</f>
        <v>#VALUE!</v>
      </c>
      <c r="R1381" s="22" t="e">
        <f>_xlfn.XLOOKUP(Tabla1[[#This Row],[Ean Normalizado]],tabla_consumos[EAN],tabla_consumos[UM])</f>
        <v>#VALUE!</v>
      </c>
      <c r="S1381" s="22" t="e">
        <f>Tabla1[[#This Row],[StockDisp]]*Tabla1[[#This Row],[UM producto]]</f>
        <v>#VALUE!</v>
      </c>
    </row>
    <row r="1382" spans="1:19" x14ac:dyDescent="0.35">
      <c r="A1382" s="5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6"/>
      <c r="P1382" s="23" t="e">
        <f>TRIM(Tabla1[[#This Row],[Articulo]])</f>
        <v>#VALUE!</v>
      </c>
      <c r="Q1382" s="23" t="e">
        <f>_xlfn.XLOOKUP(Tabla1[[#This Row],[Ean Normalizado]],Consumos!A:A,Consumos!E:E)</f>
        <v>#VALUE!</v>
      </c>
      <c r="R1382" s="22" t="e">
        <f>_xlfn.XLOOKUP(Tabla1[[#This Row],[Ean Normalizado]],tabla_consumos[EAN],tabla_consumos[UM])</f>
        <v>#VALUE!</v>
      </c>
      <c r="S1382" s="22" t="e">
        <f>Tabla1[[#This Row],[StockDisp]]*Tabla1[[#This Row],[UM producto]]</f>
        <v>#VALUE!</v>
      </c>
    </row>
    <row r="1383" spans="1:19" x14ac:dyDescent="0.35">
      <c r="A1383" s="5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6"/>
      <c r="P1383" s="23" t="e">
        <f>TRIM(Tabla1[[#This Row],[Articulo]])</f>
        <v>#VALUE!</v>
      </c>
      <c r="Q1383" s="23" t="e">
        <f>_xlfn.XLOOKUP(Tabla1[[#This Row],[Ean Normalizado]],Consumos!A:A,Consumos!E:E)</f>
        <v>#VALUE!</v>
      </c>
      <c r="R1383" s="22" t="e">
        <f>_xlfn.XLOOKUP(Tabla1[[#This Row],[Ean Normalizado]],tabla_consumos[EAN],tabla_consumos[UM])</f>
        <v>#VALUE!</v>
      </c>
      <c r="S1383" s="22" t="e">
        <f>Tabla1[[#This Row],[StockDisp]]*Tabla1[[#This Row],[UM producto]]</f>
        <v>#VALUE!</v>
      </c>
    </row>
    <row r="1384" spans="1:19" x14ac:dyDescent="0.35">
      <c r="A1384" s="5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6"/>
      <c r="P1384" s="23" t="e">
        <f>TRIM(Tabla1[[#This Row],[Articulo]])</f>
        <v>#VALUE!</v>
      </c>
      <c r="Q1384" s="23" t="e">
        <f>_xlfn.XLOOKUP(Tabla1[[#This Row],[Ean Normalizado]],Consumos!A:A,Consumos!E:E)</f>
        <v>#VALUE!</v>
      </c>
      <c r="R1384" s="22" t="e">
        <f>_xlfn.XLOOKUP(Tabla1[[#This Row],[Ean Normalizado]],tabla_consumos[EAN],tabla_consumos[UM])</f>
        <v>#VALUE!</v>
      </c>
      <c r="S1384" s="22" t="e">
        <f>Tabla1[[#This Row],[StockDisp]]*Tabla1[[#This Row],[UM producto]]</f>
        <v>#VALUE!</v>
      </c>
    </row>
    <row r="1385" spans="1:19" x14ac:dyDescent="0.35">
      <c r="A1385" s="5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6"/>
      <c r="P1385" s="23" t="e">
        <f>TRIM(Tabla1[[#This Row],[Articulo]])</f>
        <v>#VALUE!</v>
      </c>
      <c r="Q1385" s="23" t="e">
        <f>_xlfn.XLOOKUP(Tabla1[[#This Row],[Ean Normalizado]],Consumos!A:A,Consumos!E:E)</f>
        <v>#VALUE!</v>
      </c>
      <c r="R1385" s="22" t="e">
        <f>_xlfn.XLOOKUP(Tabla1[[#This Row],[Ean Normalizado]],tabla_consumos[EAN],tabla_consumos[UM])</f>
        <v>#VALUE!</v>
      </c>
      <c r="S1385" s="22" t="e">
        <f>Tabla1[[#This Row],[StockDisp]]*Tabla1[[#This Row],[UM producto]]</f>
        <v>#VALUE!</v>
      </c>
    </row>
    <row r="1386" spans="1:19" x14ac:dyDescent="0.35">
      <c r="A1386" s="5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6"/>
      <c r="P1386" s="23" t="e">
        <f>TRIM(Tabla1[[#This Row],[Articulo]])</f>
        <v>#VALUE!</v>
      </c>
      <c r="Q1386" s="23" t="e">
        <f>_xlfn.XLOOKUP(Tabla1[[#This Row],[Ean Normalizado]],Consumos!A:A,Consumos!E:E)</f>
        <v>#VALUE!</v>
      </c>
      <c r="R1386" s="22" t="e">
        <f>_xlfn.XLOOKUP(Tabla1[[#This Row],[Ean Normalizado]],tabla_consumos[EAN],tabla_consumos[UM])</f>
        <v>#VALUE!</v>
      </c>
      <c r="S1386" s="22" t="e">
        <f>Tabla1[[#This Row],[StockDisp]]*Tabla1[[#This Row],[UM producto]]</f>
        <v>#VALUE!</v>
      </c>
    </row>
    <row r="1387" spans="1:19" x14ac:dyDescent="0.35">
      <c r="A1387" s="5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6"/>
      <c r="P1387" s="23" t="e">
        <f>TRIM(Tabla1[[#This Row],[Articulo]])</f>
        <v>#VALUE!</v>
      </c>
      <c r="Q1387" s="23" t="e">
        <f>_xlfn.XLOOKUP(Tabla1[[#This Row],[Ean Normalizado]],Consumos!A:A,Consumos!E:E)</f>
        <v>#VALUE!</v>
      </c>
      <c r="R1387" s="22" t="e">
        <f>_xlfn.XLOOKUP(Tabla1[[#This Row],[Ean Normalizado]],tabla_consumos[EAN],tabla_consumos[UM])</f>
        <v>#VALUE!</v>
      </c>
      <c r="S1387" s="22" t="e">
        <f>Tabla1[[#This Row],[StockDisp]]*Tabla1[[#This Row],[UM producto]]</f>
        <v>#VALUE!</v>
      </c>
    </row>
    <row r="1388" spans="1:19" x14ac:dyDescent="0.35">
      <c r="A1388" s="5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6"/>
      <c r="P1388" s="23" t="e">
        <f>TRIM(Tabla1[[#This Row],[Articulo]])</f>
        <v>#VALUE!</v>
      </c>
      <c r="Q1388" s="23" t="e">
        <f>_xlfn.XLOOKUP(Tabla1[[#This Row],[Ean Normalizado]],Consumos!A:A,Consumos!E:E)</f>
        <v>#VALUE!</v>
      </c>
      <c r="R1388" s="22" t="e">
        <f>_xlfn.XLOOKUP(Tabla1[[#This Row],[Ean Normalizado]],tabla_consumos[EAN],tabla_consumos[UM])</f>
        <v>#VALUE!</v>
      </c>
      <c r="S1388" s="22" t="e">
        <f>Tabla1[[#This Row],[StockDisp]]*Tabla1[[#This Row],[UM producto]]</f>
        <v>#VALUE!</v>
      </c>
    </row>
    <row r="1389" spans="1:19" x14ac:dyDescent="0.35">
      <c r="A1389" s="5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6"/>
      <c r="P1389" s="23" t="e">
        <f>TRIM(Tabla1[[#This Row],[Articulo]])</f>
        <v>#VALUE!</v>
      </c>
      <c r="Q1389" s="23" t="e">
        <f>_xlfn.XLOOKUP(Tabla1[[#This Row],[Ean Normalizado]],Consumos!A:A,Consumos!E:E)</f>
        <v>#VALUE!</v>
      </c>
      <c r="R1389" s="22" t="e">
        <f>_xlfn.XLOOKUP(Tabla1[[#This Row],[Ean Normalizado]],tabla_consumos[EAN],tabla_consumos[UM])</f>
        <v>#VALUE!</v>
      </c>
      <c r="S1389" s="22" t="e">
        <f>Tabla1[[#This Row],[StockDisp]]*Tabla1[[#This Row],[UM producto]]</f>
        <v>#VALUE!</v>
      </c>
    </row>
    <row r="1390" spans="1:19" x14ac:dyDescent="0.35">
      <c r="A1390" s="5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6"/>
      <c r="P1390" s="23" t="e">
        <f>TRIM(Tabla1[[#This Row],[Articulo]])</f>
        <v>#VALUE!</v>
      </c>
      <c r="Q1390" s="23" t="e">
        <f>_xlfn.XLOOKUP(Tabla1[[#This Row],[Ean Normalizado]],Consumos!A:A,Consumos!E:E)</f>
        <v>#VALUE!</v>
      </c>
      <c r="R1390" s="22" t="e">
        <f>_xlfn.XLOOKUP(Tabla1[[#This Row],[Ean Normalizado]],tabla_consumos[EAN],tabla_consumos[UM])</f>
        <v>#VALUE!</v>
      </c>
      <c r="S1390" s="22" t="e">
        <f>Tabla1[[#This Row],[StockDisp]]*Tabla1[[#This Row],[UM producto]]</f>
        <v>#VALUE!</v>
      </c>
    </row>
    <row r="1391" spans="1:19" x14ac:dyDescent="0.35">
      <c r="A1391" s="5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6"/>
      <c r="P1391" s="23" t="e">
        <f>TRIM(Tabla1[[#This Row],[Articulo]])</f>
        <v>#VALUE!</v>
      </c>
      <c r="Q1391" s="23" t="e">
        <f>_xlfn.XLOOKUP(Tabla1[[#This Row],[Ean Normalizado]],Consumos!A:A,Consumos!E:E)</f>
        <v>#VALUE!</v>
      </c>
      <c r="R1391" s="22" t="e">
        <f>_xlfn.XLOOKUP(Tabla1[[#This Row],[Ean Normalizado]],tabla_consumos[EAN],tabla_consumos[UM])</f>
        <v>#VALUE!</v>
      </c>
      <c r="S1391" s="22" t="e">
        <f>Tabla1[[#This Row],[StockDisp]]*Tabla1[[#This Row],[UM producto]]</f>
        <v>#VALUE!</v>
      </c>
    </row>
    <row r="1392" spans="1:19" x14ac:dyDescent="0.35">
      <c r="A1392" s="5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6"/>
      <c r="P1392" s="23" t="e">
        <f>TRIM(Tabla1[[#This Row],[Articulo]])</f>
        <v>#VALUE!</v>
      </c>
      <c r="Q1392" s="23" t="e">
        <f>_xlfn.XLOOKUP(Tabla1[[#This Row],[Ean Normalizado]],Consumos!A:A,Consumos!E:E)</f>
        <v>#VALUE!</v>
      </c>
      <c r="R1392" s="22" t="e">
        <f>_xlfn.XLOOKUP(Tabla1[[#This Row],[Ean Normalizado]],tabla_consumos[EAN],tabla_consumos[UM])</f>
        <v>#VALUE!</v>
      </c>
      <c r="S1392" s="22" t="e">
        <f>Tabla1[[#This Row],[StockDisp]]*Tabla1[[#This Row],[UM producto]]</f>
        <v>#VALUE!</v>
      </c>
    </row>
    <row r="1393" spans="1:19" x14ac:dyDescent="0.35">
      <c r="A1393" s="5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6"/>
      <c r="P1393" s="23" t="e">
        <f>TRIM(Tabla1[[#This Row],[Articulo]])</f>
        <v>#VALUE!</v>
      </c>
      <c r="Q1393" s="23" t="e">
        <f>_xlfn.XLOOKUP(Tabla1[[#This Row],[Ean Normalizado]],Consumos!A:A,Consumos!E:E)</f>
        <v>#VALUE!</v>
      </c>
      <c r="R1393" s="22" t="e">
        <f>_xlfn.XLOOKUP(Tabla1[[#This Row],[Ean Normalizado]],tabla_consumos[EAN],tabla_consumos[UM])</f>
        <v>#VALUE!</v>
      </c>
      <c r="S1393" s="22" t="e">
        <f>Tabla1[[#This Row],[StockDisp]]*Tabla1[[#This Row],[UM producto]]</f>
        <v>#VALUE!</v>
      </c>
    </row>
    <row r="1394" spans="1:19" x14ac:dyDescent="0.35">
      <c r="A1394" s="5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6"/>
      <c r="P1394" s="23" t="e">
        <f>TRIM(Tabla1[[#This Row],[Articulo]])</f>
        <v>#VALUE!</v>
      </c>
      <c r="Q1394" s="23" t="e">
        <f>_xlfn.XLOOKUP(Tabla1[[#This Row],[Ean Normalizado]],Consumos!A:A,Consumos!E:E)</f>
        <v>#VALUE!</v>
      </c>
      <c r="R1394" s="22" t="e">
        <f>_xlfn.XLOOKUP(Tabla1[[#This Row],[Ean Normalizado]],tabla_consumos[EAN],tabla_consumos[UM])</f>
        <v>#VALUE!</v>
      </c>
      <c r="S1394" s="22" t="e">
        <f>Tabla1[[#This Row],[StockDisp]]*Tabla1[[#This Row],[UM producto]]</f>
        <v>#VALUE!</v>
      </c>
    </row>
    <row r="1395" spans="1:19" x14ac:dyDescent="0.35">
      <c r="A1395" s="5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6"/>
      <c r="P1395" s="23" t="e">
        <f>TRIM(Tabla1[[#This Row],[Articulo]])</f>
        <v>#VALUE!</v>
      </c>
      <c r="Q1395" s="23" t="e">
        <f>_xlfn.XLOOKUP(Tabla1[[#This Row],[Ean Normalizado]],Consumos!A:A,Consumos!E:E)</f>
        <v>#VALUE!</v>
      </c>
      <c r="R1395" s="22" t="e">
        <f>_xlfn.XLOOKUP(Tabla1[[#This Row],[Ean Normalizado]],tabla_consumos[EAN],tabla_consumos[UM])</f>
        <v>#VALUE!</v>
      </c>
      <c r="S1395" s="22" t="e">
        <f>Tabla1[[#This Row],[StockDisp]]*Tabla1[[#This Row],[UM producto]]</f>
        <v>#VALUE!</v>
      </c>
    </row>
    <row r="1396" spans="1:19" x14ac:dyDescent="0.35">
      <c r="A1396" s="5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6"/>
      <c r="P1396" s="23" t="e">
        <f>TRIM(Tabla1[[#This Row],[Articulo]])</f>
        <v>#VALUE!</v>
      </c>
      <c r="Q1396" s="23" t="e">
        <f>_xlfn.XLOOKUP(Tabla1[[#This Row],[Ean Normalizado]],Consumos!A:A,Consumos!E:E)</f>
        <v>#VALUE!</v>
      </c>
      <c r="R1396" s="22" t="e">
        <f>_xlfn.XLOOKUP(Tabla1[[#This Row],[Ean Normalizado]],tabla_consumos[EAN],tabla_consumos[UM])</f>
        <v>#VALUE!</v>
      </c>
      <c r="S1396" s="22" t="e">
        <f>Tabla1[[#This Row],[StockDisp]]*Tabla1[[#This Row],[UM producto]]</f>
        <v>#VALUE!</v>
      </c>
    </row>
    <row r="1397" spans="1:19" x14ac:dyDescent="0.35">
      <c r="A1397" s="5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6"/>
      <c r="P1397" s="23" t="e">
        <f>TRIM(Tabla1[[#This Row],[Articulo]])</f>
        <v>#VALUE!</v>
      </c>
      <c r="Q1397" s="23" t="e">
        <f>_xlfn.XLOOKUP(Tabla1[[#This Row],[Ean Normalizado]],Consumos!A:A,Consumos!E:E)</f>
        <v>#VALUE!</v>
      </c>
      <c r="R1397" s="22" t="e">
        <f>_xlfn.XLOOKUP(Tabla1[[#This Row],[Ean Normalizado]],tabla_consumos[EAN],tabla_consumos[UM])</f>
        <v>#VALUE!</v>
      </c>
      <c r="S1397" s="22" t="e">
        <f>Tabla1[[#This Row],[StockDisp]]*Tabla1[[#This Row],[UM producto]]</f>
        <v>#VALUE!</v>
      </c>
    </row>
    <row r="1398" spans="1:19" x14ac:dyDescent="0.35">
      <c r="A1398" s="5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6"/>
      <c r="P1398" s="23" t="e">
        <f>TRIM(Tabla1[[#This Row],[Articulo]])</f>
        <v>#VALUE!</v>
      </c>
      <c r="Q1398" s="23" t="e">
        <f>_xlfn.XLOOKUP(Tabla1[[#This Row],[Ean Normalizado]],Consumos!A:A,Consumos!E:E)</f>
        <v>#VALUE!</v>
      </c>
      <c r="R1398" s="22" t="e">
        <f>_xlfn.XLOOKUP(Tabla1[[#This Row],[Ean Normalizado]],tabla_consumos[EAN],tabla_consumos[UM])</f>
        <v>#VALUE!</v>
      </c>
      <c r="S1398" s="22" t="e">
        <f>Tabla1[[#This Row],[StockDisp]]*Tabla1[[#This Row],[UM producto]]</f>
        <v>#VALUE!</v>
      </c>
    </row>
    <row r="1399" spans="1:19" x14ac:dyDescent="0.35">
      <c r="A1399" s="5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6"/>
      <c r="P1399" s="23" t="e">
        <f>TRIM(Tabla1[[#This Row],[Articulo]])</f>
        <v>#VALUE!</v>
      </c>
      <c r="Q1399" s="23" t="e">
        <f>_xlfn.XLOOKUP(Tabla1[[#This Row],[Ean Normalizado]],Consumos!A:A,Consumos!E:E)</f>
        <v>#VALUE!</v>
      </c>
      <c r="R1399" s="22" t="e">
        <f>_xlfn.XLOOKUP(Tabla1[[#This Row],[Ean Normalizado]],tabla_consumos[EAN],tabla_consumos[UM])</f>
        <v>#VALUE!</v>
      </c>
      <c r="S1399" s="22" t="e">
        <f>Tabla1[[#This Row],[StockDisp]]*Tabla1[[#This Row],[UM producto]]</f>
        <v>#VALUE!</v>
      </c>
    </row>
    <row r="1400" spans="1:19" x14ac:dyDescent="0.35">
      <c r="A1400" s="5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6"/>
      <c r="P1400" s="23" t="e">
        <f>TRIM(Tabla1[[#This Row],[Articulo]])</f>
        <v>#VALUE!</v>
      </c>
      <c r="Q1400" s="23" t="e">
        <f>_xlfn.XLOOKUP(Tabla1[[#This Row],[Ean Normalizado]],Consumos!A:A,Consumos!E:E)</f>
        <v>#VALUE!</v>
      </c>
      <c r="R1400" s="22" t="e">
        <f>_xlfn.XLOOKUP(Tabla1[[#This Row],[Ean Normalizado]],tabla_consumos[EAN],tabla_consumos[UM])</f>
        <v>#VALUE!</v>
      </c>
      <c r="S1400" s="22" t="e">
        <f>Tabla1[[#This Row],[StockDisp]]*Tabla1[[#This Row],[UM producto]]</f>
        <v>#VALUE!</v>
      </c>
    </row>
    <row r="1401" spans="1:19" x14ac:dyDescent="0.35">
      <c r="A1401" s="5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6"/>
      <c r="P1401" s="23" t="e">
        <f>TRIM(Tabla1[[#This Row],[Articulo]])</f>
        <v>#VALUE!</v>
      </c>
      <c r="Q1401" s="23" t="e">
        <f>_xlfn.XLOOKUP(Tabla1[[#This Row],[Ean Normalizado]],Consumos!A:A,Consumos!E:E)</f>
        <v>#VALUE!</v>
      </c>
      <c r="R1401" s="22" t="e">
        <f>_xlfn.XLOOKUP(Tabla1[[#This Row],[Ean Normalizado]],tabla_consumos[EAN],tabla_consumos[UM])</f>
        <v>#VALUE!</v>
      </c>
      <c r="S1401" s="22" t="e">
        <f>Tabla1[[#This Row],[StockDisp]]*Tabla1[[#This Row],[UM producto]]</f>
        <v>#VALUE!</v>
      </c>
    </row>
    <row r="1402" spans="1:19" x14ac:dyDescent="0.35">
      <c r="A1402" s="5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6"/>
      <c r="P1402" s="23" t="e">
        <f>TRIM(Tabla1[[#This Row],[Articulo]])</f>
        <v>#VALUE!</v>
      </c>
      <c r="Q1402" s="23" t="e">
        <f>_xlfn.XLOOKUP(Tabla1[[#This Row],[Ean Normalizado]],Consumos!A:A,Consumos!E:E)</f>
        <v>#VALUE!</v>
      </c>
      <c r="R1402" s="22" t="e">
        <f>_xlfn.XLOOKUP(Tabla1[[#This Row],[Ean Normalizado]],tabla_consumos[EAN],tabla_consumos[UM])</f>
        <v>#VALUE!</v>
      </c>
      <c r="S1402" s="22" t="e">
        <f>Tabla1[[#This Row],[StockDisp]]*Tabla1[[#This Row],[UM producto]]</f>
        <v>#VALUE!</v>
      </c>
    </row>
    <row r="1403" spans="1:19" x14ac:dyDescent="0.35">
      <c r="A1403" s="5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6"/>
      <c r="P1403" s="23" t="e">
        <f>TRIM(Tabla1[[#This Row],[Articulo]])</f>
        <v>#VALUE!</v>
      </c>
      <c r="Q1403" s="23" t="e">
        <f>_xlfn.XLOOKUP(Tabla1[[#This Row],[Ean Normalizado]],Consumos!A:A,Consumos!E:E)</f>
        <v>#VALUE!</v>
      </c>
      <c r="R1403" s="22" t="e">
        <f>_xlfn.XLOOKUP(Tabla1[[#This Row],[Ean Normalizado]],tabla_consumos[EAN],tabla_consumos[UM])</f>
        <v>#VALUE!</v>
      </c>
      <c r="S1403" s="22" t="e">
        <f>Tabla1[[#This Row],[StockDisp]]*Tabla1[[#This Row],[UM producto]]</f>
        <v>#VALUE!</v>
      </c>
    </row>
    <row r="1404" spans="1:19" x14ac:dyDescent="0.35">
      <c r="A1404" s="5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6"/>
      <c r="P1404" s="23" t="e">
        <f>TRIM(Tabla1[[#This Row],[Articulo]])</f>
        <v>#VALUE!</v>
      </c>
      <c r="Q1404" s="23" t="e">
        <f>_xlfn.XLOOKUP(Tabla1[[#This Row],[Ean Normalizado]],Consumos!A:A,Consumos!E:E)</f>
        <v>#VALUE!</v>
      </c>
      <c r="R1404" s="22" t="e">
        <f>_xlfn.XLOOKUP(Tabla1[[#This Row],[Ean Normalizado]],tabla_consumos[EAN],tabla_consumos[UM])</f>
        <v>#VALUE!</v>
      </c>
      <c r="S1404" s="22" t="e">
        <f>Tabla1[[#This Row],[StockDisp]]*Tabla1[[#This Row],[UM producto]]</f>
        <v>#VALUE!</v>
      </c>
    </row>
    <row r="1405" spans="1:19" x14ac:dyDescent="0.35">
      <c r="A1405" s="5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6"/>
      <c r="P1405" s="23" t="e">
        <f>TRIM(Tabla1[[#This Row],[Articulo]])</f>
        <v>#VALUE!</v>
      </c>
      <c r="Q1405" s="23" t="e">
        <f>_xlfn.XLOOKUP(Tabla1[[#This Row],[Ean Normalizado]],Consumos!A:A,Consumos!E:E)</f>
        <v>#VALUE!</v>
      </c>
      <c r="R1405" s="22" t="e">
        <f>_xlfn.XLOOKUP(Tabla1[[#This Row],[Ean Normalizado]],tabla_consumos[EAN],tabla_consumos[UM])</f>
        <v>#VALUE!</v>
      </c>
      <c r="S1405" s="22" t="e">
        <f>Tabla1[[#This Row],[StockDisp]]*Tabla1[[#This Row],[UM producto]]</f>
        <v>#VALUE!</v>
      </c>
    </row>
    <row r="1406" spans="1:19" x14ac:dyDescent="0.35">
      <c r="A1406" s="5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6"/>
      <c r="P1406" s="23" t="e">
        <f>TRIM(Tabla1[[#This Row],[Articulo]])</f>
        <v>#VALUE!</v>
      </c>
      <c r="Q1406" s="23" t="e">
        <f>_xlfn.XLOOKUP(Tabla1[[#This Row],[Ean Normalizado]],Consumos!A:A,Consumos!E:E)</f>
        <v>#VALUE!</v>
      </c>
      <c r="R1406" s="22" t="e">
        <f>_xlfn.XLOOKUP(Tabla1[[#This Row],[Ean Normalizado]],tabla_consumos[EAN],tabla_consumos[UM])</f>
        <v>#VALUE!</v>
      </c>
      <c r="S1406" s="22" t="e">
        <f>Tabla1[[#This Row],[StockDisp]]*Tabla1[[#This Row],[UM producto]]</f>
        <v>#VALUE!</v>
      </c>
    </row>
    <row r="1407" spans="1:19" x14ac:dyDescent="0.35">
      <c r="A1407" s="5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6"/>
      <c r="P1407" s="23" t="e">
        <f>TRIM(Tabla1[[#This Row],[Articulo]])</f>
        <v>#VALUE!</v>
      </c>
      <c r="Q1407" s="23" t="e">
        <f>_xlfn.XLOOKUP(Tabla1[[#This Row],[Ean Normalizado]],Consumos!A:A,Consumos!E:E)</f>
        <v>#VALUE!</v>
      </c>
      <c r="R1407" s="22" t="e">
        <f>_xlfn.XLOOKUP(Tabla1[[#This Row],[Ean Normalizado]],tabla_consumos[EAN],tabla_consumos[UM])</f>
        <v>#VALUE!</v>
      </c>
      <c r="S1407" s="22" t="e">
        <f>Tabla1[[#This Row],[StockDisp]]*Tabla1[[#This Row],[UM producto]]</f>
        <v>#VALUE!</v>
      </c>
    </row>
    <row r="1408" spans="1:19" x14ac:dyDescent="0.35">
      <c r="A1408" s="5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6"/>
      <c r="P1408" s="23" t="e">
        <f>TRIM(Tabla1[[#This Row],[Articulo]])</f>
        <v>#VALUE!</v>
      </c>
      <c r="Q1408" s="23" t="e">
        <f>_xlfn.XLOOKUP(Tabla1[[#This Row],[Ean Normalizado]],Consumos!A:A,Consumos!E:E)</f>
        <v>#VALUE!</v>
      </c>
      <c r="R1408" s="22" t="e">
        <f>_xlfn.XLOOKUP(Tabla1[[#This Row],[Ean Normalizado]],tabla_consumos[EAN],tabla_consumos[UM])</f>
        <v>#VALUE!</v>
      </c>
      <c r="S1408" s="22" t="e">
        <f>Tabla1[[#This Row],[StockDisp]]*Tabla1[[#This Row],[UM producto]]</f>
        <v>#VALUE!</v>
      </c>
    </row>
    <row r="1409" spans="1:19" x14ac:dyDescent="0.35">
      <c r="A1409" s="5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6"/>
      <c r="P1409" s="23" t="e">
        <f>TRIM(Tabla1[[#This Row],[Articulo]])</f>
        <v>#VALUE!</v>
      </c>
      <c r="Q1409" s="23" t="e">
        <f>_xlfn.XLOOKUP(Tabla1[[#This Row],[Ean Normalizado]],Consumos!A:A,Consumos!E:E)</f>
        <v>#VALUE!</v>
      </c>
      <c r="R1409" s="22" t="e">
        <f>_xlfn.XLOOKUP(Tabla1[[#This Row],[Ean Normalizado]],tabla_consumos[EAN],tabla_consumos[UM])</f>
        <v>#VALUE!</v>
      </c>
      <c r="S1409" s="22" t="e">
        <f>Tabla1[[#This Row],[StockDisp]]*Tabla1[[#This Row],[UM producto]]</f>
        <v>#VALUE!</v>
      </c>
    </row>
    <row r="1410" spans="1:19" x14ac:dyDescent="0.35">
      <c r="A1410" s="5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6"/>
      <c r="P1410" s="23" t="e">
        <f>TRIM(Tabla1[[#This Row],[Articulo]])</f>
        <v>#VALUE!</v>
      </c>
      <c r="Q1410" s="23" t="e">
        <f>_xlfn.XLOOKUP(Tabla1[[#This Row],[Ean Normalizado]],Consumos!A:A,Consumos!E:E)</f>
        <v>#VALUE!</v>
      </c>
      <c r="R1410" s="22" t="e">
        <f>_xlfn.XLOOKUP(Tabla1[[#This Row],[Ean Normalizado]],tabla_consumos[EAN],tabla_consumos[UM])</f>
        <v>#VALUE!</v>
      </c>
      <c r="S1410" s="22" t="e">
        <f>Tabla1[[#This Row],[StockDisp]]*Tabla1[[#This Row],[UM producto]]</f>
        <v>#VALUE!</v>
      </c>
    </row>
    <row r="1411" spans="1:19" x14ac:dyDescent="0.35">
      <c r="A1411" s="5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6"/>
      <c r="P1411" s="23" t="e">
        <f>TRIM(Tabla1[[#This Row],[Articulo]])</f>
        <v>#VALUE!</v>
      </c>
      <c r="Q1411" s="23" t="e">
        <f>_xlfn.XLOOKUP(Tabla1[[#This Row],[Ean Normalizado]],Consumos!A:A,Consumos!E:E)</f>
        <v>#VALUE!</v>
      </c>
      <c r="R1411" s="22" t="e">
        <f>_xlfn.XLOOKUP(Tabla1[[#This Row],[Ean Normalizado]],tabla_consumos[EAN],tabla_consumos[UM])</f>
        <v>#VALUE!</v>
      </c>
      <c r="S1411" s="22" t="e">
        <f>Tabla1[[#This Row],[StockDisp]]*Tabla1[[#This Row],[UM producto]]</f>
        <v>#VALUE!</v>
      </c>
    </row>
    <row r="1412" spans="1:19" x14ac:dyDescent="0.35">
      <c r="A1412" s="5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6"/>
      <c r="P1412" s="23" t="e">
        <f>TRIM(Tabla1[[#This Row],[Articulo]])</f>
        <v>#VALUE!</v>
      </c>
      <c r="Q1412" s="23" t="e">
        <f>_xlfn.XLOOKUP(Tabla1[[#This Row],[Ean Normalizado]],Consumos!A:A,Consumos!E:E)</f>
        <v>#VALUE!</v>
      </c>
      <c r="R1412" s="22" t="e">
        <f>_xlfn.XLOOKUP(Tabla1[[#This Row],[Ean Normalizado]],tabla_consumos[EAN],tabla_consumos[UM])</f>
        <v>#VALUE!</v>
      </c>
      <c r="S1412" s="22" t="e">
        <f>Tabla1[[#This Row],[StockDisp]]*Tabla1[[#This Row],[UM producto]]</f>
        <v>#VALUE!</v>
      </c>
    </row>
    <row r="1413" spans="1:19" x14ac:dyDescent="0.35">
      <c r="A1413" s="5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6"/>
      <c r="P1413" s="23" t="e">
        <f>TRIM(Tabla1[[#This Row],[Articulo]])</f>
        <v>#VALUE!</v>
      </c>
      <c r="Q1413" s="23" t="e">
        <f>_xlfn.XLOOKUP(Tabla1[[#This Row],[Ean Normalizado]],Consumos!A:A,Consumos!E:E)</f>
        <v>#VALUE!</v>
      </c>
      <c r="R1413" s="22" t="e">
        <f>_xlfn.XLOOKUP(Tabla1[[#This Row],[Ean Normalizado]],tabla_consumos[EAN],tabla_consumos[UM])</f>
        <v>#VALUE!</v>
      </c>
      <c r="S1413" s="22" t="e">
        <f>Tabla1[[#This Row],[StockDisp]]*Tabla1[[#This Row],[UM producto]]</f>
        <v>#VALUE!</v>
      </c>
    </row>
    <row r="1414" spans="1:19" x14ac:dyDescent="0.35">
      <c r="A1414" s="5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6"/>
      <c r="P1414" s="23" t="e">
        <f>TRIM(Tabla1[[#This Row],[Articulo]])</f>
        <v>#VALUE!</v>
      </c>
      <c r="Q1414" s="23" t="e">
        <f>_xlfn.XLOOKUP(Tabla1[[#This Row],[Ean Normalizado]],Consumos!A:A,Consumos!E:E)</f>
        <v>#VALUE!</v>
      </c>
      <c r="R1414" s="22" t="e">
        <f>_xlfn.XLOOKUP(Tabla1[[#This Row],[Ean Normalizado]],tabla_consumos[EAN],tabla_consumos[UM])</f>
        <v>#VALUE!</v>
      </c>
      <c r="S1414" s="22" t="e">
        <f>Tabla1[[#This Row],[StockDisp]]*Tabla1[[#This Row],[UM producto]]</f>
        <v>#VALUE!</v>
      </c>
    </row>
    <row r="1415" spans="1:19" x14ac:dyDescent="0.35">
      <c r="A1415" s="5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6"/>
      <c r="P1415" s="23" t="e">
        <f>TRIM(Tabla1[[#This Row],[Articulo]])</f>
        <v>#VALUE!</v>
      </c>
      <c r="Q1415" s="23" t="e">
        <f>_xlfn.XLOOKUP(Tabla1[[#This Row],[Ean Normalizado]],Consumos!A:A,Consumos!E:E)</f>
        <v>#VALUE!</v>
      </c>
      <c r="R1415" s="22" t="e">
        <f>_xlfn.XLOOKUP(Tabla1[[#This Row],[Ean Normalizado]],tabla_consumos[EAN],tabla_consumos[UM])</f>
        <v>#VALUE!</v>
      </c>
      <c r="S1415" s="22" t="e">
        <f>Tabla1[[#This Row],[StockDisp]]*Tabla1[[#This Row],[UM producto]]</f>
        <v>#VALUE!</v>
      </c>
    </row>
    <row r="1416" spans="1:19" x14ac:dyDescent="0.35">
      <c r="A1416" s="5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6"/>
      <c r="P1416" s="23" t="e">
        <f>TRIM(Tabla1[[#This Row],[Articulo]])</f>
        <v>#VALUE!</v>
      </c>
      <c r="Q1416" s="23" t="e">
        <f>_xlfn.XLOOKUP(Tabla1[[#This Row],[Ean Normalizado]],Consumos!A:A,Consumos!E:E)</f>
        <v>#VALUE!</v>
      </c>
      <c r="R1416" s="22" t="e">
        <f>_xlfn.XLOOKUP(Tabla1[[#This Row],[Ean Normalizado]],tabla_consumos[EAN],tabla_consumos[UM])</f>
        <v>#VALUE!</v>
      </c>
      <c r="S1416" s="22" t="e">
        <f>Tabla1[[#This Row],[StockDisp]]*Tabla1[[#This Row],[UM producto]]</f>
        <v>#VALUE!</v>
      </c>
    </row>
    <row r="1417" spans="1:19" x14ac:dyDescent="0.35">
      <c r="A1417" s="5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6"/>
      <c r="P1417" s="23" t="e">
        <f>TRIM(Tabla1[[#This Row],[Articulo]])</f>
        <v>#VALUE!</v>
      </c>
      <c r="Q1417" s="23" t="e">
        <f>_xlfn.XLOOKUP(Tabla1[[#This Row],[Ean Normalizado]],Consumos!A:A,Consumos!E:E)</f>
        <v>#VALUE!</v>
      </c>
      <c r="R1417" s="22" t="e">
        <f>_xlfn.XLOOKUP(Tabla1[[#This Row],[Ean Normalizado]],tabla_consumos[EAN],tabla_consumos[UM])</f>
        <v>#VALUE!</v>
      </c>
      <c r="S1417" s="22" t="e">
        <f>Tabla1[[#This Row],[StockDisp]]*Tabla1[[#This Row],[UM producto]]</f>
        <v>#VALUE!</v>
      </c>
    </row>
    <row r="1418" spans="1:19" x14ac:dyDescent="0.35">
      <c r="A1418" s="5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6"/>
      <c r="P1418" s="23" t="e">
        <f>TRIM(Tabla1[[#This Row],[Articulo]])</f>
        <v>#VALUE!</v>
      </c>
      <c r="Q1418" s="23" t="e">
        <f>_xlfn.XLOOKUP(Tabla1[[#This Row],[Ean Normalizado]],Consumos!A:A,Consumos!E:E)</f>
        <v>#VALUE!</v>
      </c>
      <c r="R1418" s="22" t="e">
        <f>_xlfn.XLOOKUP(Tabla1[[#This Row],[Ean Normalizado]],tabla_consumos[EAN],tabla_consumos[UM])</f>
        <v>#VALUE!</v>
      </c>
      <c r="S1418" s="22" t="e">
        <f>Tabla1[[#This Row],[StockDisp]]*Tabla1[[#This Row],[UM producto]]</f>
        <v>#VALUE!</v>
      </c>
    </row>
    <row r="1419" spans="1:19" x14ac:dyDescent="0.35">
      <c r="A1419" s="5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6"/>
      <c r="P1419" s="23" t="e">
        <f>TRIM(Tabla1[[#This Row],[Articulo]])</f>
        <v>#VALUE!</v>
      </c>
      <c r="Q1419" s="23" t="e">
        <f>_xlfn.XLOOKUP(Tabla1[[#This Row],[Ean Normalizado]],Consumos!A:A,Consumos!E:E)</f>
        <v>#VALUE!</v>
      </c>
      <c r="R1419" s="22" t="e">
        <f>_xlfn.XLOOKUP(Tabla1[[#This Row],[Ean Normalizado]],tabla_consumos[EAN],tabla_consumos[UM])</f>
        <v>#VALUE!</v>
      </c>
      <c r="S1419" s="22" t="e">
        <f>Tabla1[[#This Row],[StockDisp]]*Tabla1[[#This Row],[UM producto]]</f>
        <v>#VALUE!</v>
      </c>
    </row>
    <row r="1420" spans="1:19" x14ac:dyDescent="0.35">
      <c r="A1420" s="5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6"/>
      <c r="P1420" s="23" t="e">
        <f>TRIM(Tabla1[[#This Row],[Articulo]])</f>
        <v>#VALUE!</v>
      </c>
      <c r="Q1420" s="23" t="e">
        <f>_xlfn.XLOOKUP(Tabla1[[#This Row],[Ean Normalizado]],Consumos!A:A,Consumos!E:E)</f>
        <v>#VALUE!</v>
      </c>
      <c r="R1420" s="22" t="e">
        <f>_xlfn.XLOOKUP(Tabla1[[#This Row],[Ean Normalizado]],tabla_consumos[EAN],tabla_consumos[UM])</f>
        <v>#VALUE!</v>
      </c>
      <c r="S1420" s="22" t="e">
        <f>Tabla1[[#This Row],[StockDisp]]*Tabla1[[#This Row],[UM producto]]</f>
        <v>#VALUE!</v>
      </c>
    </row>
    <row r="1421" spans="1:19" x14ac:dyDescent="0.35">
      <c r="A1421" s="5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6"/>
      <c r="P1421" s="23" t="e">
        <f>TRIM(Tabla1[[#This Row],[Articulo]])</f>
        <v>#VALUE!</v>
      </c>
      <c r="Q1421" s="23" t="e">
        <f>_xlfn.XLOOKUP(Tabla1[[#This Row],[Ean Normalizado]],Consumos!A:A,Consumos!E:E)</f>
        <v>#VALUE!</v>
      </c>
      <c r="R1421" s="22" t="e">
        <f>_xlfn.XLOOKUP(Tabla1[[#This Row],[Ean Normalizado]],tabla_consumos[EAN],tabla_consumos[UM])</f>
        <v>#VALUE!</v>
      </c>
      <c r="S1421" s="22" t="e">
        <f>Tabla1[[#This Row],[StockDisp]]*Tabla1[[#This Row],[UM producto]]</f>
        <v>#VALUE!</v>
      </c>
    </row>
    <row r="1422" spans="1:19" x14ac:dyDescent="0.35">
      <c r="A1422" s="5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6"/>
      <c r="P1422" s="23" t="e">
        <f>TRIM(Tabla1[[#This Row],[Articulo]])</f>
        <v>#VALUE!</v>
      </c>
      <c r="Q1422" s="23" t="e">
        <f>_xlfn.XLOOKUP(Tabla1[[#This Row],[Ean Normalizado]],Consumos!A:A,Consumos!E:E)</f>
        <v>#VALUE!</v>
      </c>
      <c r="R1422" s="22" t="e">
        <f>_xlfn.XLOOKUP(Tabla1[[#This Row],[Ean Normalizado]],tabla_consumos[EAN],tabla_consumos[UM])</f>
        <v>#VALUE!</v>
      </c>
      <c r="S1422" s="22" t="e">
        <f>Tabla1[[#This Row],[StockDisp]]*Tabla1[[#This Row],[UM producto]]</f>
        <v>#VALUE!</v>
      </c>
    </row>
    <row r="1423" spans="1:19" x14ac:dyDescent="0.35">
      <c r="A1423" s="5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6"/>
      <c r="P1423" s="23" t="e">
        <f>TRIM(Tabla1[[#This Row],[Articulo]])</f>
        <v>#VALUE!</v>
      </c>
      <c r="Q1423" s="23" t="e">
        <f>_xlfn.XLOOKUP(Tabla1[[#This Row],[Ean Normalizado]],Consumos!A:A,Consumos!E:E)</f>
        <v>#VALUE!</v>
      </c>
      <c r="R1423" s="22" t="e">
        <f>_xlfn.XLOOKUP(Tabla1[[#This Row],[Ean Normalizado]],tabla_consumos[EAN],tabla_consumos[UM])</f>
        <v>#VALUE!</v>
      </c>
      <c r="S1423" s="22" t="e">
        <f>Tabla1[[#This Row],[StockDisp]]*Tabla1[[#This Row],[UM producto]]</f>
        <v>#VALUE!</v>
      </c>
    </row>
    <row r="1424" spans="1:19" x14ac:dyDescent="0.35">
      <c r="A1424" s="5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6"/>
      <c r="P1424" s="23" t="e">
        <f>TRIM(Tabla1[[#This Row],[Articulo]])</f>
        <v>#VALUE!</v>
      </c>
      <c r="Q1424" s="23" t="e">
        <f>_xlfn.XLOOKUP(Tabla1[[#This Row],[Ean Normalizado]],Consumos!A:A,Consumos!E:E)</f>
        <v>#VALUE!</v>
      </c>
      <c r="R1424" s="22" t="e">
        <f>_xlfn.XLOOKUP(Tabla1[[#This Row],[Ean Normalizado]],tabla_consumos[EAN],tabla_consumos[UM])</f>
        <v>#VALUE!</v>
      </c>
      <c r="S1424" s="22" t="e">
        <f>Tabla1[[#This Row],[StockDisp]]*Tabla1[[#This Row],[UM producto]]</f>
        <v>#VALUE!</v>
      </c>
    </row>
    <row r="1425" spans="1:19" x14ac:dyDescent="0.35">
      <c r="A1425" s="5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6"/>
      <c r="P1425" s="23" t="e">
        <f>TRIM(Tabla1[[#This Row],[Articulo]])</f>
        <v>#VALUE!</v>
      </c>
      <c r="Q1425" s="23" t="e">
        <f>_xlfn.XLOOKUP(Tabla1[[#This Row],[Ean Normalizado]],Consumos!A:A,Consumos!E:E)</f>
        <v>#VALUE!</v>
      </c>
      <c r="R1425" s="22" t="e">
        <f>_xlfn.XLOOKUP(Tabla1[[#This Row],[Ean Normalizado]],tabla_consumos[EAN],tabla_consumos[UM])</f>
        <v>#VALUE!</v>
      </c>
      <c r="S1425" s="22" t="e">
        <f>Tabla1[[#This Row],[StockDisp]]*Tabla1[[#This Row],[UM producto]]</f>
        <v>#VALUE!</v>
      </c>
    </row>
    <row r="1426" spans="1:19" x14ac:dyDescent="0.35">
      <c r="A1426" s="5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6"/>
      <c r="P1426" s="23" t="e">
        <f>TRIM(Tabla1[[#This Row],[Articulo]])</f>
        <v>#VALUE!</v>
      </c>
      <c r="Q1426" s="23" t="e">
        <f>_xlfn.XLOOKUP(Tabla1[[#This Row],[Ean Normalizado]],Consumos!A:A,Consumos!E:E)</f>
        <v>#VALUE!</v>
      </c>
      <c r="R1426" s="22" t="e">
        <f>_xlfn.XLOOKUP(Tabla1[[#This Row],[Ean Normalizado]],tabla_consumos[EAN],tabla_consumos[UM])</f>
        <v>#VALUE!</v>
      </c>
      <c r="S1426" s="22" t="e">
        <f>Tabla1[[#This Row],[StockDisp]]*Tabla1[[#This Row],[UM producto]]</f>
        <v>#VALUE!</v>
      </c>
    </row>
    <row r="1427" spans="1:19" x14ac:dyDescent="0.35">
      <c r="A1427" s="5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6"/>
      <c r="P1427" s="23" t="e">
        <f>TRIM(Tabla1[[#This Row],[Articulo]])</f>
        <v>#VALUE!</v>
      </c>
      <c r="Q1427" s="23" t="e">
        <f>_xlfn.XLOOKUP(Tabla1[[#This Row],[Ean Normalizado]],Consumos!A:A,Consumos!E:E)</f>
        <v>#VALUE!</v>
      </c>
      <c r="R1427" s="22" t="e">
        <f>_xlfn.XLOOKUP(Tabla1[[#This Row],[Ean Normalizado]],tabla_consumos[EAN],tabla_consumos[UM])</f>
        <v>#VALUE!</v>
      </c>
      <c r="S1427" s="22" t="e">
        <f>Tabla1[[#This Row],[StockDisp]]*Tabla1[[#This Row],[UM producto]]</f>
        <v>#VALUE!</v>
      </c>
    </row>
    <row r="1428" spans="1:19" x14ac:dyDescent="0.35">
      <c r="A1428" s="5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6"/>
      <c r="P1428" s="23" t="e">
        <f>TRIM(Tabla1[[#This Row],[Articulo]])</f>
        <v>#VALUE!</v>
      </c>
      <c r="Q1428" s="23" t="e">
        <f>_xlfn.XLOOKUP(Tabla1[[#This Row],[Ean Normalizado]],Consumos!A:A,Consumos!E:E)</f>
        <v>#VALUE!</v>
      </c>
      <c r="R1428" s="22" t="e">
        <f>_xlfn.XLOOKUP(Tabla1[[#This Row],[Ean Normalizado]],tabla_consumos[EAN],tabla_consumos[UM])</f>
        <v>#VALUE!</v>
      </c>
      <c r="S1428" s="22" t="e">
        <f>Tabla1[[#This Row],[StockDisp]]*Tabla1[[#This Row],[UM producto]]</f>
        <v>#VALUE!</v>
      </c>
    </row>
    <row r="1429" spans="1:19" x14ac:dyDescent="0.35">
      <c r="A1429" s="5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6"/>
      <c r="P1429" s="23" t="e">
        <f>TRIM(Tabla1[[#This Row],[Articulo]])</f>
        <v>#VALUE!</v>
      </c>
      <c r="Q1429" s="23" t="e">
        <f>_xlfn.XLOOKUP(Tabla1[[#This Row],[Ean Normalizado]],Consumos!A:A,Consumos!E:E)</f>
        <v>#VALUE!</v>
      </c>
      <c r="R1429" s="22" t="e">
        <f>_xlfn.XLOOKUP(Tabla1[[#This Row],[Ean Normalizado]],tabla_consumos[EAN],tabla_consumos[UM])</f>
        <v>#VALUE!</v>
      </c>
      <c r="S1429" s="22" t="e">
        <f>Tabla1[[#This Row],[StockDisp]]*Tabla1[[#This Row],[UM producto]]</f>
        <v>#VALUE!</v>
      </c>
    </row>
    <row r="1430" spans="1:19" x14ac:dyDescent="0.35">
      <c r="A1430" s="5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6"/>
      <c r="P1430" s="23" t="e">
        <f>TRIM(Tabla1[[#This Row],[Articulo]])</f>
        <v>#VALUE!</v>
      </c>
      <c r="Q1430" s="23" t="e">
        <f>_xlfn.XLOOKUP(Tabla1[[#This Row],[Ean Normalizado]],Consumos!A:A,Consumos!E:E)</f>
        <v>#VALUE!</v>
      </c>
      <c r="R1430" s="22" t="e">
        <f>_xlfn.XLOOKUP(Tabla1[[#This Row],[Ean Normalizado]],tabla_consumos[EAN],tabla_consumos[UM])</f>
        <v>#VALUE!</v>
      </c>
      <c r="S1430" s="22" t="e">
        <f>Tabla1[[#This Row],[StockDisp]]*Tabla1[[#This Row],[UM producto]]</f>
        <v>#VALUE!</v>
      </c>
    </row>
    <row r="1431" spans="1:19" x14ac:dyDescent="0.35">
      <c r="A1431" s="5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6"/>
      <c r="P1431" s="23" t="e">
        <f>TRIM(Tabla1[[#This Row],[Articulo]])</f>
        <v>#VALUE!</v>
      </c>
      <c r="Q1431" s="23" t="e">
        <f>_xlfn.XLOOKUP(Tabla1[[#This Row],[Ean Normalizado]],Consumos!A:A,Consumos!E:E)</f>
        <v>#VALUE!</v>
      </c>
      <c r="R1431" s="22" t="e">
        <f>_xlfn.XLOOKUP(Tabla1[[#This Row],[Ean Normalizado]],tabla_consumos[EAN],tabla_consumos[UM])</f>
        <v>#VALUE!</v>
      </c>
      <c r="S1431" s="22" t="e">
        <f>Tabla1[[#This Row],[StockDisp]]*Tabla1[[#This Row],[UM producto]]</f>
        <v>#VALUE!</v>
      </c>
    </row>
    <row r="1432" spans="1:19" x14ac:dyDescent="0.35">
      <c r="A1432" s="5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6"/>
      <c r="P1432" s="23" t="e">
        <f>TRIM(Tabla1[[#This Row],[Articulo]])</f>
        <v>#VALUE!</v>
      </c>
      <c r="Q1432" s="23" t="e">
        <f>_xlfn.XLOOKUP(Tabla1[[#This Row],[Ean Normalizado]],Consumos!A:A,Consumos!E:E)</f>
        <v>#VALUE!</v>
      </c>
      <c r="R1432" s="22" t="e">
        <f>_xlfn.XLOOKUP(Tabla1[[#This Row],[Ean Normalizado]],tabla_consumos[EAN],tabla_consumos[UM])</f>
        <v>#VALUE!</v>
      </c>
      <c r="S1432" s="22" t="e">
        <f>Tabla1[[#This Row],[StockDisp]]*Tabla1[[#This Row],[UM producto]]</f>
        <v>#VALUE!</v>
      </c>
    </row>
    <row r="1433" spans="1:19" x14ac:dyDescent="0.35">
      <c r="A1433" s="5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6"/>
      <c r="P1433" s="23" t="e">
        <f>TRIM(Tabla1[[#This Row],[Articulo]])</f>
        <v>#VALUE!</v>
      </c>
      <c r="Q1433" s="23" t="e">
        <f>_xlfn.XLOOKUP(Tabla1[[#This Row],[Ean Normalizado]],Consumos!A:A,Consumos!E:E)</f>
        <v>#VALUE!</v>
      </c>
      <c r="R1433" s="22" t="e">
        <f>_xlfn.XLOOKUP(Tabla1[[#This Row],[Ean Normalizado]],tabla_consumos[EAN],tabla_consumos[UM])</f>
        <v>#VALUE!</v>
      </c>
      <c r="S1433" s="22" t="e">
        <f>Tabla1[[#This Row],[StockDisp]]*Tabla1[[#This Row],[UM producto]]</f>
        <v>#VALUE!</v>
      </c>
    </row>
    <row r="1434" spans="1:19" x14ac:dyDescent="0.35">
      <c r="A1434" s="5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6"/>
      <c r="P1434" s="23" t="e">
        <f>TRIM(Tabla1[[#This Row],[Articulo]])</f>
        <v>#VALUE!</v>
      </c>
      <c r="Q1434" s="23" t="e">
        <f>_xlfn.XLOOKUP(Tabla1[[#This Row],[Ean Normalizado]],Consumos!A:A,Consumos!E:E)</f>
        <v>#VALUE!</v>
      </c>
      <c r="R1434" s="22" t="e">
        <f>_xlfn.XLOOKUP(Tabla1[[#This Row],[Ean Normalizado]],tabla_consumos[EAN],tabla_consumos[UM])</f>
        <v>#VALUE!</v>
      </c>
      <c r="S1434" s="22" t="e">
        <f>Tabla1[[#This Row],[StockDisp]]*Tabla1[[#This Row],[UM producto]]</f>
        <v>#VALUE!</v>
      </c>
    </row>
    <row r="1435" spans="1:19" x14ac:dyDescent="0.35">
      <c r="A1435" s="5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6"/>
      <c r="P1435" s="23" t="e">
        <f>TRIM(Tabla1[[#This Row],[Articulo]])</f>
        <v>#VALUE!</v>
      </c>
      <c r="Q1435" s="23" t="e">
        <f>_xlfn.XLOOKUP(Tabla1[[#This Row],[Ean Normalizado]],Consumos!A:A,Consumos!E:E)</f>
        <v>#VALUE!</v>
      </c>
      <c r="R1435" s="22" t="e">
        <f>_xlfn.XLOOKUP(Tabla1[[#This Row],[Ean Normalizado]],tabla_consumos[EAN],tabla_consumos[UM])</f>
        <v>#VALUE!</v>
      </c>
      <c r="S1435" s="22" t="e">
        <f>Tabla1[[#This Row],[StockDisp]]*Tabla1[[#This Row],[UM producto]]</f>
        <v>#VALUE!</v>
      </c>
    </row>
    <row r="1436" spans="1:19" x14ac:dyDescent="0.35">
      <c r="A1436" s="5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6"/>
      <c r="P1436" s="23" t="e">
        <f>TRIM(Tabla1[[#This Row],[Articulo]])</f>
        <v>#VALUE!</v>
      </c>
      <c r="Q1436" s="23" t="e">
        <f>_xlfn.XLOOKUP(Tabla1[[#This Row],[Ean Normalizado]],Consumos!A:A,Consumos!E:E)</f>
        <v>#VALUE!</v>
      </c>
      <c r="R1436" s="22" t="e">
        <f>_xlfn.XLOOKUP(Tabla1[[#This Row],[Ean Normalizado]],tabla_consumos[EAN],tabla_consumos[UM])</f>
        <v>#VALUE!</v>
      </c>
      <c r="S1436" s="22" t="e">
        <f>Tabla1[[#This Row],[StockDisp]]*Tabla1[[#This Row],[UM producto]]</f>
        <v>#VALUE!</v>
      </c>
    </row>
    <row r="1437" spans="1:19" x14ac:dyDescent="0.35">
      <c r="A1437" s="5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6"/>
      <c r="P1437" s="23" t="e">
        <f>TRIM(Tabla1[[#This Row],[Articulo]])</f>
        <v>#VALUE!</v>
      </c>
      <c r="Q1437" s="23" t="e">
        <f>_xlfn.XLOOKUP(Tabla1[[#This Row],[Ean Normalizado]],Consumos!A:A,Consumos!E:E)</f>
        <v>#VALUE!</v>
      </c>
      <c r="R1437" s="22" t="e">
        <f>_xlfn.XLOOKUP(Tabla1[[#This Row],[Ean Normalizado]],tabla_consumos[EAN],tabla_consumos[UM])</f>
        <v>#VALUE!</v>
      </c>
      <c r="S1437" s="22" t="e">
        <f>Tabla1[[#This Row],[StockDisp]]*Tabla1[[#This Row],[UM producto]]</f>
        <v>#VALUE!</v>
      </c>
    </row>
    <row r="1438" spans="1:19" x14ac:dyDescent="0.35">
      <c r="A1438" s="5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6"/>
      <c r="P1438" s="23" t="e">
        <f>TRIM(Tabla1[[#This Row],[Articulo]])</f>
        <v>#VALUE!</v>
      </c>
      <c r="Q1438" s="23" t="e">
        <f>_xlfn.XLOOKUP(Tabla1[[#This Row],[Ean Normalizado]],Consumos!A:A,Consumos!E:E)</f>
        <v>#VALUE!</v>
      </c>
      <c r="R1438" s="22" t="e">
        <f>_xlfn.XLOOKUP(Tabla1[[#This Row],[Ean Normalizado]],tabla_consumos[EAN],tabla_consumos[UM])</f>
        <v>#VALUE!</v>
      </c>
      <c r="S1438" s="22" t="e">
        <f>Tabla1[[#This Row],[StockDisp]]*Tabla1[[#This Row],[UM producto]]</f>
        <v>#VALUE!</v>
      </c>
    </row>
    <row r="1439" spans="1:19" x14ac:dyDescent="0.35">
      <c r="A1439" s="5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6"/>
      <c r="P1439" s="23" t="e">
        <f>TRIM(Tabla1[[#This Row],[Articulo]])</f>
        <v>#VALUE!</v>
      </c>
      <c r="Q1439" s="23" t="e">
        <f>_xlfn.XLOOKUP(Tabla1[[#This Row],[Ean Normalizado]],Consumos!A:A,Consumos!E:E)</f>
        <v>#VALUE!</v>
      </c>
      <c r="R1439" s="22" t="e">
        <f>_xlfn.XLOOKUP(Tabla1[[#This Row],[Ean Normalizado]],tabla_consumos[EAN],tabla_consumos[UM])</f>
        <v>#VALUE!</v>
      </c>
      <c r="S1439" s="22" t="e">
        <f>Tabla1[[#This Row],[StockDisp]]*Tabla1[[#This Row],[UM producto]]</f>
        <v>#VALUE!</v>
      </c>
    </row>
    <row r="1440" spans="1:19" x14ac:dyDescent="0.35">
      <c r="A1440" s="5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6"/>
      <c r="P1440" s="23" t="e">
        <f>TRIM(Tabla1[[#This Row],[Articulo]])</f>
        <v>#VALUE!</v>
      </c>
      <c r="Q1440" s="23" t="e">
        <f>_xlfn.XLOOKUP(Tabla1[[#This Row],[Ean Normalizado]],Consumos!A:A,Consumos!E:E)</f>
        <v>#VALUE!</v>
      </c>
      <c r="R1440" s="22" t="e">
        <f>_xlfn.XLOOKUP(Tabla1[[#This Row],[Ean Normalizado]],tabla_consumos[EAN],tabla_consumos[UM])</f>
        <v>#VALUE!</v>
      </c>
      <c r="S1440" s="22" t="e">
        <f>Tabla1[[#This Row],[StockDisp]]*Tabla1[[#This Row],[UM producto]]</f>
        <v>#VALUE!</v>
      </c>
    </row>
    <row r="1441" spans="1:19" x14ac:dyDescent="0.35">
      <c r="A1441" s="5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6"/>
      <c r="P1441" s="23" t="e">
        <f>TRIM(Tabla1[[#This Row],[Articulo]])</f>
        <v>#VALUE!</v>
      </c>
      <c r="Q1441" s="23" t="e">
        <f>_xlfn.XLOOKUP(Tabla1[[#This Row],[Ean Normalizado]],Consumos!A:A,Consumos!E:E)</f>
        <v>#VALUE!</v>
      </c>
      <c r="R1441" s="22" t="e">
        <f>_xlfn.XLOOKUP(Tabla1[[#This Row],[Ean Normalizado]],tabla_consumos[EAN],tabla_consumos[UM])</f>
        <v>#VALUE!</v>
      </c>
      <c r="S1441" s="22" t="e">
        <f>Tabla1[[#This Row],[StockDisp]]*Tabla1[[#This Row],[UM producto]]</f>
        <v>#VALUE!</v>
      </c>
    </row>
    <row r="1442" spans="1:19" x14ac:dyDescent="0.35">
      <c r="A1442" s="5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6"/>
      <c r="P1442" s="23" t="e">
        <f>TRIM(Tabla1[[#This Row],[Articulo]])</f>
        <v>#VALUE!</v>
      </c>
      <c r="Q1442" s="23" t="e">
        <f>_xlfn.XLOOKUP(Tabla1[[#This Row],[Ean Normalizado]],Consumos!A:A,Consumos!E:E)</f>
        <v>#VALUE!</v>
      </c>
      <c r="R1442" s="22" t="e">
        <f>_xlfn.XLOOKUP(Tabla1[[#This Row],[Ean Normalizado]],tabla_consumos[EAN],tabla_consumos[UM])</f>
        <v>#VALUE!</v>
      </c>
      <c r="S1442" s="22" t="e">
        <f>Tabla1[[#This Row],[StockDisp]]*Tabla1[[#This Row],[UM producto]]</f>
        <v>#VALUE!</v>
      </c>
    </row>
    <row r="1443" spans="1:19" x14ac:dyDescent="0.35">
      <c r="A1443" s="5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6"/>
      <c r="P1443" s="23" t="e">
        <f>TRIM(Tabla1[[#This Row],[Articulo]])</f>
        <v>#VALUE!</v>
      </c>
      <c r="Q1443" s="23" t="e">
        <f>_xlfn.XLOOKUP(Tabla1[[#This Row],[Ean Normalizado]],Consumos!A:A,Consumos!E:E)</f>
        <v>#VALUE!</v>
      </c>
      <c r="R1443" s="22" t="e">
        <f>_xlfn.XLOOKUP(Tabla1[[#This Row],[Ean Normalizado]],tabla_consumos[EAN],tabla_consumos[UM])</f>
        <v>#VALUE!</v>
      </c>
      <c r="S1443" s="22" t="e">
        <f>Tabla1[[#This Row],[StockDisp]]*Tabla1[[#This Row],[UM producto]]</f>
        <v>#VALUE!</v>
      </c>
    </row>
    <row r="1444" spans="1:19" x14ac:dyDescent="0.35">
      <c r="A1444" s="5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6"/>
      <c r="P1444" s="23" t="e">
        <f>TRIM(Tabla1[[#This Row],[Articulo]])</f>
        <v>#VALUE!</v>
      </c>
      <c r="Q1444" s="23" t="e">
        <f>_xlfn.XLOOKUP(Tabla1[[#This Row],[Ean Normalizado]],Consumos!A:A,Consumos!E:E)</f>
        <v>#VALUE!</v>
      </c>
      <c r="R1444" s="22" t="e">
        <f>_xlfn.XLOOKUP(Tabla1[[#This Row],[Ean Normalizado]],tabla_consumos[EAN],tabla_consumos[UM])</f>
        <v>#VALUE!</v>
      </c>
      <c r="S1444" s="22" t="e">
        <f>Tabla1[[#This Row],[StockDisp]]*Tabla1[[#This Row],[UM producto]]</f>
        <v>#VALUE!</v>
      </c>
    </row>
    <row r="1445" spans="1:19" x14ac:dyDescent="0.35">
      <c r="A1445" s="5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6"/>
      <c r="P1445" s="23" t="e">
        <f>TRIM(Tabla1[[#This Row],[Articulo]])</f>
        <v>#VALUE!</v>
      </c>
      <c r="Q1445" s="23" t="e">
        <f>_xlfn.XLOOKUP(Tabla1[[#This Row],[Ean Normalizado]],Consumos!A:A,Consumos!E:E)</f>
        <v>#VALUE!</v>
      </c>
      <c r="R1445" s="22" t="e">
        <f>_xlfn.XLOOKUP(Tabla1[[#This Row],[Ean Normalizado]],tabla_consumos[EAN],tabla_consumos[UM])</f>
        <v>#VALUE!</v>
      </c>
      <c r="S1445" s="22" t="e">
        <f>Tabla1[[#This Row],[StockDisp]]*Tabla1[[#This Row],[UM producto]]</f>
        <v>#VALUE!</v>
      </c>
    </row>
    <row r="1446" spans="1:19" x14ac:dyDescent="0.35">
      <c r="A1446" s="5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6"/>
      <c r="P1446" s="23" t="e">
        <f>TRIM(Tabla1[[#This Row],[Articulo]])</f>
        <v>#VALUE!</v>
      </c>
      <c r="Q1446" s="23" t="e">
        <f>_xlfn.XLOOKUP(Tabla1[[#This Row],[Ean Normalizado]],Consumos!A:A,Consumos!E:E)</f>
        <v>#VALUE!</v>
      </c>
      <c r="R1446" s="22" t="e">
        <f>_xlfn.XLOOKUP(Tabla1[[#This Row],[Ean Normalizado]],tabla_consumos[EAN],tabla_consumos[UM])</f>
        <v>#VALUE!</v>
      </c>
      <c r="S1446" s="22" t="e">
        <f>Tabla1[[#This Row],[StockDisp]]*Tabla1[[#This Row],[UM producto]]</f>
        <v>#VALUE!</v>
      </c>
    </row>
    <row r="1447" spans="1:19" x14ac:dyDescent="0.35">
      <c r="A1447" s="5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6"/>
      <c r="P1447" s="23" t="e">
        <f>TRIM(Tabla1[[#This Row],[Articulo]])</f>
        <v>#VALUE!</v>
      </c>
      <c r="Q1447" s="23" t="e">
        <f>_xlfn.XLOOKUP(Tabla1[[#This Row],[Ean Normalizado]],Consumos!A:A,Consumos!E:E)</f>
        <v>#VALUE!</v>
      </c>
      <c r="R1447" s="22" t="e">
        <f>_xlfn.XLOOKUP(Tabla1[[#This Row],[Ean Normalizado]],tabla_consumos[EAN],tabla_consumos[UM])</f>
        <v>#VALUE!</v>
      </c>
      <c r="S1447" s="22" t="e">
        <f>Tabla1[[#This Row],[StockDisp]]*Tabla1[[#This Row],[UM producto]]</f>
        <v>#VALUE!</v>
      </c>
    </row>
    <row r="1448" spans="1:19" x14ac:dyDescent="0.35">
      <c r="A1448" s="5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6"/>
      <c r="P1448" s="23" t="e">
        <f>TRIM(Tabla1[[#This Row],[Articulo]])</f>
        <v>#VALUE!</v>
      </c>
      <c r="Q1448" s="23" t="e">
        <f>_xlfn.XLOOKUP(Tabla1[[#This Row],[Ean Normalizado]],Consumos!A:A,Consumos!E:E)</f>
        <v>#VALUE!</v>
      </c>
      <c r="R1448" s="22" t="e">
        <f>_xlfn.XLOOKUP(Tabla1[[#This Row],[Ean Normalizado]],tabla_consumos[EAN],tabla_consumos[UM])</f>
        <v>#VALUE!</v>
      </c>
      <c r="S1448" s="22" t="e">
        <f>Tabla1[[#This Row],[StockDisp]]*Tabla1[[#This Row],[UM producto]]</f>
        <v>#VALUE!</v>
      </c>
    </row>
    <row r="1449" spans="1:19" x14ac:dyDescent="0.35">
      <c r="A1449" s="5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6"/>
      <c r="P1449" s="23" t="e">
        <f>TRIM(Tabla1[[#This Row],[Articulo]])</f>
        <v>#VALUE!</v>
      </c>
      <c r="Q1449" s="23" t="e">
        <f>_xlfn.XLOOKUP(Tabla1[[#This Row],[Ean Normalizado]],Consumos!A:A,Consumos!E:E)</f>
        <v>#VALUE!</v>
      </c>
      <c r="R1449" s="22" t="e">
        <f>_xlfn.XLOOKUP(Tabla1[[#This Row],[Ean Normalizado]],tabla_consumos[EAN],tabla_consumos[UM])</f>
        <v>#VALUE!</v>
      </c>
      <c r="S1449" s="22" t="e">
        <f>Tabla1[[#This Row],[StockDisp]]*Tabla1[[#This Row],[UM producto]]</f>
        <v>#VALUE!</v>
      </c>
    </row>
    <row r="1450" spans="1:19" x14ac:dyDescent="0.35">
      <c r="A1450" s="5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6"/>
      <c r="P1450" s="23" t="e">
        <f>TRIM(Tabla1[[#This Row],[Articulo]])</f>
        <v>#VALUE!</v>
      </c>
      <c r="Q1450" s="23" t="e">
        <f>_xlfn.XLOOKUP(Tabla1[[#This Row],[Ean Normalizado]],Consumos!A:A,Consumos!E:E)</f>
        <v>#VALUE!</v>
      </c>
      <c r="R1450" s="22" t="e">
        <f>_xlfn.XLOOKUP(Tabla1[[#This Row],[Ean Normalizado]],tabla_consumos[EAN],tabla_consumos[UM])</f>
        <v>#VALUE!</v>
      </c>
      <c r="S1450" s="22" t="e">
        <f>Tabla1[[#This Row],[StockDisp]]*Tabla1[[#This Row],[UM producto]]</f>
        <v>#VALUE!</v>
      </c>
    </row>
    <row r="1451" spans="1:19" x14ac:dyDescent="0.35">
      <c r="A1451" s="5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6"/>
      <c r="P1451" s="23" t="e">
        <f>TRIM(Tabla1[[#This Row],[Articulo]])</f>
        <v>#VALUE!</v>
      </c>
      <c r="Q1451" s="23" t="e">
        <f>_xlfn.XLOOKUP(Tabla1[[#This Row],[Ean Normalizado]],Consumos!A:A,Consumos!E:E)</f>
        <v>#VALUE!</v>
      </c>
      <c r="R1451" s="22" t="e">
        <f>_xlfn.XLOOKUP(Tabla1[[#This Row],[Ean Normalizado]],tabla_consumos[EAN],tabla_consumos[UM])</f>
        <v>#VALUE!</v>
      </c>
      <c r="S1451" s="22" t="e">
        <f>Tabla1[[#This Row],[StockDisp]]*Tabla1[[#This Row],[UM producto]]</f>
        <v>#VALUE!</v>
      </c>
    </row>
    <row r="1452" spans="1:19" x14ac:dyDescent="0.35">
      <c r="A1452" s="5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6"/>
      <c r="P1452" s="23" t="e">
        <f>TRIM(Tabla1[[#This Row],[Articulo]])</f>
        <v>#VALUE!</v>
      </c>
      <c r="Q1452" s="23" t="e">
        <f>_xlfn.XLOOKUP(Tabla1[[#This Row],[Ean Normalizado]],Consumos!A:A,Consumos!E:E)</f>
        <v>#VALUE!</v>
      </c>
      <c r="R1452" s="22" t="e">
        <f>_xlfn.XLOOKUP(Tabla1[[#This Row],[Ean Normalizado]],tabla_consumos[EAN],tabla_consumos[UM])</f>
        <v>#VALUE!</v>
      </c>
      <c r="S1452" s="22" t="e">
        <f>Tabla1[[#This Row],[StockDisp]]*Tabla1[[#This Row],[UM producto]]</f>
        <v>#VALUE!</v>
      </c>
    </row>
    <row r="1453" spans="1:19" x14ac:dyDescent="0.35">
      <c r="A1453" s="5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6"/>
      <c r="P1453" s="23" t="e">
        <f>TRIM(Tabla1[[#This Row],[Articulo]])</f>
        <v>#VALUE!</v>
      </c>
      <c r="Q1453" s="23" t="e">
        <f>_xlfn.XLOOKUP(Tabla1[[#This Row],[Ean Normalizado]],Consumos!A:A,Consumos!E:E)</f>
        <v>#VALUE!</v>
      </c>
      <c r="R1453" s="22" t="e">
        <f>_xlfn.XLOOKUP(Tabla1[[#This Row],[Ean Normalizado]],tabla_consumos[EAN],tabla_consumos[UM])</f>
        <v>#VALUE!</v>
      </c>
      <c r="S1453" s="22" t="e">
        <f>Tabla1[[#This Row],[StockDisp]]*Tabla1[[#This Row],[UM producto]]</f>
        <v>#VALUE!</v>
      </c>
    </row>
    <row r="1454" spans="1:19" x14ac:dyDescent="0.35">
      <c r="A1454" s="5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6"/>
      <c r="P1454" s="23" t="e">
        <f>TRIM(Tabla1[[#This Row],[Articulo]])</f>
        <v>#VALUE!</v>
      </c>
      <c r="Q1454" s="23" t="e">
        <f>_xlfn.XLOOKUP(Tabla1[[#This Row],[Ean Normalizado]],Consumos!A:A,Consumos!E:E)</f>
        <v>#VALUE!</v>
      </c>
      <c r="R1454" s="22" t="e">
        <f>_xlfn.XLOOKUP(Tabla1[[#This Row],[Ean Normalizado]],tabla_consumos[EAN],tabla_consumos[UM])</f>
        <v>#VALUE!</v>
      </c>
      <c r="S1454" s="22" t="e">
        <f>Tabla1[[#This Row],[StockDisp]]*Tabla1[[#This Row],[UM producto]]</f>
        <v>#VALUE!</v>
      </c>
    </row>
    <row r="1455" spans="1:19" x14ac:dyDescent="0.35">
      <c r="A1455" s="5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6"/>
      <c r="P1455" s="23" t="e">
        <f>TRIM(Tabla1[[#This Row],[Articulo]])</f>
        <v>#VALUE!</v>
      </c>
      <c r="Q1455" s="23" t="e">
        <f>_xlfn.XLOOKUP(Tabla1[[#This Row],[Ean Normalizado]],Consumos!A:A,Consumos!E:E)</f>
        <v>#VALUE!</v>
      </c>
      <c r="R1455" s="22" t="e">
        <f>_xlfn.XLOOKUP(Tabla1[[#This Row],[Ean Normalizado]],tabla_consumos[EAN],tabla_consumos[UM])</f>
        <v>#VALUE!</v>
      </c>
      <c r="S1455" s="22" t="e">
        <f>Tabla1[[#This Row],[StockDisp]]*Tabla1[[#This Row],[UM producto]]</f>
        <v>#VALUE!</v>
      </c>
    </row>
    <row r="1456" spans="1:19" x14ac:dyDescent="0.35">
      <c r="A1456" s="5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6"/>
      <c r="P1456" s="23" t="e">
        <f>TRIM(Tabla1[[#This Row],[Articulo]])</f>
        <v>#VALUE!</v>
      </c>
      <c r="Q1456" s="23" t="e">
        <f>_xlfn.XLOOKUP(Tabla1[[#This Row],[Ean Normalizado]],Consumos!A:A,Consumos!E:E)</f>
        <v>#VALUE!</v>
      </c>
      <c r="R1456" s="22" t="e">
        <f>_xlfn.XLOOKUP(Tabla1[[#This Row],[Ean Normalizado]],tabla_consumos[EAN],tabla_consumos[UM])</f>
        <v>#VALUE!</v>
      </c>
      <c r="S1456" s="22" t="e">
        <f>Tabla1[[#This Row],[StockDisp]]*Tabla1[[#This Row],[UM producto]]</f>
        <v>#VALUE!</v>
      </c>
    </row>
    <row r="1457" spans="1:19" x14ac:dyDescent="0.35">
      <c r="A1457" s="5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6"/>
      <c r="P1457" s="23" t="e">
        <f>TRIM(Tabla1[[#This Row],[Articulo]])</f>
        <v>#VALUE!</v>
      </c>
      <c r="Q1457" s="23" t="e">
        <f>_xlfn.XLOOKUP(Tabla1[[#This Row],[Ean Normalizado]],Consumos!A:A,Consumos!E:E)</f>
        <v>#VALUE!</v>
      </c>
      <c r="R1457" s="22" t="e">
        <f>_xlfn.XLOOKUP(Tabla1[[#This Row],[Ean Normalizado]],tabla_consumos[EAN],tabla_consumos[UM])</f>
        <v>#VALUE!</v>
      </c>
      <c r="S1457" s="22" t="e">
        <f>Tabla1[[#This Row],[StockDisp]]*Tabla1[[#This Row],[UM producto]]</f>
        <v>#VALUE!</v>
      </c>
    </row>
    <row r="1458" spans="1:19" x14ac:dyDescent="0.35">
      <c r="A1458" s="5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6"/>
      <c r="P1458" s="23" t="e">
        <f>TRIM(Tabla1[[#This Row],[Articulo]])</f>
        <v>#VALUE!</v>
      </c>
      <c r="Q1458" s="23" t="e">
        <f>_xlfn.XLOOKUP(Tabla1[[#This Row],[Ean Normalizado]],Consumos!A:A,Consumos!E:E)</f>
        <v>#VALUE!</v>
      </c>
      <c r="R1458" s="22" t="e">
        <f>_xlfn.XLOOKUP(Tabla1[[#This Row],[Ean Normalizado]],tabla_consumos[EAN],tabla_consumos[UM])</f>
        <v>#VALUE!</v>
      </c>
      <c r="S1458" s="22" t="e">
        <f>Tabla1[[#This Row],[StockDisp]]*Tabla1[[#This Row],[UM producto]]</f>
        <v>#VALUE!</v>
      </c>
    </row>
    <row r="1459" spans="1:19" x14ac:dyDescent="0.35">
      <c r="A1459" s="5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6"/>
      <c r="P1459" s="23" t="e">
        <f>TRIM(Tabla1[[#This Row],[Articulo]])</f>
        <v>#VALUE!</v>
      </c>
      <c r="Q1459" s="23" t="e">
        <f>_xlfn.XLOOKUP(Tabla1[[#This Row],[Ean Normalizado]],Consumos!A:A,Consumos!E:E)</f>
        <v>#VALUE!</v>
      </c>
      <c r="R1459" s="22" t="e">
        <f>_xlfn.XLOOKUP(Tabla1[[#This Row],[Ean Normalizado]],tabla_consumos[EAN],tabla_consumos[UM])</f>
        <v>#VALUE!</v>
      </c>
      <c r="S1459" s="22" t="e">
        <f>Tabla1[[#This Row],[StockDisp]]*Tabla1[[#This Row],[UM producto]]</f>
        <v>#VALUE!</v>
      </c>
    </row>
    <row r="1460" spans="1:19" x14ac:dyDescent="0.35">
      <c r="A1460" s="5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6"/>
      <c r="P1460" s="23" t="e">
        <f>TRIM(Tabla1[[#This Row],[Articulo]])</f>
        <v>#VALUE!</v>
      </c>
      <c r="Q1460" s="23" t="e">
        <f>_xlfn.XLOOKUP(Tabla1[[#This Row],[Ean Normalizado]],Consumos!A:A,Consumos!E:E)</f>
        <v>#VALUE!</v>
      </c>
      <c r="R1460" s="22" t="e">
        <f>_xlfn.XLOOKUP(Tabla1[[#This Row],[Ean Normalizado]],tabla_consumos[EAN],tabla_consumos[UM])</f>
        <v>#VALUE!</v>
      </c>
      <c r="S1460" s="22" t="e">
        <f>Tabla1[[#This Row],[StockDisp]]*Tabla1[[#This Row],[UM producto]]</f>
        <v>#VALUE!</v>
      </c>
    </row>
    <row r="1461" spans="1:19" x14ac:dyDescent="0.35">
      <c r="A1461" s="5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6"/>
      <c r="P1461" s="23" t="e">
        <f>TRIM(Tabla1[[#This Row],[Articulo]])</f>
        <v>#VALUE!</v>
      </c>
      <c r="Q1461" s="23" t="e">
        <f>_xlfn.XLOOKUP(Tabla1[[#This Row],[Ean Normalizado]],Consumos!A:A,Consumos!E:E)</f>
        <v>#VALUE!</v>
      </c>
      <c r="R1461" s="22" t="e">
        <f>_xlfn.XLOOKUP(Tabla1[[#This Row],[Ean Normalizado]],tabla_consumos[EAN],tabla_consumos[UM])</f>
        <v>#VALUE!</v>
      </c>
      <c r="S1461" s="22" t="e">
        <f>Tabla1[[#This Row],[StockDisp]]*Tabla1[[#This Row],[UM producto]]</f>
        <v>#VALUE!</v>
      </c>
    </row>
    <row r="1462" spans="1:19" x14ac:dyDescent="0.35">
      <c r="A1462" s="5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6"/>
      <c r="P1462" s="23" t="e">
        <f>TRIM(Tabla1[[#This Row],[Articulo]])</f>
        <v>#VALUE!</v>
      </c>
      <c r="Q1462" s="23" t="e">
        <f>_xlfn.XLOOKUP(Tabla1[[#This Row],[Ean Normalizado]],Consumos!A:A,Consumos!E:E)</f>
        <v>#VALUE!</v>
      </c>
      <c r="R1462" s="22" t="e">
        <f>_xlfn.XLOOKUP(Tabla1[[#This Row],[Ean Normalizado]],tabla_consumos[EAN],tabla_consumos[UM])</f>
        <v>#VALUE!</v>
      </c>
      <c r="S1462" s="22" t="e">
        <f>Tabla1[[#This Row],[StockDisp]]*Tabla1[[#This Row],[UM producto]]</f>
        <v>#VALUE!</v>
      </c>
    </row>
    <row r="1463" spans="1:19" x14ac:dyDescent="0.35">
      <c r="A1463" s="5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6"/>
      <c r="P1463" s="23" t="e">
        <f>TRIM(Tabla1[[#This Row],[Articulo]])</f>
        <v>#VALUE!</v>
      </c>
      <c r="Q1463" s="23" t="e">
        <f>_xlfn.XLOOKUP(Tabla1[[#This Row],[Ean Normalizado]],Consumos!A:A,Consumos!E:E)</f>
        <v>#VALUE!</v>
      </c>
      <c r="R1463" s="22" t="e">
        <f>_xlfn.XLOOKUP(Tabla1[[#This Row],[Ean Normalizado]],tabla_consumos[EAN],tabla_consumos[UM])</f>
        <v>#VALUE!</v>
      </c>
      <c r="S1463" s="22" t="e">
        <f>Tabla1[[#This Row],[StockDisp]]*Tabla1[[#This Row],[UM producto]]</f>
        <v>#VALUE!</v>
      </c>
    </row>
    <row r="1464" spans="1:19" x14ac:dyDescent="0.35">
      <c r="A1464" s="5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6"/>
      <c r="P1464" s="23" t="e">
        <f>TRIM(Tabla1[[#This Row],[Articulo]])</f>
        <v>#VALUE!</v>
      </c>
      <c r="Q1464" s="23" t="e">
        <f>_xlfn.XLOOKUP(Tabla1[[#This Row],[Ean Normalizado]],Consumos!A:A,Consumos!E:E)</f>
        <v>#VALUE!</v>
      </c>
      <c r="R1464" s="22" t="e">
        <f>_xlfn.XLOOKUP(Tabla1[[#This Row],[Ean Normalizado]],tabla_consumos[EAN],tabla_consumos[UM])</f>
        <v>#VALUE!</v>
      </c>
      <c r="S1464" s="22" t="e">
        <f>Tabla1[[#This Row],[StockDisp]]*Tabla1[[#This Row],[UM producto]]</f>
        <v>#VALUE!</v>
      </c>
    </row>
    <row r="1465" spans="1:19" x14ac:dyDescent="0.35">
      <c r="A1465" s="5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6"/>
      <c r="P1465" s="23" t="e">
        <f>TRIM(Tabla1[[#This Row],[Articulo]])</f>
        <v>#VALUE!</v>
      </c>
      <c r="Q1465" s="23" t="e">
        <f>_xlfn.XLOOKUP(Tabla1[[#This Row],[Ean Normalizado]],Consumos!A:A,Consumos!E:E)</f>
        <v>#VALUE!</v>
      </c>
      <c r="R1465" s="22" t="e">
        <f>_xlfn.XLOOKUP(Tabla1[[#This Row],[Ean Normalizado]],tabla_consumos[EAN],tabla_consumos[UM])</f>
        <v>#VALUE!</v>
      </c>
      <c r="S1465" s="22" t="e">
        <f>Tabla1[[#This Row],[StockDisp]]*Tabla1[[#This Row],[UM producto]]</f>
        <v>#VALUE!</v>
      </c>
    </row>
    <row r="1466" spans="1:19" x14ac:dyDescent="0.35">
      <c r="A1466" s="5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6"/>
      <c r="P1466" s="23" t="e">
        <f>TRIM(Tabla1[[#This Row],[Articulo]])</f>
        <v>#VALUE!</v>
      </c>
      <c r="Q1466" s="23" t="e">
        <f>_xlfn.XLOOKUP(Tabla1[[#This Row],[Ean Normalizado]],Consumos!A:A,Consumos!E:E)</f>
        <v>#VALUE!</v>
      </c>
      <c r="R1466" s="22" t="e">
        <f>_xlfn.XLOOKUP(Tabla1[[#This Row],[Ean Normalizado]],tabla_consumos[EAN],tabla_consumos[UM])</f>
        <v>#VALUE!</v>
      </c>
      <c r="S1466" s="22" t="e">
        <f>Tabla1[[#This Row],[StockDisp]]*Tabla1[[#This Row],[UM producto]]</f>
        <v>#VALUE!</v>
      </c>
    </row>
    <row r="1467" spans="1:19" x14ac:dyDescent="0.35">
      <c r="A1467" s="5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6"/>
      <c r="P1467" s="23" t="e">
        <f>TRIM(Tabla1[[#This Row],[Articulo]])</f>
        <v>#VALUE!</v>
      </c>
      <c r="Q1467" s="23" t="e">
        <f>_xlfn.XLOOKUP(Tabla1[[#This Row],[Ean Normalizado]],Consumos!A:A,Consumos!E:E)</f>
        <v>#VALUE!</v>
      </c>
      <c r="R1467" s="22" t="e">
        <f>_xlfn.XLOOKUP(Tabla1[[#This Row],[Ean Normalizado]],tabla_consumos[EAN],tabla_consumos[UM])</f>
        <v>#VALUE!</v>
      </c>
      <c r="S1467" s="22" t="e">
        <f>Tabla1[[#This Row],[StockDisp]]*Tabla1[[#This Row],[UM producto]]</f>
        <v>#VALUE!</v>
      </c>
    </row>
    <row r="1468" spans="1:19" x14ac:dyDescent="0.35">
      <c r="A1468" s="5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6"/>
      <c r="P1468" s="23" t="e">
        <f>TRIM(Tabla1[[#This Row],[Articulo]])</f>
        <v>#VALUE!</v>
      </c>
      <c r="Q1468" s="23" t="e">
        <f>_xlfn.XLOOKUP(Tabla1[[#This Row],[Ean Normalizado]],Consumos!A:A,Consumos!E:E)</f>
        <v>#VALUE!</v>
      </c>
      <c r="R1468" s="22" t="e">
        <f>_xlfn.XLOOKUP(Tabla1[[#This Row],[Ean Normalizado]],tabla_consumos[EAN],tabla_consumos[UM])</f>
        <v>#VALUE!</v>
      </c>
      <c r="S1468" s="22" t="e">
        <f>Tabla1[[#This Row],[StockDisp]]*Tabla1[[#This Row],[UM producto]]</f>
        <v>#VALUE!</v>
      </c>
    </row>
    <row r="1469" spans="1:19" x14ac:dyDescent="0.35">
      <c r="A1469" s="5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6"/>
      <c r="P1469" s="23" t="e">
        <f>TRIM(Tabla1[[#This Row],[Articulo]])</f>
        <v>#VALUE!</v>
      </c>
      <c r="Q1469" s="23" t="e">
        <f>_xlfn.XLOOKUP(Tabla1[[#This Row],[Ean Normalizado]],Consumos!A:A,Consumos!E:E)</f>
        <v>#VALUE!</v>
      </c>
      <c r="R1469" s="22" t="e">
        <f>_xlfn.XLOOKUP(Tabla1[[#This Row],[Ean Normalizado]],tabla_consumos[EAN],tabla_consumos[UM])</f>
        <v>#VALUE!</v>
      </c>
      <c r="S1469" s="22" t="e">
        <f>Tabla1[[#This Row],[StockDisp]]*Tabla1[[#This Row],[UM producto]]</f>
        <v>#VALUE!</v>
      </c>
    </row>
    <row r="1470" spans="1:19" x14ac:dyDescent="0.35">
      <c r="A1470" s="5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6"/>
      <c r="P1470" s="23" t="e">
        <f>TRIM(Tabla1[[#This Row],[Articulo]])</f>
        <v>#VALUE!</v>
      </c>
      <c r="Q1470" s="23" t="e">
        <f>_xlfn.XLOOKUP(Tabla1[[#This Row],[Ean Normalizado]],Consumos!A:A,Consumos!E:E)</f>
        <v>#VALUE!</v>
      </c>
      <c r="R1470" s="22" t="e">
        <f>_xlfn.XLOOKUP(Tabla1[[#This Row],[Ean Normalizado]],tabla_consumos[EAN],tabla_consumos[UM])</f>
        <v>#VALUE!</v>
      </c>
      <c r="S1470" s="22" t="e">
        <f>Tabla1[[#This Row],[StockDisp]]*Tabla1[[#This Row],[UM producto]]</f>
        <v>#VALUE!</v>
      </c>
    </row>
    <row r="1471" spans="1:19" x14ac:dyDescent="0.35">
      <c r="A1471" s="5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6"/>
      <c r="P1471" s="23" t="e">
        <f>TRIM(Tabla1[[#This Row],[Articulo]])</f>
        <v>#VALUE!</v>
      </c>
      <c r="Q1471" s="23" t="e">
        <f>_xlfn.XLOOKUP(Tabla1[[#This Row],[Ean Normalizado]],Consumos!A:A,Consumos!E:E)</f>
        <v>#VALUE!</v>
      </c>
      <c r="R1471" s="22" t="e">
        <f>_xlfn.XLOOKUP(Tabla1[[#This Row],[Ean Normalizado]],tabla_consumos[EAN],tabla_consumos[UM])</f>
        <v>#VALUE!</v>
      </c>
      <c r="S1471" s="22" t="e">
        <f>Tabla1[[#This Row],[StockDisp]]*Tabla1[[#This Row],[UM producto]]</f>
        <v>#VALUE!</v>
      </c>
    </row>
    <row r="1472" spans="1:19" x14ac:dyDescent="0.35">
      <c r="A1472" s="5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6"/>
      <c r="P1472" s="23" t="e">
        <f>TRIM(Tabla1[[#This Row],[Articulo]])</f>
        <v>#VALUE!</v>
      </c>
      <c r="Q1472" s="23" t="e">
        <f>_xlfn.XLOOKUP(Tabla1[[#This Row],[Ean Normalizado]],Consumos!A:A,Consumos!E:E)</f>
        <v>#VALUE!</v>
      </c>
      <c r="R1472" s="22" t="e">
        <f>_xlfn.XLOOKUP(Tabla1[[#This Row],[Ean Normalizado]],tabla_consumos[EAN],tabla_consumos[UM])</f>
        <v>#VALUE!</v>
      </c>
      <c r="S1472" s="22" t="e">
        <f>Tabla1[[#This Row],[StockDisp]]*Tabla1[[#This Row],[UM producto]]</f>
        <v>#VALUE!</v>
      </c>
    </row>
    <row r="1473" spans="1:19" x14ac:dyDescent="0.35">
      <c r="A1473" s="5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6"/>
      <c r="P1473" s="23" t="e">
        <f>TRIM(Tabla1[[#This Row],[Articulo]])</f>
        <v>#VALUE!</v>
      </c>
      <c r="Q1473" s="23" t="e">
        <f>_xlfn.XLOOKUP(Tabla1[[#This Row],[Ean Normalizado]],Consumos!A:A,Consumos!E:E)</f>
        <v>#VALUE!</v>
      </c>
      <c r="R1473" s="22" t="e">
        <f>_xlfn.XLOOKUP(Tabla1[[#This Row],[Ean Normalizado]],tabla_consumos[EAN],tabla_consumos[UM])</f>
        <v>#VALUE!</v>
      </c>
      <c r="S1473" s="22" t="e">
        <f>Tabla1[[#This Row],[StockDisp]]*Tabla1[[#This Row],[UM producto]]</f>
        <v>#VALUE!</v>
      </c>
    </row>
    <row r="1474" spans="1:19" x14ac:dyDescent="0.35">
      <c r="A1474" s="5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6"/>
      <c r="P1474" s="23" t="e">
        <f>TRIM(Tabla1[[#This Row],[Articulo]])</f>
        <v>#VALUE!</v>
      </c>
      <c r="Q1474" s="23" t="e">
        <f>_xlfn.XLOOKUP(Tabla1[[#This Row],[Ean Normalizado]],Consumos!A:A,Consumos!E:E)</f>
        <v>#VALUE!</v>
      </c>
      <c r="R1474" s="22" t="e">
        <f>_xlfn.XLOOKUP(Tabla1[[#This Row],[Ean Normalizado]],tabla_consumos[EAN],tabla_consumos[UM])</f>
        <v>#VALUE!</v>
      </c>
      <c r="S1474" s="22" t="e">
        <f>Tabla1[[#This Row],[StockDisp]]*Tabla1[[#This Row],[UM producto]]</f>
        <v>#VALUE!</v>
      </c>
    </row>
    <row r="1475" spans="1:19" x14ac:dyDescent="0.35">
      <c r="A1475" s="5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6"/>
      <c r="P1475" s="23" t="e">
        <f>TRIM(Tabla1[[#This Row],[Articulo]])</f>
        <v>#VALUE!</v>
      </c>
      <c r="Q1475" s="23" t="e">
        <f>_xlfn.XLOOKUP(Tabla1[[#This Row],[Ean Normalizado]],Consumos!A:A,Consumos!E:E)</f>
        <v>#VALUE!</v>
      </c>
      <c r="R1475" s="22" t="e">
        <f>_xlfn.XLOOKUP(Tabla1[[#This Row],[Ean Normalizado]],tabla_consumos[EAN],tabla_consumos[UM])</f>
        <v>#VALUE!</v>
      </c>
      <c r="S1475" s="22" t="e">
        <f>Tabla1[[#This Row],[StockDisp]]*Tabla1[[#This Row],[UM producto]]</f>
        <v>#VALUE!</v>
      </c>
    </row>
    <row r="1476" spans="1:19" x14ac:dyDescent="0.35">
      <c r="A1476" s="5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6"/>
      <c r="P1476" s="23" t="e">
        <f>TRIM(Tabla1[[#This Row],[Articulo]])</f>
        <v>#VALUE!</v>
      </c>
      <c r="Q1476" s="23" t="e">
        <f>_xlfn.XLOOKUP(Tabla1[[#This Row],[Ean Normalizado]],Consumos!A:A,Consumos!E:E)</f>
        <v>#VALUE!</v>
      </c>
      <c r="R1476" s="22" t="e">
        <f>_xlfn.XLOOKUP(Tabla1[[#This Row],[Ean Normalizado]],tabla_consumos[EAN],tabla_consumos[UM])</f>
        <v>#VALUE!</v>
      </c>
      <c r="S1476" s="22" t="e">
        <f>Tabla1[[#This Row],[StockDisp]]*Tabla1[[#This Row],[UM producto]]</f>
        <v>#VALUE!</v>
      </c>
    </row>
    <row r="1477" spans="1:19" x14ac:dyDescent="0.35">
      <c r="A1477" s="5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6"/>
      <c r="P1477" s="23" t="e">
        <f>TRIM(Tabla1[[#This Row],[Articulo]])</f>
        <v>#VALUE!</v>
      </c>
      <c r="Q1477" s="23" t="e">
        <f>_xlfn.XLOOKUP(Tabla1[[#This Row],[Ean Normalizado]],Consumos!A:A,Consumos!E:E)</f>
        <v>#VALUE!</v>
      </c>
      <c r="R1477" s="22" t="e">
        <f>_xlfn.XLOOKUP(Tabla1[[#This Row],[Ean Normalizado]],tabla_consumos[EAN],tabla_consumos[UM])</f>
        <v>#VALUE!</v>
      </c>
      <c r="S1477" s="22" t="e">
        <f>Tabla1[[#This Row],[StockDisp]]*Tabla1[[#This Row],[UM producto]]</f>
        <v>#VALUE!</v>
      </c>
    </row>
    <row r="1478" spans="1:19" x14ac:dyDescent="0.35">
      <c r="A1478" s="5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6"/>
      <c r="P1478" s="23" t="e">
        <f>TRIM(Tabla1[[#This Row],[Articulo]])</f>
        <v>#VALUE!</v>
      </c>
      <c r="Q1478" s="23" t="e">
        <f>_xlfn.XLOOKUP(Tabla1[[#This Row],[Ean Normalizado]],Consumos!A:A,Consumos!E:E)</f>
        <v>#VALUE!</v>
      </c>
      <c r="R1478" s="22" t="e">
        <f>_xlfn.XLOOKUP(Tabla1[[#This Row],[Ean Normalizado]],tabla_consumos[EAN],tabla_consumos[UM])</f>
        <v>#VALUE!</v>
      </c>
      <c r="S1478" s="22" t="e">
        <f>Tabla1[[#This Row],[StockDisp]]*Tabla1[[#This Row],[UM producto]]</f>
        <v>#VALUE!</v>
      </c>
    </row>
    <row r="1479" spans="1:19" x14ac:dyDescent="0.35">
      <c r="A1479" s="5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6"/>
      <c r="P1479" s="23" t="e">
        <f>TRIM(Tabla1[[#This Row],[Articulo]])</f>
        <v>#VALUE!</v>
      </c>
      <c r="Q1479" s="23" t="e">
        <f>_xlfn.XLOOKUP(Tabla1[[#This Row],[Ean Normalizado]],Consumos!A:A,Consumos!E:E)</f>
        <v>#VALUE!</v>
      </c>
      <c r="R1479" s="22" t="e">
        <f>_xlfn.XLOOKUP(Tabla1[[#This Row],[Ean Normalizado]],tabla_consumos[EAN],tabla_consumos[UM])</f>
        <v>#VALUE!</v>
      </c>
      <c r="S1479" s="22" t="e">
        <f>Tabla1[[#This Row],[StockDisp]]*Tabla1[[#This Row],[UM producto]]</f>
        <v>#VALUE!</v>
      </c>
    </row>
    <row r="1480" spans="1:19" x14ac:dyDescent="0.35">
      <c r="A1480" s="5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6"/>
      <c r="P1480" s="23" t="e">
        <f>TRIM(Tabla1[[#This Row],[Articulo]])</f>
        <v>#VALUE!</v>
      </c>
      <c r="Q1480" s="23" t="e">
        <f>_xlfn.XLOOKUP(Tabla1[[#This Row],[Ean Normalizado]],Consumos!A:A,Consumos!E:E)</f>
        <v>#VALUE!</v>
      </c>
      <c r="R1480" s="22" t="e">
        <f>_xlfn.XLOOKUP(Tabla1[[#This Row],[Ean Normalizado]],tabla_consumos[EAN],tabla_consumos[UM])</f>
        <v>#VALUE!</v>
      </c>
      <c r="S1480" s="22" t="e">
        <f>Tabla1[[#This Row],[StockDisp]]*Tabla1[[#This Row],[UM producto]]</f>
        <v>#VALUE!</v>
      </c>
    </row>
    <row r="1481" spans="1:19" x14ac:dyDescent="0.35">
      <c r="A1481" s="5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6"/>
      <c r="P1481" s="23" t="e">
        <f>TRIM(Tabla1[[#This Row],[Articulo]])</f>
        <v>#VALUE!</v>
      </c>
      <c r="Q1481" s="23" t="e">
        <f>_xlfn.XLOOKUP(Tabla1[[#This Row],[Ean Normalizado]],Consumos!A:A,Consumos!E:E)</f>
        <v>#VALUE!</v>
      </c>
      <c r="R1481" s="22" t="e">
        <f>_xlfn.XLOOKUP(Tabla1[[#This Row],[Ean Normalizado]],tabla_consumos[EAN],tabla_consumos[UM])</f>
        <v>#VALUE!</v>
      </c>
      <c r="S1481" s="22" t="e">
        <f>Tabla1[[#This Row],[StockDisp]]*Tabla1[[#This Row],[UM producto]]</f>
        <v>#VALUE!</v>
      </c>
    </row>
    <row r="1482" spans="1:19" x14ac:dyDescent="0.35">
      <c r="A1482" s="5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6"/>
      <c r="P1482" s="23" t="e">
        <f>TRIM(Tabla1[[#This Row],[Articulo]])</f>
        <v>#VALUE!</v>
      </c>
      <c r="Q1482" s="23" t="e">
        <f>_xlfn.XLOOKUP(Tabla1[[#This Row],[Ean Normalizado]],Consumos!A:A,Consumos!E:E)</f>
        <v>#VALUE!</v>
      </c>
      <c r="R1482" s="22" t="e">
        <f>_xlfn.XLOOKUP(Tabla1[[#This Row],[Ean Normalizado]],tabla_consumos[EAN],tabla_consumos[UM])</f>
        <v>#VALUE!</v>
      </c>
      <c r="S1482" s="22" t="e">
        <f>Tabla1[[#This Row],[StockDisp]]*Tabla1[[#This Row],[UM producto]]</f>
        <v>#VALUE!</v>
      </c>
    </row>
    <row r="1483" spans="1:19" x14ac:dyDescent="0.35">
      <c r="A1483" s="5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6"/>
      <c r="P1483" s="23" t="e">
        <f>TRIM(Tabla1[[#This Row],[Articulo]])</f>
        <v>#VALUE!</v>
      </c>
      <c r="Q1483" s="23" t="e">
        <f>_xlfn.XLOOKUP(Tabla1[[#This Row],[Ean Normalizado]],Consumos!A:A,Consumos!E:E)</f>
        <v>#VALUE!</v>
      </c>
      <c r="R1483" s="22" t="e">
        <f>_xlfn.XLOOKUP(Tabla1[[#This Row],[Ean Normalizado]],tabla_consumos[EAN],tabla_consumos[UM])</f>
        <v>#VALUE!</v>
      </c>
      <c r="S1483" s="22" t="e">
        <f>Tabla1[[#This Row],[StockDisp]]*Tabla1[[#This Row],[UM producto]]</f>
        <v>#VALUE!</v>
      </c>
    </row>
    <row r="1484" spans="1:19" x14ac:dyDescent="0.35">
      <c r="A1484" s="5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6"/>
      <c r="P1484" s="23" t="e">
        <f>TRIM(Tabla1[[#This Row],[Articulo]])</f>
        <v>#VALUE!</v>
      </c>
      <c r="Q1484" s="23" t="e">
        <f>_xlfn.XLOOKUP(Tabla1[[#This Row],[Ean Normalizado]],Consumos!A:A,Consumos!E:E)</f>
        <v>#VALUE!</v>
      </c>
      <c r="R1484" s="22" t="e">
        <f>_xlfn.XLOOKUP(Tabla1[[#This Row],[Ean Normalizado]],tabla_consumos[EAN],tabla_consumos[UM])</f>
        <v>#VALUE!</v>
      </c>
      <c r="S1484" s="22" t="e">
        <f>Tabla1[[#This Row],[StockDisp]]*Tabla1[[#This Row],[UM producto]]</f>
        <v>#VALUE!</v>
      </c>
    </row>
    <row r="1485" spans="1:19" x14ac:dyDescent="0.35">
      <c r="A1485" s="5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6"/>
      <c r="P1485" s="23" t="e">
        <f>TRIM(Tabla1[[#This Row],[Articulo]])</f>
        <v>#VALUE!</v>
      </c>
      <c r="Q1485" s="23" t="e">
        <f>_xlfn.XLOOKUP(Tabla1[[#This Row],[Ean Normalizado]],Consumos!A:A,Consumos!E:E)</f>
        <v>#VALUE!</v>
      </c>
      <c r="R1485" s="22" t="e">
        <f>_xlfn.XLOOKUP(Tabla1[[#This Row],[Ean Normalizado]],tabla_consumos[EAN],tabla_consumos[UM])</f>
        <v>#VALUE!</v>
      </c>
      <c r="S1485" s="22" t="e">
        <f>Tabla1[[#This Row],[StockDisp]]*Tabla1[[#This Row],[UM producto]]</f>
        <v>#VALUE!</v>
      </c>
    </row>
    <row r="1486" spans="1:19" x14ac:dyDescent="0.35">
      <c r="A1486" s="5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6"/>
      <c r="P1486" s="23" t="e">
        <f>TRIM(Tabla1[[#This Row],[Articulo]])</f>
        <v>#VALUE!</v>
      </c>
      <c r="Q1486" s="23" t="e">
        <f>_xlfn.XLOOKUP(Tabla1[[#This Row],[Ean Normalizado]],Consumos!A:A,Consumos!E:E)</f>
        <v>#VALUE!</v>
      </c>
      <c r="R1486" s="22" t="e">
        <f>_xlfn.XLOOKUP(Tabla1[[#This Row],[Ean Normalizado]],tabla_consumos[EAN],tabla_consumos[UM])</f>
        <v>#VALUE!</v>
      </c>
      <c r="S1486" s="22" t="e">
        <f>Tabla1[[#This Row],[StockDisp]]*Tabla1[[#This Row],[UM producto]]</f>
        <v>#VALUE!</v>
      </c>
    </row>
    <row r="1487" spans="1:19" x14ac:dyDescent="0.35">
      <c r="A1487" s="5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6"/>
      <c r="P1487" s="23" t="e">
        <f>TRIM(Tabla1[[#This Row],[Articulo]])</f>
        <v>#VALUE!</v>
      </c>
      <c r="Q1487" s="23" t="e">
        <f>_xlfn.XLOOKUP(Tabla1[[#This Row],[Ean Normalizado]],Consumos!A:A,Consumos!E:E)</f>
        <v>#VALUE!</v>
      </c>
      <c r="R1487" s="22" t="e">
        <f>_xlfn.XLOOKUP(Tabla1[[#This Row],[Ean Normalizado]],tabla_consumos[EAN],tabla_consumos[UM])</f>
        <v>#VALUE!</v>
      </c>
      <c r="S1487" s="22" t="e">
        <f>Tabla1[[#This Row],[StockDisp]]*Tabla1[[#This Row],[UM producto]]</f>
        <v>#VALUE!</v>
      </c>
    </row>
    <row r="1488" spans="1:19" x14ac:dyDescent="0.35">
      <c r="A1488" s="5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6"/>
      <c r="P1488" s="23" t="e">
        <f>TRIM(Tabla1[[#This Row],[Articulo]])</f>
        <v>#VALUE!</v>
      </c>
      <c r="Q1488" s="23" t="e">
        <f>_xlfn.XLOOKUP(Tabla1[[#This Row],[Ean Normalizado]],Consumos!A:A,Consumos!E:E)</f>
        <v>#VALUE!</v>
      </c>
      <c r="R1488" s="22" t="e">
        <f>_xlfn.XLOOKUP(Tabla1[[#This Row],[Ean Normalizado]],tabla_consumos[EAN],tabla_consumos[UM])</f>
        <v>#VALUE!</v>
      </c>
      <c r="S1488" s="22" t="e">
        <f>Tabla1[[#This Row],[StockDisp]]*Tabla1[[#This Row],[UM producto]]</f>
        <v>#VALUE!</v>
      </c>
    </row>
    <row r="1489" spans="1:19" x14ac:dyDescent="0.35">
      <c r="A1489" s="5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6"/>
      <c r="P1489" s="23" t="e">
        <f>TRIM(Tabla1[[#This Row],[Articulo]])</f>
        <v>#VALUE!</v>
      </c>
      <c r="Q1489" s="23" t="e">
        <f>_xlfn.XLOOKUP(Tabla1[[#This Row],[Ean Normalizado]],Consumos!A:A,Consumos!E:E)</f>
        <v>#VALUE!</v>
      </c>
      <c r="R1489" s="22" t="e">
        <f>_xlfn.XLOOKUP(Tabla1[[#This Row],[Ean Normalizado]],tabla_consumos[EAN],tabla_consumos[UM])</f>
        <v>#VALUE!</v>
      </c>
      <c r="S1489" s="22" t="e">
        <f>Tabla1[[#This Row],[StockDisp]]*Tabla1[[#This Row],[UM producto]]</f>
        <v>#VALUE!</v>
      </c>
    </row>
    <row r="1490" spans="1:19" x14ac:dyDescent="0.35">
      <c r="A1490" s="5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6"/>
      <c r="P1490" s="23" t="e">
        <f>TRIM(Tabla1[[#This Row],[Articulo]])</f>
        <v>#VALUE!</v>
      </c>
      <c r="Q1490" s="23" t="e">
        <f>_xlfn.XLOOKUP(Tabla1[[#This Row],[Ean Normalizado]],Consumos!A:A,Consumos!E:E)</f>
        <v>#VALUE!</v>
      </c>
      <c r="R1490" s="22" t="e">
        <f>_xlfn.XLOOKUP(Tabla1[[#This Row],[Ean Normalizado]],tabla_consumos[EAN],tabla_consumos[UM])</f>
        <v>#VALUE!</v>
      </c>
      <c r="S1490" s="22" t="e">
        <f>Tabla1[[#This Row],[StockDisp]]*Tabla1[[#This Row],[UM producto]]</f>
        <v>#VALUE!</v>
      </c>
    </row>
    <row r="1491" spans="1:19" x14ac:dyDescent="0.35">
      <c r="A1491" s="5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6"/>
      <c r="P1491" s="23" t="e">
        <f>TRIM(Tabla1[[#This Row],[Articulo]])</f>
        <v>#VALUE!</v>
      </c>
      <c r="Q1491" s="23" t="e">
        <f>_xlfn.XLOOKUP(Tabla1[[#This Row],[Ean Normalizado]],Consumos!A:A,Consumos!E:E)</f>
        <v>#VALUE!</v>
      </c>
      <c r="R1491" s="22" t="e">
        <f>_xlfn.XLOOKUP(Tabla1[[#This Row],[Ean Normalizado]],tabla_consumos[EAN],tabla_consumos[UM])</f>
        <v>#VALUE!</v>
      </c>
      <c r="S1491" s="22" t="e">
        <f>Tabla1[[#This Row],[StockDisp]]*Tabla1[[#This Row],[UM producto]]</f>
        <v>#VALUE!</v>
      </c>
    </row>
    <row r="1492" spans="1:19" x14ac:dyDescent="0.35">
      <c r="A1492" s="5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6"/>
      <c r="P1492" s="23" t="e">
        <f>TRIM(Tabla1[[#This Row],[Articulo]])</f>
        <v>#VALUE!</v>
      </c>
      <c r="Q1492" s="23" t="e">
        <f>_xlfn.XLOOKUP(Tabla1[[#This Row],[Ean Normalizado]],Consumos!A:A,Consumos!E:E)</f>
        <v>#VALUE!</v>
      </c>
      <c r="R1492" s="22" t="e">
        <f>_xlfn.XLOOKUP(Tabla1[[#This Row],[Ean Normalizado]],tabla_consumos[EAN],tabla_consumos[UM])</f>
        <v>#VALUE!</v>
      </c>
      <c r="S1492" s="22" t="e">
        <f>Tabla1[[#This Row],[StockDisp]]*Tabla1[[#This Row],[UM producto]]</f>
        <v>#VALUE!</v>
      </c>
    </row>
    <row r="1493" spans="1:19" x14ac:dyDescent="0.35">
      <c r="A1493" s="5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6"/>
      <c r="P1493" s="23" t="e">
        <f>TRIM(Tabla1[[#This Row],[Articulo]])</f>
        <v>#VALUE!</v>
      </c>
      <c r="Q1493" s="23" t="e">
        <f>_xlfn.XLOOKUP(Tabla1[[#This Row],[Ean Normalizado]],Consumos!A:A,Consumos!E:E)</f>
        <v>#VALUE!</v>
      </c>
      <c r="R1493" s="22" t="e">
        <f>_xlfn.XLOOKUP(Tabla1[[#This Row],[Ean Normalizado]],tabla_consumos[EAN],tabla_consumos[UM])</f>
        <v>#VALUE!</v>
      </c>
      <c r="S1493" s="22" t="e">
        <f>Tabla1[[#This Row],[StockDisp]]*Tabla1[[#This Row],[UM producto]]</f>
        <v>#VALUE!</v>
      </c>
    </row>
    <row r="1494" spans="1:19" x14ac:dyDescent="0.35">
      <c r="A1494" s="5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6"/>
      <c r="P1494" s="23" t="e">
        <f>TRIM(Tabla1[[#This Row],[Articulo]])</f>
        <v>#VALUE!</v>
      </c>
      <c r="Q1494" s="23" t="e">
        <f>_xlfn.XLOOKUP(Tabla1[[#This Row],[Ean Normalizado]],Consumos!A:A,Consumos!E:E)</f>
        <v>#VALUE!</v>
      </c>
      <c r="R1494" s="22" t="e">
        <f>_xlfn.XLOOKUP(Tabla1[[#This Row],[Ean Normalizado]],tabla_consumos[EAN],tabla_consumos[UM])</f>
        <v>#VALUE!</v>
      </c>
      <c r="S1494" s="22" t="e">
        <f>Tabla1[[#This Row],[StockDisp]]*Tabla1[[#This Row],[UM producto]]</f>
        <v>#VALUE!</v>
      </c>
    </row>
    <row r="1495" spans="1:19" x14ac:dyDescent="0.35">
      <c r="A1495" s="5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6"/>
      <c r="P1495" s="23" t="e">
        <f>TRIM(Tabla1[[#This Row],[Articulo]])</f>
        <v>#VALUE!</v>
      </c>
      <c r="Q1495" s="23" t="e">
        <f>_xlfn.XLOOKUP(Tabla1[[#This Row],[Ean Normalizado]],Consumos!A:A,Consumos!E:E)</f>
        <v>#VALUE!</v>
      </c>
      <c r="R1495" s="22" t="e">
        <f>_xlfn.XLOOKUP(Tabla1[[#This Row],[Ean Normalizado]],tabla_consumos[EAN],tabla_consumos[UM])</f>
        <v>#VALUE!</v>
      </c>
      <c r="S1495" s="22" t="e">
        <f>Tabla1[[#This Row],[StockDisp]]*Tabla1[[#This Row],[UM producto]]</f>
        <v>#VALUE!</v>
      </c>
    </row>
    <row r="1496" spans="1:19" x14ac:dyDescent="0.35">
      <c r="A1496" s="5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6"/>
      <c r="P1496" s="23" t="e">
        <f>TRIM(Tabla1[[#This Row],[Articulo]])</f>
        <v>#VALUE!</v>
      </c>
      <c r="Q1496" s="23" t="e">
        <f>_xlfn.XLOOKUP(Tabla1[[#This Row],[Ean Normalizado]],Consumos!A:A,Consumos!E:E)</f>
        <v>#VALUE!</v>
      </c>
      <c r="R1496" s="22" t="e">
        <f>_xlfn.XLOOKUP(Tabla1[[#This Row],[Ean Normalizado]],tabla_consumos[EAN],tabla_consumos[UM])</f>
        <v>#VALUE!</v>
      </c>
      <c r="S1496" s="22" t="e">
        <f>Tabla1[[#This Row],[StockDisp]]*Tabla1[[#This Row],[UM producto]]</f>
        <v>#VALUE!</v>
      </c>
    </row>
    <row r="1497" spans="1:19" x14ac:dyDescent="0.35">
      <c r="A1497" s="5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6"/>
      <c r="P1497" s="23" t="e">
        <f>TRIM(Tabla1[[#This Row],[Articulo]])</f>
        <v>#VALUE!</v>
      </c>
      <c r="Q1497" s="23" t="e">
        <f>_xlfn.XLOOKUP(Tabla1[[#This Row],[Ean Normalizado]],Consumos!A:A,Consumos!E:E)</f>
        <v>#VALUE!</v>
      </c>
      <c r="R1497" s="22" t="e">
        <f>_xlfn.XLOOKUP(Tabla1[[#This Row],[Ean Normalizado]],tabla_consumos[EAN],tabla_consumos[UM])</f>
        <v>#VALUE!</v>
      </c>
      <c r="S1497" s="22" t="e">
        <f>Tabla1[[#This Row],[StockDisp]]*Tabla1[[#This Row],[UM producto]]</f>
        <v>#VALUE!</v>
      </c>
    </row>
    <row r="1498" spans="1:19" x14ac:dyDescent="0.35">
      <c r="A1498" s="5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6"/>
      <c r="P1498" s="23" t="e">
        <f>TRIM(Tabla1[[#This Row],[Articulo]])</f>
        <v>#VALUE!</v>
      </c>
      <c r="Q1498" s="23" t="e">
        <f>_xlfn.XLOOKUP(Tabla1[[#This Row],[Ean Normalizado]],Consumos!A:A,Consumos!E:E)</f>
        <v>#VALUE!</v>
      </c>
      <c r="R1498" s="22" t="e">
        <f>_xlfn.XLOOKUP(Tabla1[[#This Row],[Ean Normalizado]],tabla_consumos[EAN],tabla_consumos[UM])</f>
        <v>#VALUE!</v>
      </c>
      <c r="S1498" s="22" t="e">
        <f>Tabla1[[#This Row],[StockDisp]]*Tabla1[[#This Row],[UM producto]]</f>
        <v>#VALUE!</v>
      </c>
    </row>
    <row r="1499" spans="1:19" x14ac:dyDescent="0.35">
      <c r="A1499" s="5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6"/>
      <c r="P1499" s="23" t="e">
        <f>TRIM(Tabla1[[#This Row],[Articulo]])</f>
        <v>#VALUE!</v>
      </c>
      <c r="Q1499" s="23" t="e">
        <f>_xlfn.XLOOKUP(Tabla1[[#This Row],[Ean Normalizado]],Consumos!A:A,Consumos!E:E)</f>
        <v>#VALUE!</v>
      </c>
      <c r="R1499" s="22" t="e">
        <f>_xlfn.XLOOKUP(Tabla1[[#This Row],[Ean Normalizado]],tabla_consumos[EAN],tabla_consumos[UM])</f>
        <v>#VALUE!</v>
      </c>
      <c r="S1499" s="22" t="e">
        <f>Tabla1[[#This Row],[StockDisp]]*Tabla1[[#This Row],[UM producto]]</f>
        <v>#VALUE!</v>
      </c>
    </row>
    <row r="1500" spans="1:19" x14ac:dyDescent="0.35">
      <c r="A1500" s="5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6"/>
      <c r="P1500" s="23" t="e">
        <f>TRIM(Tabla1[[#This Row],[Articulo]])</f>
        <v>#VALUE!</v>
      </c>
      <c r="Q1500" s="23" t="e">
        <f>_xlfn.XLOOKUP(Tabla1[[#This Row],[Ean Normalizado]],Consumos!A:A,Consumos!E:E)</f>
        <v>#VALUE!</v>
      </c>
      <c r="R1500" s="22" t="e">
        <f>_xlfn.XLOOKUP(Tabla1[[#This Row],[Ean Normalizado]],tabla_consumos[EAN],tabla_consumos[UM])</f>
        <v>#VALUE!</v>
      </c>
      <c r="S1500" s="22" t="e">
        <f>Tabla1[[#This Row],[StockDisp]]*Tabla1[[#This Row],[UM producto]]</f>
        <v>#VALUE!</v>
      </c>
    </row>
    <row r="1501" spans="1:19" x14ac:dyDescent="0.35">
      <c r="A1501" s="5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6"/>
      <c r="P1501" s="23" t="e">
        <f>TRIM(Tabla1[[#This Row],[Articulo]])</f>
        <v>#VALUE!</v>
      </c>
      <c r="Q1501" s="23" t="e">
        <f>_xlfn.XLOOKUP(Tabla1[[#This Row],[Ean Normalizado]],Consumos!A:A,Consumos!E:E)</f>
        <v>#VALUE!</v>
      </c>
      <c r="R1501" s="22" t="e">
        <f>_xlfn.XLOOKUP(Tabla1[[#This Row],[Ean Normalizado]],tabla_consumos[EAN],tabla_consumos[UM])</f>
        <v>#VALUE!</v>
      </c>
      <c r="S1501" s="22" t="e">
        <f>Tabla1[[#This Row],[StockDisp]]*Tabla1[[#This Row],[UM producto]]</f>
        <v>#VALUE!</v>
      </c>
    </row>
    <row r="1502" spans="1:19" x14ac:dyDescent="0.35">
      <c r="A1502" s="5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6"/>
      <c r="P1502" s="23" t="e">
        <f>TRIM(Tabla1[[#This Row],[Articulo]])</f>
        <v>#VALUE!</v>
      </c>
      <c r="Q1502" s="23" t="e">
        <f>_xlfn.XLOOKUP(Tabla1[[#This Row],[Ean Normalizado]],Consumos!A:A,Consumos!E:E)</f>
        <v>#VALUE!</v>
      </c>
      <c r="R1502" s="22" t="e">
        <f>_xlfn.XLOOKUP(Tabla1[[#This Row],[Ean Normalizado]],tabla_consumos[EAN],tabla_consumos[UM])</f>
        <v>#VALUE!</v>
      </c>
      <c r="S1502" s="22" t="e">
        <f>Tabla1[[#This Row],[StockDisp]]*Tabla1[[#This Row],[UM producto]]</f>
        <v>#VALUE!</v>
      </c>
    </row>
    <row r="1503" spans="1:19" x14ac:dyDescent="0.35">
      <c r="A1503" s="5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6"/>
      <c r="P1503" s="23" t="e">
        <f>TRIM(Tabla1[[#This Row],[Articulo]])</f>
        <v>#VALUE!</v>
      </c>
      <c r="Q1503" s="23" t="e">
        <f>_xlfn.XLOOKUP(Tabla1[[#This Row],[Ean Normalizado]],Consumos!A:A,Consumos!E:E)</f>
        <v>#VALUE!</v>
      </c>
      <c r="R1503" s="22" t="e">
        <f>_xlfn.XLOOKUP(Tabla1[[#This Row],[Ean Normalizado]],tabla_consumos[EAN],tabla_consumos[UM])</f>
        <v>#VALUE!</v>
      </c>
      <c r="S1503" s="22" t="e">
        <f>Tabla1[[#This Row],[StockDisp]]*Tabla1[[#This Row],[UM producto]]</f>
        <v>#VALUE!</v>
      </c>
    </row>
    <row r="1504" spans="1:19" x14ac:dyDescent="0.35">
      <c r="A1504" s="5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6"/>
      <c r="P1504" s="23" t="e">
        <f>TRIM(Tabla1[[#This Row],[Articulo]])</f>
        <v>#VALUE!</v>
      </c>
      <c r="Q1504" s="23" t="e">
        <f>_xlfn.XLOOKUP(Tabla1[[#This Row],[Ean Normalizado]],Consumos!A:A,Consumos!E:E)</f>
        <v>#VALUE!</v>
      </c>
      <c r="R1504" s="22" t="e">
        <f>_xlfn.XLOOKUP(Tabla1[[#This Row],[Ean Normalizado]],tabla_consumos[EAN],tabla_consumos[UM])</f>
        <v>#VALUE!</v>
      </c>
      <c r="S1504" s="22" t="e">
        <f>Tabla1[[#This Row],[StockDisp]]*Tabla1[[#This Row],[UM producto]]</f>
        <v>#VALUE!</v>
      </c>
    </row>
    <row r="1505" spans="1:19" x14ac:dyDescent="0.35">
      <c r="A1505" s="5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6"/>
      <c r="P1505" s="23" t="e">
        <f>TRIM(Tabla1[[#This Row],[Articulo]])</f>
        <v>#VALUE!</v>
      </c>
      <c r="Q1505" s="23" t="e">
        <f>_xlfn.XLOOKUP(Tabla1[[#This Row],[Ean Normalizado]],Consumos!A:A,Consumos!E:E)</f>
        <v>#VALUE!</v>
      </c>
      <c r="R1505" s="22" t="e">
        <f>_xlfn.XLOOKUP(Tabla1[[#This Row],[Ean Normalizado]],tabla_consumos[EAN],tabla_consumos[UM])</f>
        <v>#VALUE!</v>
      </c>
      <c r="S1505" s="22" t="e">
        <f>Tabla1[[#This Row],[StockDisp]]*Tabla1[[#This Row],[UM producto]]</f>
        <v>#VALUE!</v>
      </c>
    </row>
    <row r="1506" spans="1:19" x14ac:dyDescent="0.35">
      <c r="A1506" s="5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6"/>
      <c r="P1506" s="23" t="e">
        <f>TRIM(Tabla1[[#This Row],[Articulo]])</f>
        <v>#VALUE!</v>
      </c>
      <c r="Q1506" s="23" t="e">
        <f>_xlfn.XLOOKUP(Tabla1[[#This Row],[Ean Normalizado]],Consumos!A:A,Consumos!E:E)</f>
        <v>#VALUE!</v>
      </c>
      <c r="R1506" s="22" t="e">
        <f>_xlfn.XLOOKUP(Tabla1[[#This Row],[Ean Normalizado]],tabla_consumos[EAN],tabla_consumos[UM])</f>
        <v>#VALUE!</v>
      </c>
      <c r="S1506" s="22" t="e">
        <f>Tabla1[[#This Row],[StockDisp]]*Tabla1[[#This Row],[UM producto]]</f>
        <v>#VALUE!</v>
      </c>
    </row>
    <row r="1507" spans="1:19" x14ac:dyDescent="0.35">
      <c r="A1507" s="5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6"/>
      <c r="P1507" s="23" t="e">
        <f>TRIM(Tabla1[[#This Row],[Articulo]])</f>
        <v>#VALUE!</v>
      </c>
      <c r="Q1507" s="23" t="e">
        <f>_xlfn.XLOOKUP(Tabla1[[#This Row],[Ean Normalizado]],Consumos!A:A,Consumos!E:E)</f>
        <v>#VALUE!</v>
      </c>
      <c r="R1507" s="22" t="e">
        <f>_xlfn.XLOOKUP(Tabla1[[#This Row],[Ean Normalizado]],tabla_consumos[EAN],tabla_consumos[UM])</f>
        <v>#VALUE!</v>
      </c>
      <c r="S1507" s="22" t="e">
        <f>Tabla1[[#This Row],[StockDisp]]*Tabla1[[#This Row],[UM producto]]</f>
        <v>#VALUE!</v>
      </c>
    </row>
    <row r="1508" spans="1:19" x14ac:dyDescent="0.35">
      <c r="A1508" s="5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6"/>
      <c r="P1508" s="23" t="e">
        <f>TRIM(Tabla1[[#This Row],[Articulo]])</f>
        <v>#VALUE!</v>
      </c>
      <c r="Q1508" s="23" t="e">
        <f>_xlfn.XLOOKUP(Tabla1[[#This Row],[Ean Normalizado]],Consumos!A:A,Consumos!E:E)</f>
        <v>#VALUE!</v>
      </c>
      <c r="R1508" s="22" t="e">
        <f>_xlfn.XLOOKUP(Tabla1[[#This Row],[Ean Normalizado]],tabla_consumos[EAN],tabla_consumos[UM])</f>
        <v>#VALUE!</v>
      </c>
      <c r="S1508" s="22" t="e">
        <f>Tabla1[[#This Row],[StockDisp]]*Tabla1[[#This Row],[UM producto]]</f>
        <v>#VALUE!</v>
      </c>
    </row>
    <row r="1509" spans="1:19" x14ac:dyDescent="0.35">
      <c r="A1509" s="5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6"/>
      <c r="P1509" s="23" t="e">
        <f>TRIM(Tabla1[[#This Row],[Articulo]])</f>
        <v>#VALUE!</v>
      </c>
      <c r="Q1509" s="23" t="e">
        <f>_xlfn.XLOOKUP(Tabla1[[#This Row],[Ean Normalizado]],Consumos!A:A,Consumos!E:E)</f>
        <v>#VALUE!</v>
      </c>
      <c r="R1509" s="22" t="e">
        <f>_xlfn.XLOOKUP(Tabla1[[#This Row],[Ean Normalizado]],tabla_consumos[EAN],tabla_consumos[UM])</f>
        <v>#VALUE!</v>
      </c>
      <c r="S1509" s="22" t="e">
        <f>Tabla1[[#This Row],[StockDisp]]*Tabla1[[#This Row],[UM producto]]</f>
        <v>#VALUE!</v>
      </c>
    </row>
    <row r="1510" spans="1:19" x14ac:dyDescent="0.35">
      <c r="A1510" s="5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6"/>
      <c r="P1510" s="23" t="e">
        <f>TRIM(Tabla1[[#This Row],[Articulo]])</f>
        <v>#VALUE!</v>
      </c>
      <c r="Q1510" s="23" t="e">
        <f>_xlfn.XLOOKUP(Tabla1[[#This Row],[Ean Normalizado]],Consumos!A:A,Consumos!E:E)</f>
        <v>#VALUE!</v>
      </c>
      <c r="R1510" s="22" t="e">
        <f>_xlfn.XLOOKUP(Tabla1[[#This Row],[Ean Normalizado]],tabla_consumos[EAN],tabla_consumos[UM])</f>
        <v>#VALUE!</v>
      </c>
      <c r="S1510" s="22" t="e">
        <f>Tabla1[[#This Row],[StockDisp]]*Tabla1[[#This Row],[UM producto]]</f>
        <v>#VALUE!</v>
      </c>
    </row>
    <row r="1511" spans="1:19" x14ac:dyDescent="0.35">
      <c r="A1511" s="5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6"/>
      <c r="P1511" s="23" t="e">
        <f>TRIM(Tabla1[[#This Row],[Articulo]])</f>
        <v>#VALUE!</v>
      </c>
      <c r="Q1511" s="23" t="e">
        <f>_xlfn.XLOOKUP(Tabla1[[#This Row],[Ean Normalizado]],Consumos!A:A,Consumos!E:E)</f>
        <v>#VALUE!</v>
      </c>
      <c r="R1511" s="22" t="e">
        <f>_xlfn.XLOOKUP(Tabla1[[#This Row],[Ean Normalizado]],tabla_consumos[EAN],tabla_consumos[UM])</f>
        <v>#VALUE!</v>
      </c>
      <c r="S1511" s="22" t="e">
        <f>Tabla1[[#This Row],[StockDisp]]*Tabla1[[#This Row],[UM producto]]</f>
        <v>#VALUE!</v>
      </c>
    </row>
    <row r="1512" spans="1:19" x14ac:dyDescent="0.35">
      <c r="A1512" s="5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6"/>
      <c r="P1512" s="23" t="e">
        <f>TRIM(Tabla1[[#This Row],[Articulo]])</f>
        <v>#VALUE!</v>
      </c>
      <c r="Q1512" s="23" t="e">
        <f>_xlfn.XLOOKUP(Tabla1[[#This Row],[Ean Normalizado]],Consumos!A:A,Consumos!E:E)</f>
        <v>#VALUE!</v>
      </c>
      <c r="R1512" s="22" t="e">
        <f>_xlfn.XLOOKUP(Tabla1[[#This Row],[Ean Normalizado]],tabla_consumos[EAN],tabla_consumos[UM])</f>
        <v>#VALUE!</v>
      </c>
      <c r="S1512" s="22" t="e">
        <f>Tabla1[[#This Row],[StockDisp]]*Tabla1[[#This Row],[UM producto]]</f>
        <v>#VALUE!</v>
      </c>
    </row>
    <row r="1513" spans="1:19" x14ac:dyDescent="0.35">
      <c r="A1513" s="5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6"/>
      <c r="P1513" s="23" t="e">
        <f>TRIM(Tabla1[[#This Row],[Articulo]])</f>
        <v>#VALUE!</v>
      </c>
      <c r="Q1513" s="23" t="e">
        <f>_xlfn.XLOOKUP(Tabla1[[#This Row],[Ean Normalizado]],Consumos!A:A,Consumos!E:E)</f>
        <v>#VALUE!</v>
      </c>
      <c r="R1513" s="22" t="e">
        <f>_xlfn.XLOOKUP(Tabla1[[#This Row],[Ean Normalizado]],tabla_consumos[EAN],tabla_consumos[UM])</f>
        <v>#VALUE!</v>
      </c>
      <c r="S1513" s="22" t="e">
        <f>Tabla1[[#This Row],[StockDisp]]*Tabla1[[#This Row],[UM producto]]</f>
        <v>#VALUE!</v>
      </c>
    </row>
    <row r="1514" spans="1:19" x14ac:dyDescent="0.35">
      <c r="A1514" s="5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6"/>
      <c r="P1514" s="23" t="e">
        <f>TRIM(Tabla1[[#This Row],[Articulo]])</f>
        <v>#VALUE!</v>
      </c>
      <c r="Q1514" s="23" t="e">
        <f>_xlfn.XLOOKUP(Tabla1[[#This Row],[Ean Normalizado]],Consumos!A:A,Consumos!E:E)</f>
        <v>#VALUE!</v>
      </c>
      <c r="R1514" s="22" t="e">
        <f>_xlfn.XLOOKUP(Tabla1[[#This Row],[Ean Normalizado]],tabla_consumos[EAN],tabla_consumos[UM])</f>
        <v>#VALUE!</v>
      </c>
      <c r="S1514" s="22" t="e">
        <f>Tabla1[[#This Row],[StockDisp]]*Tabla1[[#This Row],[UM producto]]</f>
        <v>#VALUE!</v>
      </c>
    </row>
    <row r="1515" spans="1:19" x14ac:dyDescent="0.35">
      <c r="A1515" s="5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6"/>
      <c r="P1515" s="23" t="e">
        <f>TRIM(Tabla1[[#This Row],[Articulo]])</f>
        <v>#VALUE!</v>
      </c>
      <c r="Q1515" s="23" t="e">
        <f>_xlfn.XLOOKUP(Tabla1[[#This Row],[Ean Normalizado]],Consumos!A:A,Consumos!E:E)</f>
        <v>#VALUE!</v>
      </c>
      <c r="R1515" s="22" t="e">
        <f>_xlfn.XLOOKUP(Tabla1[[#This Row],[Ean Normalizado]],tabla_consumos[EAN],tabla_consumos[UM])</f>
        <v>#VALUE!</v>
      </c>
      <c r="S1515" s="22" t="e">
        <f>Tabla1[[#This Row],[StockDisp]]*Tabla1[[#This Row],[UM producto]]</f>
        <v>#VALUE!</v>
      </c>
    </row>
    <row r="1516" spans="1:19" x14ac:dyDescent="0.35">
      <c r="A1516" s="5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6"/>
      <c r="P1516" s="23" t="e">
        <f>TRIM(Tabla1[[#This Row],[Articulo]])</f>
        <v>#VALUE!</v>
      </c>
      <c r="Q1516" s="23" t="e">
        <f>_xlfn.XLOOKUP(Tabla1[[#This Row],[Ean Normalizado]],Consumos!A:A,Consumos!E:E)</f>
        <v>#VALUE!</v>
      </c>
      <c r="R1516" s="22" t="e">
        <f>_xlfn.XLOOKUP(Tabla1[[#This Row],[Ean Normalizado]],tabla_consumos[EAN],tabla_consumos[UM])</f>
        <v>#VALUE!</v>
      </c>
      <c r="S1516" s="22" t="e">
        <f>Tabla1[[#This Row],[StockDisp]]*Tabla1[[#This Row],[UM producto]]</f>
        <v>#VALUE!</v>
      </c>
    </row>
    <row r="1517" spans="1:19" x14ac:dyDescent="0.35">
      <c r="A1517" s="5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6"/>
      <c r="P1517" s="23" t="e">
        <f>TRIM(Tabla1[[#This Row],[Articulo]])</f>
        <v>#VALUE!</v>
      </c>
      <c r="Q1517" s="23" t="e">
        <f>_xlfn.XLOOKUP(Tabla1[[#This Row],[Ean Normalizado]],Consumos!A:A,Consumos!E:E)</f>
        <v>#VALUE!</v>
      </c>
      <c r="R1517" s="22" t="e">
        <f>_xlfn.XLOOKUP(Tabla1[[#This Row],[Ean Normalizado]],tabla_consumos[EAN],tabla_consumos[UM])</f>
        <v>#VALUE!</v>
      </c>
      <c r="S1517" s="22" t="e">
        <f>Tabla1[[#This Row],[StockDisp]]*Tabla1[[#This Row],[UM producto]]</f>
        <v>#VALUE!</v>
      </c>
    </row>
    <row r="1518" spans="1:19" x14ac:dyDescent="0.35">
      <c r="A1518" s="5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6"/>
      <c r="P1518" s="23" t="e">
        <f>TRIM(Tabla1[[#This Row],[Articulo]])</f>
        <v>#VALUE!</v>
      </c>
      <c r="Q1518" s="23" t="e">
        <f>_xlfn.XLOOKUP(Tabla1[[#This Row],[Ean Normalizado]],Consumos!A:A,Consumos!E:E)</f>
        <v>#VALUE!</v>
      </c>
      <c r="R1518" s="22" t="e">
        <f>_xlfn.XLOOKUP(Tabla1[[#This Row],[Ean Normalizado]],tabla_consumos[EAN],tabla_consumos[UM])</f>
        <v>#VALUE!</v>
      </c>
      <c r="S1518" s="22" t="e">
        <f>Tabla1[[#This Row],[StockDisp]]*Tabla1[[#This Row],[UM producto]]</f>
        <v>#VALUE!</v>
      </c>
    </row>
    <row r="1519" spans="1:19" x14ac:dyDescent="0.35">
      <c r="A1519" s="5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6"/>
      <c r="P1519" s="23" t="e">
        <f>TRIM(Tabla1[[#This Row],[Articulo]])</f>
        <v>#VALUE!</v>
      </c>
      <c r="Q1519" s="23" t="e">
        <f>_xlfn.XLOOKUP(Tabla1[[#This Row],[Ean Normalizado]],Consumos!A:A,Consumos!E:E)</f>
        <v>#VALUE!</v>
      </c>
      <c r="R1519" s="22" t="e">
        <f>_xlfn.XLOOKUP(Tabla1[[#This Row],[Ean Normalizado]],tabla_consumos[EAN],tabla_consumos[UM])</f>
        <v>#VALUE!</v>
      </c>
      <c r="S1519" s="22" t="e">
        <f>Tabla1[[#This Row],[StockDisp]]*Tabla1[[#This Row],[UM producto]]</f>
        <v>#VALUE!</v>
      </c>
    </row>
    <row r="1520" spans="1:19" x14ac:dyDescent="0.35">
      <c r="A1520" s="5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6"/>
      <c r="P1520" s="23" t="e">
        <f>TRIM(Tabla1[[#This Row],[Articulo]])</f>
        <v>#VALUE!</v>
      </c>
      <c r="Q1520" s="23" t="e">
        <f>_xlfn.XLOOKUP(Tabla1[[#This Row],[Ean Normalizado]],Consumos!A:A,Consumos!E:E)</f>
        <v>#VALUE!</v>
      </c>
      <c r="R1520" s="22" t="e">
        <f>_xlfn.XLOOKUP(Tabla1[[#This Row],[Ean Normalizado]],tabla_consumos[EAN],tabla_consumos[UM])</f>
        <v>#VALUE!</v>
      </c>
      <c r="S1520" s="22" t="e">
        <f>Tabla1[[#This Row],[StockDisp]]*Tabla1[[#This Row],[UM producto]]</f>
        <v>#VALUE!</v>
      </c>
    </row>
    <row r="1521" spans="1:19" x14ac:dyDescent="0.35">
      <c r="A1521" s="5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6"/>
      <c r="P1521" s="23" t="e">
        <f>TRIM(Tabla1[[#This Row],[Articulo]])</f>
        <v>#VALUE!</v>
      </c>
      <c r="Q1521" s="23" t="e">
        <f>_xlfn.XLOOKUP(Tabla1[[#This Row],[Ean Normalizado]],Consumos!A:A,Consumos!E:E)</f>
        <v>#VALUE!</v>
      </c>
      <c r="R1521" s="22" t="e">
        <f>_xlfn.XLOOKUP(Tabla1[[#This Row],[Ean Normalizado]],tabla_consumos[EAN],tabla_consumos[UM])</f>
        <v>#VALUE!</v>
      </c>
      <c r="S1521" s="22" t="e">
        <f>Tabla1[[#This Row],[StockDisp]]*Tabla1[[#This Row],[UM producto]]</f>
        <v>#VALUE!</v>
      </c>
    </row>
    <row r="1522" spans="1:19" x14ac:dyDescent="0.35">
      <c r="A1522" s="5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6"/>
      <c r="P1522" s="23" t="e">
        <f>TRIM(Tabla1[[#This Row],[Articulo]])</f>
        <v>#VALUE!</v>
      </c>
      <c r="Q1522" s="23" t="e">
        <f>_xlfn.XLOOKUP(Tabla1[[#This Row],[Ean Normalizado]],Consumos!A:A,Consumos!E:E)</f>
        <v>#VALUE!</v>
      </c>
      <c r="R1522" s="22" t="e">
        <f>_xlfn.XLOOKUP(Tabla1[[#This Row],[Ean Normalizado]],tabla_consumos[EAN],tabla_consumos[UM])</f>
        <v>#VALUE!</v>
      </c>
      <c r="S1522" s="22" t="e">
        <f>Tabla1[[#This Row],[StockDisp]]*Tabla1[[#This Row],[UM producto]]</f>
        <v>#VALUE!</v>
      </c>
    </row>
    <row r="1523" spans="1:19" x14ac:dyDescent="0.35">
      <c r="A1523" s="5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6"/>
      <c r="P1523" s="23" t="e">
        <f>TRIM(Tabla1[[#This Row],[Articulo]])</f>
        <v>#VALUE!</v>
      </c>
      <c r="Q1523" s="23" t="e">
        <f>_xlfn.XLOOKUP(Tabla1[[#This Row],[Ean Normalizado]],Consumos!A:A,Consumos!E:E)</f>
        <v>#VALUE!</v>
      </c>
      <c r="R1523" s="22" t="e">
        <f>_xlfn.XLOOKUP(Tabla1[[#This Row],[Ean Normalizado]],tabla_consumos[EAN],tabla_consumos[UM])</f>
        <v>#VALUE!</v>
      </c>
      <c r="S1523" s="22" t="e">
        <f>Tabla1[[#This Row],[StockDisp]]*Tabla1[[#This Row],[UM producto]]</f>
        <v>#VALUE!</v>
      </c>
    </row>
    <row r="1524" spans="1:19" x14ac:dyDescent="0.35">
      <c r="A1524" s="5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6"/>
      <c r="P1524" s="23" t="e">
        <f>TRIM(Tabla1[[#This Row],[Articulo]])</f>
        <v>#VALUE!</v>
      </c>
      <c r="Q1524" s="23" t="e">
        <f>_xlfn.XLOOKUP(Tabla1[[#This Row],[Ean Normalizado]],Consumos!A:A,Consumos!E:E)</f>
        <v>#VALUE!</v>
      </c>
      <c r="R1524" s="22" t="e">
        <f>_xlfn.XLOOKUP(Tabla1[[#This Row],[Ean Normalizado]],tabla_consumos[EAN],tabla_consumos[UM])</f>
        <v>#VALUE!</v>
      </c>
      <c r="S1524" s="22" t="e">
        <f>Tabla1[[#This Row],[StockDisp]]*Tabla1[[#This Row],[UM producto]]</f>
        <v>#VALUE!</v>
      </c>
    </row>
    <row r="1525" spans="1:19" x14ac:dyDescent="0.35">
      <c r="A1525" s="5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6"/>
      <c r="P1525" s="23" t="e">
        <f>TRIM(Tabla1[[#This Row],[Articulo]])</f>
        <v>#VALUE!</v>
      </c>
      <c r="Q1525" s="23" t="e">
        <f>_xlfn.XLOOKUP(Tabla1[[#This Row],[Ean Normalizado]],Consumos!A:A,Consumos!E:E)</f>
        <v>#VALUE!</v>
      </c>
      <c r="R1525" s="22" t="e">
        <f>_xlfn.XLOOKUP(Tabla1[[#This Row],[Ean Normalizado]],tabla_consumos[EAN],tabla_consumos[UM])</f>
        <v>#VALUE!</v>
      </c>
      <c r="S1525" s="22" t="e">
        <f>Tabla1[[#This Row],[StockDisp]]*Tabla1[[#This Row],[UM producto]]</f>
        <v>#VALUE!</v>
      </c>
    </row>
    <row r="1526" spans="1:19" x14ac:dyDescent="0.35">
      <c r="A1526" s="5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6"/>
      <c r="P1526" s="23" t="e">
        <f>TRIM(Tabla1[[#This Row],[Articulo]])</f>
        <v>#VALUE!</v>
      </c>
      <c r="Q1526" s="23" t="e">
        <f>_xlfn.XLOOKUP(Tabla1[[#This Row],[Ean Normalizado]],Consumos!A:A,Consumos!E:E)</f>
        <v>#VALUE!</v>
      </c>
      <c r="R1526" s="22" t="e">
        <f>_xlfn.XLOOKUP(Tabla1[[#This Row],[Ean Normalizado]],tabla_consumos[EAN],tabla_consumos[UM])</f>
        <v>#VALUE!</v>
      </c>
      <c r="S1526" s="22" t="e">
        <f>Tabla1[[#This Row],[StockDisp]]*Tabla1[[#This Row],[UM producto]]</f>
        <v>#VALUE!</v>
      </c>
    </row>
    <row r="1527" spans="1:19" x14ac:dyDescent="0.35">
      <c r="A1527" s="5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6"/>
      <c r="P1527" s="23" t="e">
        <f>TRIM(Tabla1[[#This Row],[Articulo]])</f>
        <v>#VALUE!</v>
      </c>
      <c r="Q1527" s="23" t="e">
        <f>_xlfn.XLOOKUP(Tabla1[[#This Row],[Ean Normalizado]],Consumos!A:A,Consumos!E:E)</f>
        <v>#VALUE!</v>
      </c>
      <c r="R1527" s="22" t="e">
        <f>_xlfn.XLOOKUP(Tabla1[[#This Row],[Ean Normalizado]],tabla_consumos[EAN],tabla_consumos[UM])</f>
        <v>#VALUE!</v>
      </c>
      <c r="S1527" s="22" t="e">
        <f>Tabla1[[#This Row],[StockDisp]]*Tabla1[[#This Row],[UM producto]]</f>
        <v>#VALUE!</v>
      </c>
    </row>
    <row r="1528" spans="1:19" x14ac:dyDescent="0.35">
      <c r="A1528" s="5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6"/>
      <c r="P1528" s="23" t="e">
        <f>TRIM(Tabla1[[#This Row],[Articulo]])</f>
        <v>#VALUE!</v>
      </c>
      <c r="Q1528" s="23" t="e">
        <f>_xlfn.XLOOKUP(Tabla1[[#This Row],[Ean Normalizado]],Consumos!A:A,Consumos!E:E)</f>
        <v>#VALUE!</v>
      </c>
      <c r="R1528" s="22" t="e">
        <f>_xlfn.XLOOKUP(Tabla1[[#This Row],[Ean Normalizado]],tabla_consumos[EAN],tabla_consumos[UM])</f>
        <v>#VALUE!</v>
      </c>
      <c r="S1528" s="22" t="e">
        <f>Tabla1[[#This Row],[StockDisp]]*Tabla1[[#This Row],[UM producto]]</f>
        <v>#VALUE!</v>
      </c>
    </row>
    <row r="1529" spans="1:19" x14ac:dyDescent="0.35">
      <c r="A1529" s="5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6"/>
      <c r="P1529" s="23" t="e">
        <f>TRIM(Tabla1[[#This Row],[Articulo]])</f>
        <v>#VALUE!</v>
      </c>
      <c r="Q1529" s="23" t="e">
        <f>_xlfn.XLOOKUP(Tabla1[[#This Row],[Ean Normalizado]],Consumos!A:A,Consumos!E:E)</f>
        <v>#VALUE!</v>
      </c>
      <c r="R1529" s="22" t="e">
        <f>_xlfn.XLOOKUP(Tabla1[[#This Row],[Ean Normalizado]],tabla_consumos[EAN],tabla_consumos[UM])</f>
        <v>#VALUE!</v>
      </c>
      <c r="S1529" s="22" t="e">
        <f>Tabla1[[#This Row],[StockDisp]]*Tabla1[[#This Row],[UM producto]]</f>
        <v>#VALUE!</v>
      </c>
    </row>
    <row r="1530" spans="1:19" x14ac:dyDescent="0.35">
      <c r="A1530" s="5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6"/>
      <c r="P1530" s="23" t="e">
        <f>TRIM(Tabla1[[#This Row],[Articulo]])</f>
        <v>#VALUE!</v>
      </c>
      <c r="Q1530" s="23" t="e">
        <f>_xlfn.XLOOKUP(Tabla1[[#This Row],[Ean Normalizado]],Consumos!A:A,Consumos!E:E)</f>
        <v>#VALUE!</v>
      </c>
      <c r="R1530" s="22" t="e">
        <f>_xlfn.XLOOKUP(Tabla1[[#This Row],[Ean Normalizado]],tabla_consumos[EAN],tabla_consumos[UM])</f>
        <v>#VALUE!</v>
      </c>
      <c r="S1530" s="22" t="e">
        <f>Tabla1[[#This Row],[StockDisp]]*Tabla1[[#This Row],[UM producto]]</f>
        <v>#VALUE!</v>
      </c>
    </row>
    <row r="1531" spans="1:19" x14ac:dyDescent="0.35">
      <c r="A1531" s="5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6"/>
      <c r="P1531" s="23" t="e">
        <f>TRIM(Tabla1[[#This Row],[Articulo]])</f>
        <v>#VALUE!</v>
      </c>
      <c r="Q1531" s="23" t="e">
        <f>_xlfn.XLOOKUP(Tabla1[[#This Row],[Ean Normalizado]],Consumos!A:A,Consumos!E:E)</f>
        <v>#VALUE!</v>
      </c>
      <c r="R1531" s="22" t="e">
        <f>_xlfn.XLOOKUP(Tabla1[[#This Row],[Ean Normalizado]],tabla_consumos[EAN],tabla_consumos[UM])</f>
        <v>#VALUE!</v>
      </c>
      <c r="S1531" s="22" t="e">
        <f>Tabla1[[#This Row],[StockDisp]]*Tabla1[[#This Row],[UM producto]]</f>
        <v>#VALUE!</v>
      </c>
    </row>
    <row r="1532" spans="1:19" x14ac:dyDescent="0.35">
      <c r="A1532" s="5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6"/>
      <c r="P1532" s="23" t="e">
        <f>TRIM(Tabla1[[#This Row],[Articulo]])</f>
        <v>#VALUE!</v>
      </c>
      <c r="Q1532" s="23" t="e">
        <f>_xlfn.XLOOKUP(Tabla1[[#This Row],[Ean Normalizado]],Consumos!A:A,Consumos!E:E)</f>
        <v>#VALUE!</v>
      </c>
      <c r="R1532" s="22" t="e">
        <f>_xlfn.XLOOKUP(Tabla1[[#This Row],[Ean Normalizado]],tabla_consumos[EAN],tabla_consumos[UM])</f>
        <v>#VALUE!</v>
      </c>
      <c r="S1532" s="22" t="e">
        <f>Tabla1[[#This Row],[StockDisp]]*Tabla1[[#This Row],[UM producto]]</f>
        <v>#VALUE!</v>
      </c>
    </row>
    <row r="1533" spans="1:19" x14ac:dyDescent="0.35">
      <c r="A1533" s="5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6"/>
      <c r="P1533" s="23" t="e">
        <f>TRIM(Tabla1[[#This Row],[Articulo]])</f>
        <v>#VALUE!</v>
      </c>
      <c r="Q1533" s="23" t="e">
        <f>_xlfn.XLOOKUP(Tabla1[[#This Row],[Ean Normalizado]],Consumos!A:A,Consumos!E:E)</f>
        <v>#VALUE!</v>
      </c>
      <c r="R1533" s="22" t="e">
        <f>_xlfn.XLOOKUP(Tabla1[[#This Row],[Ean Normalizado]],tabla_consumos[EAN],tabla_consumos[UM])</f>
        <v>#VALUE!</v>
      </c>
      <c r="S1533" s="22" t="e">
        <f>Tabla1[[#This Row],[StockDisp]]*Tabla1[[#This Row],[UM producto]]</f>
        <v>#VALUE!</v>
      </c>
    </row>
    <row r="1534" spans="1:19" x14ac:dyDescent="0.35">
      <c r="A1534" s="5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6"/>
      <c r="P1534" s="23" t="e">
        <f>TRIM(Tabla1[[#This Row],[Articulo]])</f>
        <v>#VALUE!</v>
      </c>
      <c r="Q1534" s="23" t="e">
        <f>_xlfn.XLOOKUP(Tabla1[[#This Row],[Ean Normalizado]],Consumos!A:A,Consumos!E:E)</f>
        <v>#VALUE!</v>
      </c>
      <c r="R1534" s="22" t="e">
        <f>_xlfn.XLOOKUP(Tabla1[[#This Row],[Ean Normalizado]],tabla_consumos[EAN],tabla_consumos[UM])</f>
        <v>#VALUE!</v>
      </c>
      <c r="S1534" s="22" t="e">
        <f>Tabla1[[#This Row],[StockDisp]]*Tabla1[[#This Row],[UM producto]]</f>
        <v>#VALUE!</v>
      </c>
    </row>
    <row r="1535" spans="1:19" x14ac:dyDescent="0.35">
      <c r="A1535" s="5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6"/>
      <c r="P1535" s="23" t="e">
        <f>TRIM(Tabla1[[#This Row],[Articulo]])</f>
        <v>#VALUE!</v>
      </c>
      <c r="Q1535" s="23" t="e">
        <f>_xlfn.XLOOKUP(Tabla1[[#This Row],[Ean Normalizado]],Consumos!A:A,Consumos!E:E)</f>
        <v>#VALUE!</v>
      </c>
      <c r="R1535" s="22" t="e">
        <f>_xlfn.XLOOKUP(Tabla1[[#This Row],[Ean Normalizado]],tabla_consumos[EAN],tabla_consumos[UM])</f>
        <v>#VALUE!</v>
      </c>
      <c r="S1535" s="22" t="e">
        <f>Tabla1[[#This Row],[StockDisp]]*Tabla1[[#This Row],[UM producto]]</f>
        <v>#VALUE!</v>
      </c>
    </row>
    <row r="1536" spans="1:19" x14ac:dyDescent="0.35">
      <c r="A1536" s="5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6"/>
      <c r="P1536" s="23" t="e">
        <f>TRIM(Tabla1[[#This Row],[Articulo]])</f>
        <v>#VALUE!</v>
      </c>
      <c r="Q1536" s="23" t="e">
        <f>_xlfn.XLOOKUP(Tabla1[[#This Row],[Ean Normalizado]],Consumos!A:A,Consumos!E:E)</f>
        <v>#VALUE!</v>
      </c>
      <c r="R1536" s="22" t="e">
        <f>_xlfn.XLOOKUP(Tabla1[[#This Row],[Ean Normalizado]],tabla_consumos[EAN],tabla_consumos[UM])</f>
        <v>#VALUE!</v>
      </c>
      <c r="S1536" s="22" t="e">
        <f>Tabla1[[#This Row],[StockDisp]]*Tabla1[[#This Row],[UM producto]]</f>
        <v>#VALUE!</v>
      </c>
    </row>
    <row r="1537" spans="1:19" x14ac:dyDescent="0.35">
      <c r="A1537" s="5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6"/>
      <c r="P1537" s="23" t="e">
        <f>TRIM(Tabla1[[#This Row],[Articulo]])</f>
        <v>#VALUE!</v>
      </c>
      <c r="Q1537" s="23" t="e">
        <f>_xlfn.XLOOKUP(Tabla1[[#This Row],[Ean Normalizado]],Consumos!A:A,Consumos!E:E)</f>
        <v>#VALUE!</v>
      </c>
      <c r="R1537" s="22" t="e">
        <f>_xlfn.XLOOKUP(Tabla1[[#This Row],[Ean Normalizado]],tabla_consumos[EAN],tabla_consumos[UM])</f>
        <v>#VALUE!</v>
      </c>
      <c r="S1537" s="22" t="e">
        <f>Tabla1[[#This Row],[StockDisp]]*Tabla1[[#This Row],[UM producto]]</f>
        <v>#VALUE!</v>
      </c>
    </row>
    <row r="1538" spans="1:19" x14ac:dyDescent="0.35">
      <c r="A1538" s="5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6"/>
      <c r="P1538" s="23" t="e">
        <f>TRIM(Tabla1[[#This Row],[Articulo]])</f>
        <v>#VALUE!</v>
      </c>
      <c r="Q1538" s="23" t="e">
        <f>_xlfn.XLOOKUP(Tabla1[[#This Row],[Ean Normalizado]],Consumos!A:A,Consumos!E:E)</f>
        <v>#VALUE!</v>
      </c>
      <c r="R1538" s="22" t="e">
        <f>_xlfn.XLOOKUP(Tabla1[[#This Row],[Ean Normalizado]],tabla_consumos[EAN],tabla_consumos[UM])</f>
        <v>#VALUE!</v>
      </c>
      <c r="S1538" s="22" t="e">
        <f>Tabla1[[#This Row],[StockDisp]]*Tabla1[[#This Row],[UM producto]]</f>
        <v>#VALUE!</v>
      </c>
    </row>
    <row r="1539" spans="1:19" x14ac:dyDescent="0.35">
      <c r="A1539" s="5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6"/>
      <c r="P1539" s="23" t="e">
        <f>TRIM(Tabla1[[#This Row],[Articulo]])</f>
        <v>#VALUE!</v>
      </c>
      <c r="Q1539" s="23" t="e">
        <f>_xlfn.XLOOKUP(Tabla1[[#This Row],[Ean Normalizado]],Consumos!A:A,Consumos!E:E)</f>
        <v>#VALUE!</v>
      </c>
      <c r="R1539" s="22" t="e">
        <f>_xlfn.XLOOKUP(Tabla1[[#This Row],[Ean Normalizado]],tabla_consumos[EAN],tabla_consumos[UM])</f>
        <v>#VALUE!</v>
      </c>
      <c r="S1539" s="22" t="e">
        <f>Tabla1[[#This Row],[StockDisp]]*Tabla1[[#This Row],[UM producto]]</f>
        <v>#VALUE!</v>
      </c>
    </row>
    <row r="1540" spans="1:19" x14ac:dyDescent="0.35">
      <c r="A1540" s="5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6"/>
      <c r="P1540" s="23" t="e">
        <f>TRIM(Tabla1[[#This Row],[Articulo]])</f>
        <v>#VALUE!</v>
      </c>
      <c r="Q1540" s="23" t="e">
        <f>_xlfn.XLOOKUP(Tabla1[[#This Row],[Ean Normalizado]],Consumos!A:A,Consumos!E:E)</f>
        <v>#VALUE!</v>
      </c>
      <c r="R1540" s="22" t="e">
        <f>_xlfn.XLOOKUP(Tabla1[[#This Row],[Ean Normalizado]],tabla_consumos[EAN],tabla_consumos[UM])</f>
        <v>#VALUE!</v>
      </c>
      <c r="S1540" s="22" t="e">
        <f>Tabla1[[#This Row],[StockDisp]]*Tabla1[[#This Row],[UM producto]]</f>
        <v>#VALUE!</v>
      </c>
    </row>
    <row r="1541" spans="1:19" x14ac:dyDescent="0.35">
      <c r="A1541" s="5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6"/>
      <c r="P1541" s="23" t="e">
        <f>TRIM(Tabla1[[#This Row],[Articulo]])</f>
        <v>#VALUE!</v>
      </c>
      <c r="Q1541" s="23" t="e">
        <f>_xlfn.XLOOKUP(Tabla1[[#This Row],[Ean Normalizado]],Consumos!A:A,Consumos!E:E)</f>
        <v>#VALUE!</v>
      </c>
      <c r="R1541" s="22" t="e">
        <f>_xlfn.XLOOKUP(Tabla1[[#This Row],[Ean Normalizado]],tabla_consumos[EAN],tabla_consumos[UM])</f>
        <v>#VALUE!</v>
      </c>
      <c r="S1541" s="22" t="e">
        <f>Tabla1[[#This Row],[StockDisp]]*Tabla1[[#This Row],[UM producto]]</f>
        <v>#VALUE!</v>
      </c>
    </row>
    <row r="1542" spans="1:19" x14ac:dyDescent="0.35">
      <c r="A1542" s="5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6"/>
      <c r="P1542" s="23" t="e">
        <f>TRIM(Tabla1[[#This Row],[Articulo]])</f>
        <v>#VALUE!</v>
      </c>
      <c r="Q1542" s="23" t="e">
        <f>_xlfn.XLOOKUP(Tabla1[[#This Row],[Ean Normalizado]],Consumos!A:A,Consumos!E:E)</f>
        <v>#VALUE!</v>
      </c>
      <c r="R1542" s="22" t="e">
        <f>_xlfn.XLOOKUP(Tabla1[[#This Row],[Ean Normalizado]],tabla_consumos[EAN],tabla_consumos[UM])</f>
        <v>#VALUE!</v>
      </c>
      <c r="S1542" s="22" t="e">
        <f>Tabla1[[#This Row],[StockDisp]]*Tabla1[[#This Row],[UM producto]]</f>
        <v>#VALUE!</v>
      </c>
    </row>
    <row r="1543" spans="1:19" x14ac:dyDescent="0.35">
      <c r="A1543" s="5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6"/>
      <c r="P1543" s="23" t="e">
        <f>TRIM(Tabla1[[#This Row],[Articulo]])</f>
        <v>#VALUE!</v>
      </c>
      <c r="Q1543" s="23" t="e">
        <f>_xlfn.XLOOKUP(Tabla1[[#This Row],[Ean Normalizado]],Consumos!A:A,Consumos!E:E)</f>
        <v>#VALUE!</v>
      </c>
      <c r="R1543" s="22" t="e">
        <f>_xlfn.XLOOKUP(Tabla1[[#This Row],[Ean Normalizado]],tabla_consumos[EAN],tabla_consumos[UM])</f>
        <v>#VALUE!</v>
      </c>
      <c r="S1543" s="22" t="e">
        <f>Tabla1[[#This Row],[StockDisp]]*Tabla1[[#This Row],[UM producto]]</f>
        <v>#VALUE!</v>
      </c>
    </row>
    <row r="1544" spans="1:19" x14ac:dyDescent="0.35">
      <c r="A1544" s="5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6"/>
      <c r="P1544" s="23" t="e">
        <f>TRIM(Tabla1[[#This Row],[Articulo]])</f>
        <v>#VALUE!</v>
      </c>
      <c r="Q1544" s="23" t="e">
        <f>_xlfn.XLOOKUP(Tabla1[[#This Row],[Ean Normalizado]],Consumos!A:A,Consumos!E:E)</f>
        <v>#VALUE!</v>
      </c>
      <c r="R1544" s="22" t="e">
        <f>_xlfn.XLOOKUP(Tabla1[[#This Row],[Ean Normalizado]],tabla_consumos[EAN],tabla_consumos[UM])</f>
        <v>#VALUE!</v>
      </c>
      <c r="S1544" s="22" t="e">
        <f>Tabla1[[#This Row],[StockDisp]]*Tabla1[[#This Row],[UM producto]]</f>
        <v>#VALUE!</v>
      </c>
    </row>
    <row r="1545" spans="1:19" x14ac:dyDescent="0.35">
      <c r="A1545" s="5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6"/>
      <c r="P1545" s="23" t="e">
        <f>TRIM(Tabla1[[#This Row],[Articulo]])</f>
        <v>#VALUE!</v>
      </c>
      <c r="Q1545" s="23" t="e">
        <f>_xlfn.XLOOKUP(Tabla1[[#This Row],[Ean Normalizado]],Consumos!A:A,Consumos!E:E)</f>
        <v>#VALUE!</v>
      </c>
      <c r="R1545" s="22" t="e">
        <f>_xlfn.XLOOKUP(Tabla1[[#This Row],[Ean Normalizado]],tabla_consumos[EAN],tabla_consumos[UM])</f>
        <v>#VALUE!</v>
      </c>
      <c r="S1545" s="22" t="e">
        <f>Tabla1[[#This Row],[StockDisp]]*Tabla1[[#This Row],[UM producto]]</f>
        <v>#VALUE!</v>
      </c>
    </row>
    <row r="1546" spans="1:19" x14ac:dyDescent="0.35">
      <c r="A1546" s="5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6"/>
      <c r="P1546" s="23" t="e">
        <f>TRIM(Tabla1[[#This Row],[Articulo]])</f>
        <v>#VALUE!</v>
      </c>
      <c r="Q1546" s="23" t="e">
        <f>_xlfn.XLOOKUP(Tabla1[[#This Row],[Ean Normalizado]],Consumos!A:A,Consumos!E:E)</f>
        <v>#VALUE!</v>
      </c>
      <c r="R1546" s="22" t="e">
        <f>_xlfn.XLOOKUP(Tabla1[[#This Row],[Ean Normalizado]],tabla_consumos[EAN],tabla_consumos[UM])</f>
        <v>#VALUE!</v>
      </c>
      <c r="S1546" s="22" t="e">
        <f>Tabla1[[#This Row],[StockDisp]]*Tabla1[[#This Row],[UM producto]]</f>
        <v>#VALUE!</v>
      </c>
    </row>
    <row r="1547" spans="1:19" x14ac:dyDescent="0.35">
      <c r="A1547" s="5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6"/>
      <c r="P1547" s="23" t="e">
        <f>TRIM(Tabla1[[#This Row],[Articulo]])</f>
        <v>#VALUE!</v>
      </c>
      <c r="Q1547" s="23" t="e">
        <f>_xlfn.XLOOKUP(Tabla1[[#This Row],[Ean Normalizado]],Consumos!A:A,Consumos!E:E)</f>
        <v>#VALUE!</v>
      </c>
      <c r="R1547" s="22" t="e">
        <f>_xlfn.XLOOKUP(Tabla1[[#This Row],[Ean Normalizado]],tabla_consumos[EAN],tabla_consumos[UM])</f>
        <v>#VALUE!</v>
      </c>
      <c r="S1547" s="22" t="e">
        <f>Tabla1[[#This Row],[StockDisp]]*Tabla1[[#This Row],[UM producto]]</f>
        <v>#VALUE!</v>
      </c>
    </row>
    <row r="1548" spans="1:19" x14ac:dyDescent="0.35">
      <c r="A1548" s="5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6"/>
      <c r="P1548" s="23" t="e">
        <f>TRIM(Tabla1[[#This Row],[Articulo]])</f>
        <v>#VALUE!</v>
      </c>
      <c r="Q1548" s="23" t="e">
        <f>_xlfn.XLOOKUP(Tabla1[[#This Row],[Ean Normalizado]],Consumos!A:A,Consumos!E:E)</f>
        <v>#VALUE!</v>
      </c>
      <c r="R1548" s="22" t="e">
        <f>_xlfn.XLOOKUP(Tabla1[[#This Row],[Ean Normalizado]],tabla_consumos[EAN],tabla_consumos[UM])</f>
        <v>#VALUE!</v>
      </c>
      <c r="S1548" s="22" t="e">
        <f>Tabla1[[#This Row],[StockDisp]]*Tabla1[[#This Row],[UM producto]]</f>
        <v>#VALUE!</v>
      </c>
    </row>
    <row r="1549" spans="1:19" x14ac:dyDescent="0.35">
      <c r="A1549" s="5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6"/>
      <c r="P1549" s="23" t="e">
        <f>TRIM(Tabla1[[#This Row],[Articulo]])</f>
        <v>#VALUE!</v>
      </c>
      <c r="Q1549" s="23" t="e">
        <f>_xlfn.XLOOKUP(Tabla1[[#This Row],[Ean Normalizado]],Consumos!A:A,Consumos!E:E)</f>
        <v>#VALUE!</v>
      </c>
      <c r="R1549" s="22" t="e">
        <f>_xlfn.XLOOKUP(Tabla1[[#This Row],[Ean Normalizado]],tabla_consumos[EAN],tabla_consumos[UM])</f>
        <v>#VALUE!</v>
      </c>
      <c r="S1549" s="22" t="e">
        <f>Tabla1[[#This Row],[StockDisp]]*Tabla1[[#This Row],[UM producto]]</f>
        <v>#VALUE!</v>
      </c>
    </row>
    <row r="1550" spans="1:19" x14ac:dyDescent="0.35">
      <c r="A1550" s="5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6"/>
      <c r="P1550" s="23" t="e">
        <f>TRIM(Tabla1[[#This Row],[Articulo]])</f>
        <v>#VALUE!</v>
      </c>
      <c r="Q1550" s="23" t="e">
        <f>_xlfn.XLOOKUP(Tabla1[[#This Row],[Ean Normalizado]],Consumos!A:A,Consumos!E:E)</f>
        <v>#VALUE!</v>
      </c>
      <c r="R1550" s="22" t="e">
        <f>_xlfn.XLOOKUP(Tabla1[[#This Row],[Ean Normalizado]],tabla_consumos[EAN],tabla_consumos[UM])</f>
        <v>#VALUE!</v>
      </c>
      <c r="S1550" s="22" t="e">
        <f>Tabla1[[#This Row],[StockDisp]]*Tabla1[[#This Row],[UM producto]]</f>
        <v>#VALUE!</v>
      </c>
    </row>
    <row r="1551" spans="1:19" x14ac:dyDescent="0.35">
      <c r="A1551" s="5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6"/>
      <c r="P1551" s="23" t="e">
        <f>TRIM(Tabla1[[#This Row],[Articulo]])</f>
        <v>#VALUE!</v>
      </c>
      <c r="Q1551" s="23" t="e">
        <f>_xlfn.XLOOKUP(Tabla1[[#This Row],[Ean Normalizado]],Consumos!A:A,Consumos!E:E)</f>
        <v>#VALUE!</v>
      </c>
      <c r="R1551" s="22" t="e">
        <f>_xlfn.XLOOKUP(Tabla1[[#This Row],[Ean Normalizado]],tabla_consumos[EAN],tabla_consumos[UM])</f>
        <v>#VALUE!</v>
      </c>
      <c r="S1551" s="22" t="e">
        <f>Tabla1[[#This Row],[StockDisp]]*Tabla1[[#This Row],[UM producto]]</f>
        <v>#VALUE!</v>
      </c>
    </row>
    <row r="1552" spans="1:19" x14ac:dyDescent="0.35">
      <c r="A1552" s="5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6"/>
      <c r="P1552" s="23" t="e">
        <f>TRIM(Tabla1[[#This Row],[Articulo]])</f>
        <v>#VALUE!</v>
      </c>
      <c r="Q1552" s="23" t="e">
        <f>_xlfn.XLOOKUP(Tabla1[[#This Row],[Ean Normalizado]],Consumos!A:A,Consumos!E:E)</f>
        <v>#VALUE!</v>
      </c>
      <c r="R1552" s="22" t="e">
        <f>_xlfn.XLOOKUP(Tabla1[[#This Row],[Ean Normalizado]],tabla_consumos[EAN],tabla_consumos[UM])</f>
        <v>#VALUE!</v>
      </c>
      <c r="S1552" s="22" t="e">
        <f>Tabla1[[#This Row],[StockDisp]]*Tabla1[[#This Row],[UM producto]]</f>
        <v>#VALUE!</v>
      </c>
    </row>
    <row r="1553" spans="1:19" x14ac:dyDescent="0.35">
      <c r="A1553" s="5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6"/>
      <c r="P1553" s="23" t="e">
        <f>TRIM(Tabla1[[#This Row],[Articulo]])</f>
        <v>#VALUE!</v>
      </c>
      <c r="Q1553" s="23" t="e">
        <f>_xlfn.XLOOKUP(Tabla1[[#This Row],[Ean Normalizado]],Consumos!A:A,Consumos!E:E)</f>
        <v>#VALUE!</v>
      </c>
      <c r="R1553" s="22" t="e">
        <f>_xlfn.XLOOKUP(Tabla1[[#This Row],[Ean Normalizado]],tabla_consumos[EAN],tabla_consumos[UM])</f>
        <v>#VALUE!</v>
      </c>
      <c r="S1553" s="22" t="e">
        <f>Tabla1[[#This Row],[StockDisp]]*Tabla1[[#This Row],[UM producto]]</f>
        <v>#VALUE!</v>
      </c>
    </row>
    <row r="1554" spans="1:19" x14ac:dyDescent="0.35">
      <c r="A1554" s="5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6"/>
      <c r="P1554" s="23" t="e">
        <f>TRIM(Tabla1[[#This Row],[Articulo]])</f>
        <v>#VALUE!</v>
      </c>
      <c r="Q1554" s="23" t="e">
        <f>_xlfn.XLOOKUP(Tabla1[[#This Row],[Ean Normalizado]],Consumos!A:A,Consumos!E:E)</f>
        <v>#VALUE!</v>
      </c>
      <c r="R1554" s="22" t="e">
        <f>_xlfn.XLOOKUP(Tabla1[[#This Row],[Ean Normalizado]],tabla_consumos[EAN],tabla_consumos[UM])</f>
        <v>#VALUE!</v>
      </c>
      <c r="S1554" s="22" t="e">
        <f>Tabla1[[#This Row],[StockDisp]]*Tabla1[[#This Row],[UM producto]]</f>
        <v>#VALUE!</v>
      </c>
    </row>
    <row r="1555" spans="1:19" x14ac:dyDescent="0.35">
      <c r="A1555" s="5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6"/>
      <c r="P1555" s="23" t="e">
        <f>TRIM(Tabla1[[#This Row],[Articulo]])</f>
        <v>#VALUE!</v>
      </c>
      <c r="Q1555" s="23" t="e">
        <f>_xlfn.XLOOKUP(Tabla1[[#This Row],[Ean Normalizado]],Consumos!A:A,Consumos!E:E)</f>
        <v>#VALUE!</v>
      </c>
      <c r="R1555" s="22" t="e">
        <f>_xlfn.XLOOKUP(Tabla1[[#This Row],[Ean Normalizado]],tabla_consumos[EAN],tabla_consumos[UM])</f>
        <v>#VALUE!</v>
      </c>
      <c r="S1555" s="22" t="e">
        <f>Tabla1[[#This Row],[StockDisp]]*Tabla1[[#This Row],[UM producto]]</f>
        <v>#VALUE!</v>
      </c>
    </row>
    <row r="1556" spans="1:19" x14ac:dyDescent="0.35">
      <c r="A1556" s="5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6"/>
      <c r="P1556" s="23" t="e">
        <f>TRIM(Tabla1[[#This Row],[Articulo]])</f>
        <v>#VALUE!</v>
      </c>
      <c r="Q1556" s="23" t="e">
        <f>_xlfn.XLOOKUP(Tabla1[[#This Row],[Ean Normalizado]],Consumos!A:A,Consumos!E:E)</f>
        <v>#VALUE!</v>
      </c>
      <c r="R1556" s="22" t="e">
        <f>_xlfn.XLOOKUP(Tabla1[[#This Row],[Ean Normalizado]],tabla_consumos[EAN],tabla_consumos[UM])</f>
        <v>#VALUE!</v>
      </c>
      <c r="S1556" s="22" t="e">
        <f>Tabla1[[#This Row],[StockDisp]]*Tabla1[[#This Row],[UM producto]]</f>
        <v>#VALUE!</v>
      </c>
    </row>
    <row r="1557" spans="1:19" x14ac:dyDescent="0.35">
      <c r="A1557" s="5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6"/>
      <c r="P1557" s="23" t="e">
        <f>TRIM(Tabla1[[#This Row],[Articulo]])</f>
        <v>#VALUE!</v>
      </c>
      <c r="Q1557" s="23" t="e">
        <f>_xlfn.XLOOKUP(Tabla1[[#This Row],[Ean Normalizado]],Consumos!A:A,Consumos!E:E)</f>
        <v>#VALUE!</v>
      </c>
      <c r="R1557" s="22" t="e">
        <f>_xlfn.XLOOKUP(Tabla1[[#This Row],[Ean Normalizado]],tabla_consumos[EAN],tabla_consumos[UM])</f>
        <v>#VALUE!</v>
      </c>
      <c r="S1557" s="22" t="e">
        <f>Tabla1[[#This Row],[StockDisp]]*Tabla1[[#This Row],[UM producto]]</f>
        <v>#VALUE!</v>
      </c>
    </row>
    <row r="1558" spans="1:19" x14ac:dyDescent="0.35">
      <c r="A1558" s="5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6"/>
      <c r="P1558" s="23" t="e">
        <f>TRIM(Tabla1[[#This Row],[Articulo]])</f>
        <v>#VALUE!</v>
      </c>
      <c r="Q1558" s="23" t="e">
        <f>_xlfn.XLOOKUP(Tabla1[[#This Row],[Ean Normalizado]],Consumos!A:A,Consumos!E:E)</f>
        <v>#VALUE!</v>
      </c>
      <c r="R1558" s="22" t="e">
        <f>_xlfn.XLOOKUP(Tabla1[[#This Row],[Ean Normalizado]],tabla_consumos[EAN],tabla_consumos[UM])</f>
        <v>#VALUE!</v>
      </c>
      <c r="S1558" s="22" t="e">
        <f>Tabla1[[#This Row],[StockDisp]]*Tabla1[[#This Row],[UM producto]]</f>
        <v>#VALUE!</v>
      </c>
    </row>
    <row r="1559" spans="1:19" x14ac:dyDescent="0.35">
      <c r="A1559" s="5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6"/>
      <c r="P1559" s="23" t="e">
        <f>TRIM(Tabla1[[#This Row],[Articulo]])</f>
        <v>#VALUE!</v>
      </c>
      <c r="Q1559" s="23" t="e">
        <f>_xlfn.XLOOKUP(Tabla1[[#This Row],[Ean Normalizado]],Consumos!A:A,Consumos!E:E)</f>
        <v>#VALUE!</v>
      </c>
      <c r="R1559" s="22" t="e">
        <f>_xlfn.XLOOKUP(Tabla1[[#This Row],[Ean Normalizado]],tabla_consumos[EAN],tabla_consumos[UM])</f>
        <v>#VALUE!</v>
      </c>
      <c r="S1559" s="22" t="e">
        <f>Tabla1[[#This Row],[StockDisp]]*Tabla1[[#This Row],[UM producto]]</f>
        <v>#VALUE!</v>
      </c>
    </row>
    <row r="1560" spans="1:19" x14ac:dyDescent="0.35">
      <c r="A1560" s="5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6"/>
      <c r="P1560" s="23" t="e">
        <f>TRIM(Tabla1[[#This Row],[Articulo]])</f>
        <v>#VALUE!</v>
      </c>
      <c r="Q1560" s="23" t="e">
        <f>_xlfn.XLOOKUP(Tabla1[[#This Row],[Ean Normalizado]],Consumos!A:A,Consumos!E:E)</f>
        <v>#VALUE!</v>
      </c>
      <c r="R1560" s="22" t="e">
        <f>_xlfn.XLOOKUP(Tabla1[[#This Row],[Ean Normalizado]],tabla_consumos[EAN],tabla_consumos[UM])</f>
        <v>#VALUE!</v>
      </c>
      <c r="S1560" s="22" t="e">
        <f>Tabla1[[#This Row],[StockDisp]]*Tabla1[[#This Row],[UM producto]]</f>
        <v>#VALUE!</v>
      </c>
    </row>
    <row r="1561" spans="1:19" x14ac:dyDescent="0.35">
      <c r="A1561" s="5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6"/>
      <c r="P1561" s="23" t="e">
        <f>TRIM(Tabla1[[#This Row],[Articulo]])</f>
        <v>#VALUE!</v>
      </c>
      <c r="Q1561" s="23" t="e">
        <f>_xlfn.XLOOKUP(Tabla1[[#This Row],[Ean Normalizado]],Consumos!A:A,Consumos!E:E)</f>
        <v>#VALUE!</v>
      </c>
      <c r="R1561" s="22" t="e">
        <f>_xlfn.XLOOKUP(Tabla1[[#This Row],[Ean Normalizado]],tabla_consumos[EAN],tabla_consumos[UM])</f>
        <v>#VALUE!</v>
      </c>
      <c r="S1561" s="22" t="e">
        <f>Tabla1[[#This Row],[StockDisp]]*Tabla1[[#This Row],[UM producto]]</f>
        <v>#VALUE!</v>
      </c>
    </row>
    <row r="1562" spans="1:19" x14ac:dyDescent="0.35">
      <c r="A1562" s="5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6"/>
      <c r="P1562" s="23" t="e">
        <f>TRIM(Tabla1[[#This Row],[Articulo]])</f>
        <v>#VALUE!</v>
      </c>
      <c r="Q1562" s="23" t="e">
        <f>_xlfn.XLOOKUP(Tabla1[[#This Row],[Ean Normalizado]],Consumos!A:A,Consumos!E:E)</f>
        <v>#VALUE!</v>
      </c>
      <c r="R1562" s="22" t="e">
        <f>_xlfn.XLOOKUP(Tabla1[[#This Row],[Ean Normalizado]],tabla_consumos[EAN],tabla_consumos[UM])</f>
        <v>#VALUE!</v>
      </c>
      <c r="S1562" s="22" t="e">
        <f>Tabla1[[#This Row],[StockDisp]]*Tabla1[[#This Row],[UM producto]]</f>
        <v>#VALUE!</v>
      </c>
    </row>
    <row r="1563" spans="1:19" x14ac:dyDescent="0.35">
      <c r="A1563" s="5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6"/>
      <c r="P1563" s="23" t="e">
        <f>TRIM(Tabla1[[#This Row],[Articulo]])</f>
        <v>#VALUE!</v>
      </c>
      <c r="Q1563" s="23" t="e">
        <f>_xlfn.XLOOKUP(Tabla1[[#This Row],[Ean Normalizado]],Consumos!A:A,Consumos!E:E)</f>
        <v>#VALUE!</v>
      </c>
      <c r="R1563" s="22" t="e">
        <f>_xlfn.XLOOKUP(Tabla1[[#This Row],[Ean Normalizado]],tabla_consumos[EAN],tabla_consumos[UM])</f>
        <v>#VALUE!</v>
      </c>
      <c r="S1563" s="22" t="e">
        <f>Tabla1[[#This Row],[StockDisp]]*Tabla1[[#This Row],[UM producto]]</f>
        <v>#VALUE!</v>
      </c>
    </row>
    <row r="1564" spans="1:19" x14ac:dyDescent="0.35">
      <c r="A1564" s="5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6"/>
      <c r="P1564" s="23" t="e">
        <f>TRIM(Tabla1[[#This Row],[Articulo]])</f>
        <v>#VALUE!</v>
      </c>
      <c r="Q1564" s="23" t="e">
        <f>_xlfn.XLOOKUP(Tabla1[[#This Row],[Ean Normalizado]],Consumos!A:A,Consumos!E:E)</f>
        <v>#VALUE!</v>
      </c>
      <c r="R1564" s="22" t="e">
        <f>_xlfn.XLOOKUP(Tabla1[[#This Row],[Ean Normalizado]],tabla_consumos[EAN],tabla_consumos[UM])</f>
        <v>#VALUE!</v>
      </c>
      <c r="S1564" s="22" t="e">
        <f>Tabla1[[#This Row],[StockDisp]]*Tabla1[[#This Row],[UM producto]]</f>
        <v>#VALUE!</v>
      </c>
    </row>
    <row r="1565" spans="1:19" x14ac:dyDescent="0.35">
      <c r="A1565" s="5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6"/>
      <c r="P1565" s="23" t="e">
        <f>TRIM(Tabla1[[#This Row],[Articulo]])</f>
        <v>#VALUE!</v>
      </c>
      <c r="Q1565" s="23" t="e">
        <f>_xlfn.XLOOKUP(Tabla1[[#This Row],[Ean Normalizado]],Consumos!A:A,Consumos!E:E)</f>
        <v>#VALUE!</v>
      </c>
      <c r="R1565" s="22" t="e">
        <f>_xlfn.XLOOKUP(Tabla1[[#This Row],[Ean Normalizado]],tabla_consumos[EAN],tabla_consumos[UM])</f>
        <v>#VALUE!</v>
      </c>
      <c r="S1565" s="22" t="e">
        <f>Tabla1[[#This Row],[StockDisp]]*Tabla1[[#This Row],[UM producto]]</f>
        <v>#VALUE!</v>
      </c>
    </row>
    <row r="1566" spans="1:19" x14ac:dyDescent="0.35">
      <c r="A1566" s="5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6"/>
      <c r="P1566" s="23" t="e">
        <f>TRIM(Tabla1[[#This Row],[Articulo]])</f>
        <v>#VALUE!</v>
      </c>
      <c r="Q1566" s="23" t="e">
        <f>_xlfn.XLOOKUP(Tabla1[[#This Row],[Ean Normalizado]],Consumos!A:A,Consumos!E:E)</f>
        <v>#VALUE!</v>
      </c>
      <c r="R1566" s="22" t="e">
        <f>_xlfn.XLOOKUP(Tabla1[[#This Row],[Ean Normalizado]],tabla_consumos[EAN],tabla_consumos[UM])</f>
        <v>#VALUE!</v>
      </c>
      <c r="S1566" s="22" t="e">
        <f>Tabla1[[#This Row],[StockDisp]]*Tabla1[[#This Row],[UM producto]]</f>
        <v>#VALUE!</v>
      </c>
    </row>
    <row r="1567" spans="1:19" x14ac:dyDescent="0.35">
      <c r="A1567" s="5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6"/>
      <c r="P1567" s="23" t="e">
        <f>TRIM(Tabla1[[#This Row],[Articulo]])</f>
        <v>#VALUE!</v>
      </c>
      <c r="Q1567" s="23" t="e">
        <f>_xlfn.XLOOKUP(Tabla1[[#This Row],[Ean Normalizado]],Consumos!A:A,Consumos!E:E)</f>
        <v>#VALUE!</v>
      </c>
      <c r="R1567" s="22" t="e">
        <f>_xlfn.XLOOKUP(Tabla1[[#This Row],[Ean Normalizado]],tabla_consumos[EAN],tabla_consumos[UM])</f>
        <v>#VALUE!</v>
      </c>
      <c r="S1567" s="22" t="e">
        <f>Tabla1[[#This Row],[StockDisp]]*Tabla1[[#This Row],[UM producto]]</f>
        <v>#VALUE!</v>
      </c>
    </row>
    <row r="1568" spans="1:19" x14ac:dyDescent="0.35">
      <c r="A1568" s="5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6"/>
      <c r="P1568" s="23" t="e">
        <f>TRIM(Tabla1[[#This Row],[Articulo]])</f>
        <v>#VALUE!</v>
      </c>
      <c r="Q1568" s="23" t="e">
        <f>_xlfn.XLOOKUP(Tabla1[[#This Row],[Ean Normalizado]],Consumos!A:A,Consumos!E:E)</f>
        <v>#VALUE!</v>
      </c>
      <c r="R1568" s="22" t="e">
        <f>_xlfn.XLOOKUP(Tabla1[[#This Row],[Ean Normalizado]],tabla_consumos[EAN],tabla_consumos[UM])</f>
        <v>#VALUE!</v>
      </c>
      <c r="S1568" s="22" t="e">
        <f>Tabla1[[#This Row],[StockDisp]]*Tabla1[[#This Row],[UM producto]]</f>
        <v>#VALUE!</v>
      </c>
    </row>
    <row r="1569" spans="1:19" x14ac:dyDescent="0.35">
      <c r="A1569" s="5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6"/>
      <c r="P1569" s="23" t="e">
        <f>TRIM(Tabla1[[#This Row],[Articulo]])</f>
        <v>#VALUE!</v>
      </c>
      <c r="Q1569" s="23" t="e">
        <f>_xlfn.XLOOKUP(Tabla1[[#This Row],[Ean Normalizado]],Consumos!A:A,Consumos!E:E)</f>
        <v>#VALUE!</v>
      </c>
      <c r="R1569" s="22" t="e">
        <f>_xlfn.XLOOKUP(Tabla1[[#This Row],[Ean Normalizado]],tabla_consumos[EAN],tabla_consumos[UM])</f>
        <v>#VALUE!</v>
      </c>
      <c r="S1569" s="22" t="e">
        <f>Tabla1[[#This Row],[StockDisp]]*Tabla1[[#This Row],[UM producto]]</f>
        <v>#VALUE!</v>
      </c>
    </row>
    <row r="1570" spans="1:19" x14ac:dyDescent="0.35">
      <c r="A1570" s="5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6"/>
      <c r="P1570" s="23" t="e">
        <f>TRIM(Tabla1[[#This Row],[Articulo]])</f>
        <v>#VALUE!</v>
      </c>
      <c r="Q1570" s="23" t="e">
        <f>_xlfn.XLOOKUP(Tabla1[[#This Row],[Ean Normalizado]],Consumos!A:A,Consumos!E:E)</f>
        <v>#VALUE!</v>
      </c>
      <c r="R1570" s="22" t="e">
        <f>_xlfn.XLOOKUP(Tabla1[[#This Row],[Ean Normalizado]],tabla_consumos[EAN],tabla_consumos[UM])</f>
        <v>#VALUE!</v>
      </c>
      <c r="S1570" s="22" t="e">
        <f>Tabla1[[#This Row],[StockDisp]]*Tabla1[[#This Row],[UM producto]]</f>
        <v>#VALUE!</v>
      </c>
    </row>
    <row r="1571" spans="1:19" x14ac:dyDescent="0.35">
      <c r="A1571" s="5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6"/>
      <c r="P1571" s="23" t="e">
        <f>TRIM(Tabla1[[#This Row],[Articulo]])</f>
        <v>#VALUE!</v>
      </c>
      <c r="Q1571" s="23" t="e">
        <f>_xlfn.XLOOKUP(Tabla1[[#This Row],[Ean Normalizado]],Consumos!A:A,Consumos!E:E)</f>
        <v>#VALUE!</v>
      </c>
      <c r="R1571" s="22" t="e">
        <f>_xlfn.XLOOKUP(Tabla1[[#This Row],[Ean Normalizado]],tabla_consumos[EAN],tabla_consumos[UM])</f>
        <v>#VALUE!</v>
      </c>
      <c r="S1571" s="22" t="e">
        <f>Tabla1[[#This Row],[StockDisp]]*Tabla1[[#This Row],[UM producto]]</f>
        <v>#VALUE!</v>
      </c>
    </row>
    <row r="1572" spans="1:19" x14ac:dyDescent="0.35">
      <c r="A1572" s="5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6"/>
      <c r="P1572" s="23" t="e">
        <f>TRIM(Tabla1[[#This Row],[Articulo]])</f>
        <v>#VALUE!</v>
      </c>
      <c r="Q1572" s="23" t="e">
        <f>_xlfn.XLOOKUP(Tabla1[[#This Row],[Ean Normalizado]],Consumos!A:A,Consumos!E:E)</f>
        <v>#VALUE!</v>
      </c>
      <c r="R1572" s="22" t="e">
        <f>_xlfn.XLOOKUP(Tabla1[[#This Row],[Ean Normalizado]],tabla_consumos[EAN],tabla_consumos[UM])</f>
        <v>#VALUE!</v>
      </c>
      <c r="S1572" s="22" t="e">
        <f>Tabla1[[#This Row],[StockDisp]]*Tabla1[[#This Row],[UM producto]]</f>
        <v>#VALUE!</v>
      </c>
    </row>
    <row r="1573" spans="1:19" x14ac:dyDescent="0.35">
      <c r="A1573" s="5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6"/>
      <c r="P1573" s="23" t="e">
        <f>TRIM(Tabla1[[#This Row],[Articulo]])</f>
        <v>#VALUE!</v>
      </c>
      <c r="Q1573" s="23" t="e">
        <f>_xlfn.XLOOKUP(Tabla1[[#This Row],[Ean Normalizado]],Consumos!A:A,Consumos!E:E)</f>
        <v>#VALUE!</v>
      </c>
      <c r="R1573" s="22" t="e">
        <f>_xlfn.XLOOKUP(Tabla1[[#This Row],[Ean Normalizado]],tabla_consumos[EAN],tabla_consumos[UM])</f>
        <v>#VALUE!</v>
      </c>
      <c r="S1573" s="22" t="e">
        <f>Tabla1[[#This Row],[StockDisp]]*Tabla1[[#This Row],[UM producto]]</f>
        <v>#VALUE!</v>
      </c>
    </row>
    <row r="1574" spans="1:19" x14ac:dyDescent="0.35">
      <c r="A1574" s="5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6"/>
      <c r="P1574" s="23" t="e">
        <f>TRIM(Tabla1[[#This Row],[Articulo]])</f>
        <v>#VALUE!</v>
      </c>
      <c r="Q1574" s="23" t="e">
        <f>_xlfn.XLOOKUP(Tabla1[[#This Row],[Ean Normalizado]],Consumos!A:A,Consumos!E:E)</f>
        <v>#VALUE!</v>
      </c>
      <c r="R1574" s="22" t="e">
        <f>_xlfn.XLOOKUP(Tabla1[[#This Row],[Ean Normalizado]],tabla_consumos[EAN],tabla_consumos[UM])</f>
        <v>#VALUE!</v>
      </c>
      <c r="S1574" s="22" t="e">
        <f>Tabla1[[#This Row],[StockDisp]]*Tabla1[[#This Row],[UM producto]]</f>
        <v>#VALUE!</v>
      </c>
    </row>
    <row r="1575" spans="1:19" x14ac:dyDescent="0.35">
      <c r="A1575" s="5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6"/>
      <c r="P1575" s="23" t="e">
        <f>TRIM(Tabla1[[#This Row],[Articulo]])</f>
        <v>#VALUE!</v>
      </c>
      <c r="Q1575" s="23" t="e">
        <f>_xlfn.XLOOKUP(Tabla1[[#This Row],[Ean Normalizado]],Consumos!A:A,Consumos!E:E)</f>
        <v>#VALUE!</v>
      </c>
      <c r="R1575" s="22" t="e">
        <f>_xlfn.XLOOKUP(Tabla1[[#This Row],[Ean Normalizado]],tabla_consumos[EAN],tabla_consumos[UM])</f>
        <v>#VALUE!</v>
      </c>
      <c r="S1575" s="22" t="e">
        <f>Tabla1[[#This Row],[StockDisp]]*Tabla1[[#This Row],[UM producto]]</f>
        <v>#VALUE!</v>
      </c>
    </row>
    <row r="1576" spans="1:19" x14ac:dyDescent="0.35">
      <c r="A1576" s="5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6"/>
      <c r="P1576" s="23" t="e">
        <f>TRIM(Tabla1[[#This Row],[Articulo]])</f>
        <v>#VALUE!</v>
      </c>
      <c r="Q1576" s="23" t="e">
        <f>_xlfn.XLOOKUP(Tabla1[[#This Row],[Ean Normalizado]],Consumos!A:A,Consumos!E:E)</f>
        <v>#VALUE!</v>
      </c>
      <c r="R1576" s="22" t="e">
        <f>_xlfn.XLOOKUP(Tabla1[[#This Row],[Ean Normalizado]],tabla_consumos[EAN],tabla_consumos[UM])</f>
        <v>#VALUE!</v>
      </c>
      <c r="S1576" s="22" t="e">
        <f>Tabla1[[#This Row],[StockDisp]]*Tabla1[[#This Row],[UM producto]]</f>
        <v>#VALUE!</v>
      </c>
    </row>
    <row r="1577" spans="1:19" x14ac:dyDescent="0.35">
      <c r="A1577" s="5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6"/>
      <c r="P1577" s="23" t="e">
        <f>TRIM(Tabla1[[#This Row],[Articulo]])</f>
        <v>#VALUE!</v>
      </c>
      <c r="Q1577" s="23" t="e">
        <f>_xlfn.XLOOKUP(Tabla1[[#This Row],[Ean Normalizado]],Consumos!A:A,Consumos!E:E)</f>
        <v>#VALUE!</v>
      </c>
      <c r="R1577" s="22" t="e">
        <f>_xlfn.XLOOKUP(Tabla1[[#This Row],[Ean Normalizado]],tabla_consumos[EAN],tabla_consumos[UM])</f>
        <v>#VALUE!</v>
      </c>
      <c r="S1577" s="22" t="e">
        <f>Tabla1[[#This Row],[StockDisp]]*Tabla1[[#This Row],[UM producto]]</f>
        <v>#VALUE!</v>
      </c>
    </row>
    <row r="1578" spans="1:19" x14ac:dyDescent="0.35">
      <c r="A1578" s="5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6"/>
      <c r="P1578" s="23" t="e">
        <f>TRIM(Tabla1[[#This Row],[Articulo]])</f>
        <v>#VALUE!</v>
      </c>
      <c r="Q1578" s="23" t="e">
        <f>_xlfn.XLOOKUP(Tabla1[[#This Row],[Ean Normalizado]],Consumos!A:A,Consumos!E:E)</f>
        <v>#VALUE!</v>
      </c>
      <c r="R1578" s="22" t="e">
        <f>_xlfn.XLOOKUP(Tabla1[[#This Row],[Ean Normalizado]],tabla_consumos[EAN],tabla_consumos[UM])</f>
        <v>#VALUE!</v>
      </c>
      <c r="S1578" s="22" t="e">
        <f>Tabla1[[#This Row],[StockDisp]]*Tabla1[[#This Row],[UM producto]]</f>
        <v>#VALUE!</v>
      </c>
    </row>
    <row r="1579" spans="1:19" x14ac:dyDescent="0.35">
      <c r="A1579" s="5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6"/>
      <c r="P1579" s="23" t="e">
        <f>TRIM(Tabla1[[#This Row],[Articulo]])</f>
        <v>#VALUE!</v>
      </c>
      <c r="Q1579" s="23" t="e">
        <f>_xlfn.XLOOKUP(Tabla1[[#This Row],[Ean Normalizado]],Consumos!A:A,Consumos!E:E)</f>
        <v>#VALUE!</v>
      </c>
      <c r="R1579" s="22" t="e">
        <f>_xlfn.XLOOKUP(Tabla1[[#This Row],[Ean Normalizado]],tabla_consumos[EAN],tabla_consumos[UM])</f>
        <v>#VALUE!</v>
      </c>
      <c r="S1579" s="22" t="e">
        <f>Tabla1[[#This Row],[StockDisp]]*Tabla1[[#This Row],[UM producto]]</f>
        <v>#VALUE!</v>
      </c>
    </row>
    <row r="1580" spans="1:19" x14ac:dyDescent="0.35">
      <c r="A1580" s="5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6"/>
      <c r="P1580" s="23" t="e">
        <f>TRIM(Tabla1[[#This Row],[Articulo]])</f>
        <v>#VALUE!</v>
      </c>
      <c r="Q1580" s="23" t="e">
        <f>_xlfn.XLOOKUP(Tabla1[[#This Row],[Ean Normalizado]],Consumos!A:A,Consumos!E:E)</f>
        <v>#VALUE!</v>
      </c>
      <c r="R1580" s="22" t="e">
        <f>_xlfn.XLOOKUP(Tabla1[[#This Row],[Ean Normalizado]],tabla_consumos[EAN],tabla_consumos[UM])</f>
        <v>#VALUE!</v>
      </c>
      <c r="S1580" s="22" t="e">
        <f>Tabla1[[#This Row],[StockDisp]]*Tabla1[[#This Row],[UM producto]]</f>
        <v>#VALUE!</v>
      </c>
    </row>
    <row r="1581" spans="1:19" x14ac:dyDescent="0.35">
      <c r="A1581" s="5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6"/>
      <c r="P1581" s="23" t="e">
        <f>TRIM(Tabla1[[#This Row],[Articulo]])</f>
        <v>#VALUE!</v>
      </c>
      <c r="Q1581" s="23" t="e">
        <f>_xlfn.XLOOKUP(Tabla1[[#This Row],[Ean Normalizado]],Consumos!A:A,Consumos!E:E)</f>
        <v>#VALUE!</v>
      </c>
      <c r="R1581" s="22" t="e">
        <f>_xlfn.XLOOKUP(Tabla1[[#This Row],[Ean Normalizado]],tabla_consumos[EAN],tabla_consumos[UM])</f>
        <v>#VALUE!</v>
      </c>
      <c r="S1581" s="22" t="e">
        <f>Tabla1[[#This Row],[StockDisp]]*Tabla1[[#This Row],[UM producto]]</f>
        <v>#VALUE!</v>
      </c>
    </row>
    <row r="1582" spans="1:19" x14ac:dyDescent="0.35">
      <c r="A1582" s="5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6"/>
      <c r="P1582" s="23" t="e">
        <f>TRIM(Tabla1[[#This Row],[Articulo]])</f>
        <v>#VALUE!</v>
      </c>
      <c r="Q1582" s="23" t="e">
        <f>_xlfn.XLOOKUP(Tabla1[[#This Row],[Ean Normalizado]],Consumos!A:A,Consumos!E:E)</f>
        <v>#VALUE!</v>
      </c>
      <c r="R1582" s="22" t="e">
        <f>_xlfn.XLOOKUP(Tabla1[[#This Row],[Ean Normalizado]],tabla_consumos[EAN],tabla_consumos[UM])</f>
        <v>#VALUE!</v>
      </c>
      <c r="S1582" s="22" t="e">
        <f>Tabla1[[#This Row],[StockDisp]]*Tabla1[[#This Row],[UM producto]]</f>
        <v>#VALUE!</v>
      </c>
    </row>
    <row r="1583" spans="1:19" x14ac:dyDescent="0.35">
      <c r="A1583" s="5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6"/>
      <c r="P1583" s="23" t="e">
        <f>TRIM(Tabla1[[#This Row],[Articulo]])</f>
        <v>#VALUE!</v>
      </c>
      <c r="Q1583" s="23" t="e">
        <f>_xlfn.XLOOKUP(Tabla1[[#This Row],[Ean Normalizado]],Consumos!A:A,Consumos!E:E)</f>
        <v>#VALUE!</v>
      </c>
      <c r="R1583" s="22" t="e">
        <f>_xlfn.XLOOKUP(Tabla1[[#This Row],[Ean Normalizado]],tabla_consumos[EAN],tabla_consumos[UM])</f>
        <v>#VALUE!</v>
      </c>
      <c r="S1583" s="22" t="e">
        <f>Tabla1[[#This Row],[StockDisp]]*Tabla1[[#This Row],[UM producto]]</f>
        <v>#VALUE!</v>
      </c>
    </row>
    <row r="1584" spans="1:19" x14ac:dyDescent="0.35">
      <c r="A1584" s="5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6"/>
      <c r="P1584" s="23" t="e">
        <f>TRIM(Tabla1[[#This Row],[Articulo]])</f>
        <v>#VALUE!</v>
      </c>
      <c r="Q1584" s="23" t="e">
        <f>_xlfn.XLOOKUP(Tabla1[[#This Row],[Ean Normalizado]],Consumos!A:A,Consumos!E:E)</f>
        <v>#VALUE!</v>
      </c>
      <c r="R1584" s="22" t="e">
        <f>_xlfn.XLOOKUP(Tabla1[[#This Row],[Ean Normalizado]],tabla_consumos[EAN],tabla_consumos[UM])</f>
        <v>#VALUE!</v>
      </c>
      <c r="S1584" s="22" t="e">
        <f>Tabla1[[#This Row],[StockDisp]]*Tabla1[[#This Row],[UM producto]]</f>
        <v>#VALUE!</v>
      </c>
    </row>
    <row r="1585" spans="1:19" x14ac:dyDescent="0.35">
      <c r="A1585" s="5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6"/>
      <c r="P1585" s="23" t="e">
        <f>TRIM(Tabla1[[#This Row],[Articulo]])</f>
        <v>#VALUE!</v>
      </c>
      <c r="Q1585" s="23" t="e">
        <f>_xlfn.XLOOKUP(Tabla1[[#This Row],[Ean Normalizado]],Consumos!A:A,Consumos!E:E)</f>
        <v>#VALUE!</v>
      </c>
      <c r="R1585" s="22" t="e">
        <f>_xlfn.XLOOKUP(Tabla1[[#This Row],[Ean Normalizado]],tabla_consumos[EAN],tabla_consumos[UM])</f>
        <v>#VALUE!</v>
      </c>
      <c r="S1585" s="22" t="e">
        <f>Tabla1[[#This Row],[StockDisp]]*Tabla1[[#This Row],[UM producto]]</f>
        <v>#VALUE!</v>
      </c>
    </row>
    <row r="1586" spans="1:19" x14ac:dyDescent="0.35">
      <c r="A1586" s="5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6"/>
      <c r="P1586" s="23" t="e">
        <f>TRIM(Tabla1[[#This Row],[Articulo]])</f>
        <v>#VALUE!</v>
      </c>
      <c r="Q1586" s="23" t="e">
        <f>_xlfn.XLOOKUP(Tabla1[[#This Row],[Ean Normalizado]],Consumos!A:A,Consumos!E:E)</f>
        <v>#VALUE!</v>
      </c>
      <c r="R1586" s="22" t="e">
        <f>_xlfn.XLOOKUP(Tabla1[[#This Row],[Ean Normalizado]],tabla_consumos[EAN],tabla_consumos[UM])</f>
        <v>#VALUE!</v>
      </c>
      <c r="S1586" s="22" t="e">
        <f>Tabla1[[#This Row],[StockDisp]]*Tabla1[[#This Row],[UM producto]]</f>
        <v>#VALUE!</v>
      </c>
    </row>
    <row r="1587" spans="1:19" x14ac:dyDescent="0.35">
      <c r="A1587" s="5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6"/>
      <c r="P1587" s="23" t="e">
        <f>TRIM(Tabla1[[#This Row],[Articulo]])</f>
        <v>#VALUE!</v>
      </c>
      <c r="Q1587" s="23" t="e">
        <f>_xlfn.XLOOKUP(Tabla1[[#This Row],[Ean Normalizado]],Consumos!A:A,Consumos!E:E)</f>
        <v>#VALUE!</v>
      </c>
      <c r="R1587" s="22" t="e">
        <f>_xlfn.XLOOKUP(Tabla1[[#This Row],[Ean Normalizado]],tabla_consumos[EAN],tabla_consumos[UM])</f>
        <v>#VALUE!</v>
      </c>
      <c r="S1587" s="22" t="e">
        <f>Tabla1[[#This Row],[StockDisp]]*Tabla1[[#This Row],[UM producto]]</f>
        <v>#VALUE!</v>
      </c>
    </row>
    <row r="1588" spans="1:19" x14ac:dyDescent="0.35">
      <c r="A1588" s="5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6"/>
      <c r="P1588" s="23" t="e">
        <f>TRIM(Tabla1[[#This Row],[Articulo]])</f>
        <v>#VALUE!</v>
      </c>
      <c r="Q1588" s="23" t="e">
        <f>_xlfn.XLOOKUP(Tabla1[[#This Row],[Ean Normalizado]],Consumos!A:A,Consumos!E:E)</f>
        <v>#VALUE!</v>
      </c>
      <c r="R1588" s="22" t="e">
        <f>_xlfn.XLOOKUP(Tabla1[[#This Row],[Ean Normalizado]],tabla_consumos[EAN],tabla_consumos[UM])</f>
        <v>#VALUE!</v>
      </c>
      <c r="S1588" s="22" t="e">
        <f>Tabla1[[#This Row],[StockDisp]]*Tabla1[[#This Row],[UM producto]]</f>
        <v>#VALUE!</v>
      </c>
    </row>
    <row r="1589" spans="1:19" x14ac:dyDescent="0.35">
      <c r="A1589" s="5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6"/>
      <c r="P1589" s="23" t="e">
        <f>TRIM(Tabla1[[#This Row],[Articulo]])</f>
        <v>#VALUE!</v>
      </c>
      <c r="Q1589" s="23" t="e">
        <f>_xlfn.XLOOKUP(Tabla1[[#This Row],[Ean Normalizado]],Consumos!A:A,Consumos!E:E)</f>
        <v>#VALUE!</v>
      </c>
      <c r="R1589" s="22" t="e">
        <f>_xlfn.XLOOKUP(Tabla1[[#This Row],[Ean Normalizado]],tabla_consumos[EAN],tabla_consumos[UM])</f>
        <v>#VALUE!</v>
      </c>
      <c r="S1589" s="22" t="e">
        <f>Tabla1[[#This Row],[StockDisp]]*Tabla1[[#This Row],[UM producto]]</f>
        <v>#VALUE!</v>
      </c>
    </row>
    <row r="1590" spans="1:19" x14ac:dyDescent="0.35">
      <c r="A1590" s="5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6"/>
      <c r="P1590" s="23" t="e">
        <f>TRIM(Tabla1[[#This Row],[Articulo]])</f>
        <v>#VALUE!</v>
      </c>
      <c r="Q1590" s="23" t="e">
        <f>_xlfn.XLOOKUP(Tabla1[[#This Row],[Ean Normalizado]],Consumos!A:A,Consumos!E:E)</f>
        <v>#VALUE!</v>
      </c>
      <c r="R1590" s="22" t="e">
        <f>_xlfn.XLOOKUP(Tabla1[[#This Row],[Ean Normalizado]],tabla_consumos[EAN],tabla_consumos[UM])</f>
        <v>#VALUE!</v>
      </c>
      <c r="S1590" s="22" t="e">
        <f>Tabla1[[#This Row],[StockDisp]]*Tabla1[[#This Row],[UM producto]]</f>
        <v>#VALUE!</v>
      </c>
    </row>
    <row r="1591" spans="1:19" x14ac:dyDescent="0.35">
      <c r="A1591" s="5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6"/>
      <c r="P1591" s="23" t="e">
        <f>TRIM(Tabla1[[#This Row],[Articulo]])</f>
        <v>#VALUE!</v>
      </c>
      <c r="Q1591" s="23" t="e">
        <f>_xlfn.XLOOKUP(Tabla1[[#This Row],[Ean Normalizado]],Consumos!A:A,Consumos!E:E)</f>
        <v>#VALUE!</v>
      </c>
      <c r="R1591" s="22" t="e">
        <f>_xlfn.XLOOKUP(Tabla1[[#This Row],[Ean Normalizado]],tabla_consumos[EAN],tabla_consumos[UM])</f>
        <v>#VALUE!</v>
      </c>
      <c r="S1591" s="22" t="e">
        <f>Tabla1[[#This Row],[StockDisp]]*Tabla1[[#This Row],[UM producto]]</f>
        <v>#VALUE!</v>
      </c>
    </row>
    <row r="1592" spans="1:19" x14ac:dyDescent="0.35">
      <c r="A1592" s="5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6"/>
      <c r="P1592" s="23" t="e">
        <f>TRIM(Tabla1[[#This Row],[Articulo]])</f>
        <v>#VALUE!</v>
      </c>
      <c r="Q1592" s="23" t="e">
        <f>_xlfn.XLOOKUP(Tabla1[[#This Row],[Ean Normalizado]],Consumos!A:A,Consumos!E:E)</f>
        <v>#VALUE!</v>
      </c>
      <c r="R1592" s="22" t="e">
        <f>_xlfn.XLOOKUP(Tabla1[[#This Row],[Ean Normalizado]],tabla_consumos[EAN],tabla_consumos[UM])</f>
        <v>#VALUE!</v>
      </c>
      <c r="S1592" s="22" t="e">
        <f>Tabla1[[#This Row],[StockDisp]]*Tabla1[[#This Row],[UM producto]]</f>
        <v>#VALUE!</v>
      </c>
    </row>
    <row r="1593" spans="1:19" x14ac:dyDescent="0.35">
      <c r="A1593" s="5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6"/>
      <c r="P1593" s="23" t="e">
        <f>TRIM(Tabla1[[#This Row],[Articulo]])</f>
        <v>#VALUE!</v>
      </c>
      <c r="Q1593" s="23" t="e">
        <f>_xlfn.XLOOKUP(Tabla1[[#This Row],[Ean Normalizado]],Consumos!A:A,Consumos!E:E)</f>
        <v>#VALUE!</v>
      </c>
      <c r="R1593" s="22" t="e">
        <f>_xlfn.XLOOKUP(Tabla1[[#This Row],[Ean Normalizado]],tabla_consumos[EAN],tabla_consumos[UM])</f>
        <v>#VALUE!</v>
      </c>
      <c r="S1593" s="22" t="e">
        <f>Tabla1[[#This Row],[StockDisp]]*Tabla1[[#This Row],[UM producto]]</f>
        <v>#VALUE!</v>
      </c>
    </row>
    <row r="1594" spans="1:19" x14ac:dyDescent="0.35">
      <c r="A1594" s="5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6"/>
      <c r="P1594" s="23" t="e">
        <f>TRIM(Tabla1[[#This Row],[Articulo]])</f>
        <v>#VALUE!</v>
      </c>
      <c r="Q1594" s="23" t="e">
        <f>_xlfn.XLOOKUP(Tabla1[[#This Row],[Ean Normalizado]],Consumos!A:A,Consumos!E:E)</f>
        <v>#VALUE!</v>
      </c>
      <c r="R1594" s="22" t="e">
        <f>_xlfn.XLOOKUP(Tabla1[[#This Row],[Ean Normalizado]],tabla_consumos[EAN],tabla_consumos[UM])</f>
        <v>#VALUE!</v>
      </c>
      <c r="S1594" s="22" t="e">
        <f>Tabla1[[#This Row],[StockDisp]]*Tabla1[[#This Row],[UM producto]]</f>
        <v>#VALUE!</v>
      </c>
    </row>
    <row r="1595" spans="1:19" x14ac:dyDescent="0.35">
      <c r="A1595" s="5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6"/>
      <c r="P1595" s="23" t="e">
        <f>TRIM(Tabla1[[#This Row],[Articulo]])</f>
        <v>#VALUE!</v>
      </c>
      <c r="Q1595" s="23" t="e">
        <f>_xlfn.XLOOKUP(Tabla1[[#This Row],[Ean Normalizado]],Consumos!A:A,Consumos!E:E)</f>
        <v>#VALUE!</v>
      </c>
      <c r="R1595" s="22" t="e">
        <f>_xlfn.XLOOKUP(Tabla1[[#This Row],[Ean Normalizado]],tabla_consumos[EAN],tabla_consumos[UM])</f>
        <v>#VALUE!</v>
      </c>
      <c r="S1595" s="22" t="e">
        <f>Tabla1[[#This Row],[StockDisp]]*Tabla1[[#This Row],[UM producto]]</f>
        <v>#VALUE!</v>
      </c>
    </row>
    <row r="1596" spans="1:19" x14ac:dyDescent="0.35">
      <c r="A1596" s="5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6"/>
      <c r="P1596" s="23" t="e">
        <f>TRIM(Tabla1[[#This Row],[Articulo]])</f>
        <v>#VALUE!</v>
      </c>
      <c r="Q1596" s="23" t="e">
        <f>_xlfn.XLOOKUP(Tabla1[[#This Row],[Ean Normalizado]],Consumos!A:A,Consumos!E:E)</f>
        <v>#VALUE!</v>
      </c>
      <c r="R1596" s="22" t="e">
        <f>_xlfn.XLOOKUP(Tabla1[[#This Row],[Ean Normalizado]],tabla_consumos[EAN],tabla_consumos[UM])</f>
        <v>#VALUE!</v>
      </c>
      <c r="S1596" s="22" t="e">
        <f>Tabla1[[#This Row],[StockDisp]]*Tabla1[[#This Row],[UM producto]]</f>
        <v>#VALUE!</v>
      </c>
    </row>
    <row r="1597" spans="1:19" x14ac:dyDescent="0.35">
      <c r="A1597" s="5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6"/>
      <c r="P1597" s="23" t="e">
        <f>TRIM(Tabla1[[#This Row],[Articulo]])</f>
        <v>#VALUE!</v>
      </c>
      <c r="Q1597" s="23" t="e">
        <f>_xlfn.XLOOKUP(Tabla1[[#This Row],[Ean Normalizado]],Consumos!A:A,Consumos!E:E)</f>
        <v>#VALUE!</v>
      </c>
      <c r="R1597" s="22" t="e">
        <f>_xlfn.XLOOKUP(Tabla1[[#This Row],[Ean Normalizado]],tabla_consumos[EAN],tabla_consumos[UM])</f>
        <v>#VALUE!</v>
      </c>
      <c r="S1597" s="22" t="e">
        <f>Tabla1[[#This Row],[StockDisp]]*Tabla1[[#This Row],[UM producto]]</f>
        <v>#VALUE!</v>
      </c>
    </row>
    <row r="1598" spans="1:19" x14ac:dyDescent="0.35">
      <c r="A1598" s="5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6"/>
      <c r="P1598" s="23" t="e">
        <f>TRIM(Tabla1[[#This Row],[Articulo]])</f>
        <v>#VALUE!</v>
      </c>
      <c r="Q1598" s="23" t="e">
        <f>_xlfn.XLOOKUP(Tabla1[[#This Row],[Ean Normalizado]],Consumos!A:A,Consumos!E:E)</f>
        <v>#VALUE!</v>
      </c>
      <c r="R1598" s="22" t="e">
        <f>_xlfn.XLOOKUP(Tabla1[[#This Row],[Ean Normalizado]],tabla_consumos[EAN],tabla_consumos[UM])</f>
        <v>#VALUE!</v>
      </c>
      <c r="S1598" s="22" t="e">
        <f>Tabla1[[#This Row],[StockDisp]]*Tabla1[[#This Row],[UM producto]]</f>
        <v>#VALUE!</v>
      </c>
    </row>
    <row r="1599" spans="1:19" x14ac:dyDescent="0.35">
      <c r="A1599" s="5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6"/>
      <c r="P1599" s="23" t="e">
        <f>TRIM(Tabla1[[#This Row],[Articulo]])</f>
        <v>#VALUE!</v>
      </c>
      <c r="Q1599" s="23" t="e">
        <f>_xlfn.XLOOKUP(Tabla1[[#This Row],[Ean Normalizado]],Consumos!A:A,Consumos!E:E)</f>
        <v>#VALUE!</v>
      </c>
      <c r="R1599" s="22" t="e">
        <f>_xlfn.XLOOKUP(Tabla1[[#This Row],[Ean Normalizado]],tabla_consumos[EAN],tabla_consumos[UM])</f>
        <v>#VALUE!</v>
      </c>
      <c r="S1599" s="22" t="e">
        <f>Tabla1[[#This Row],[StockDisp]]*Tabla1[[#This Row],[UM producto]]</f>
        <v>#VALUE!</v>
      </c>
    </row>
    <row r="1600" spans="1:19" x14ac:dyDescent="0.35">
      <c r="A1600" s="5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6"/>
      <c r="P1600" s="23" t="e">
        <f>TRIM(Tabla1[[#This Row],[Articulo]])</f>
        <v>#VALUE!</v>
      </c>
      <c r="Q1600" s="23" t="e">
        <f>_xlfn.XLOOKUP(Tabla1[[#This Row],[Ean Normalizado]],Consumos!A:A,Consumos!E:E)</f>
        <v>#VALUE!</v>
      </c>
      <c r="R1600" s="22" t="e">
        <f>_xlfn.XLOOKUP(Tabla1[[#This Row],[Ean Normalizado]],tabla_consumos[EAN],tabla_consumos[UM])</f>
        <v>#VALUE!</v>
      </c>
      <c r="S1600" s="22" t="e">
        <f>Tabla1[[#This Row],[StockDisp]]*Tabla1[[#This Row],[UM producto]]</f>
        <v>#VALUE!</v>
      </c>
    </row>
    <row r="1601" spans="1:19" x14ac:dyDescent="0.35">
      <c r="A1601" s="5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6"/>
      <c r="P1601" s="23" t="e">
        <f>TRIM(Tabla1[[#This Row],[Articulo]])</f>
        <v>#VALUE!</v>
      </c>
      <c r="Q1601" s="23" t="e">
        <f>_xlfn.XLOOKUP(Tabla1[[#This Row],[Ean Normalizado]],Consumos!A:A,Consumos!E:E)</f>
        <v>#VALUE!</v>
      </c>
      <c r="R1601" s="22" t="e">
        <f>_xlfn.XLOOKUP(Tabla1[[#This Row],[Ean Normalizado]],tabla_consumos[EAN],tabla_consumos[UM])</f>
        <v>#VALUE!</v>
      </c>
      <c r="S1601" s="22" t="e">
        <f>Tabla1[[#This Row],[StockDisp]]*Tabla1[[#This Row],[UM producto]]</f>
        <v>#VALUE!</v>
      </c>
    </row>
    <row r="1602" spans="1:19" x14ac:dyDescent="0.35">
      <c r="A1602" s="5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6"/>
      <c r="P1602" s="23" t="e">
        <f>TRIM(Tabla1[[#This Row],[Articulo]])</f>
        <v>#VALUE!</v>
      </c>
      <c r="Q1602" s="23" t="e">
        <f>_xlfn.XLOOKUP(Tabla1[[#This Row],[Ean Normalizado]],Consumos!A:A,Consumos!E:E)</f>
        <v>#VALUE!</v>
      </c>
      <c r="R1602" s="22" t="e">
        <f>_xlfn.XLOOKUP(Tabla1[[#This Row],[Ean Normalizado]],tabla_consumos[EAN],tabla_consumos[UM])</f>
        <v>#VALUE!</v>
      </c>
      <c r="S1602" s="22" t="e">
        <f>Tabla1[[#This Row],[StockDisp]]*Tabla1[[#This Row],[UM producto]]</f>
        <v>#VALUE!</v>
      </c>
    </row>
    <row r="1603" spans="1:19" x14ac:dyDescent="0.35">
      <c r="A1603" s="5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6"/>
      <c r="P1603" s="23" t="e">
        <f>TRIM(Tabla1[[#This Row],[Articulo]])</f>
        <v>#VALUE!</v>
      </c>
      <c r="Q1603" s="23" t="e">
        <f>_xlfn.XLOOKUP(Tabla1[[#This Row],[Ean Normalizado]],Consumos!A:A,Consumos!E:E)</f>
        <v>#VALUE!</v>
      </c>
      <c r="R1603" s="22" t="e">
        <f>_xlfn.XLOOKUP(Tabla1[[#This Row],[Ean Normalizado]],tabla_consumos[EAN],tabla_consumos[UM])</f>
        <v>#VALUE!</v>
      </c>
      <c r="S1603" s="22" t="e">
        <f>Tabla1[[#This Row],[StockDisp]]*Tabla1[[#This Row],[UM producto]]</f>
        <v>#VALUE!</v>
      </c>
    </row>
    <row r="1604" spans="1:19" x14ac:dyDescent="0.35">
      <c r="A1604" s="5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6"/>
      <c r="P1604" s="23" t="e">
        <f>TRIM(Tabla1[[#This Row],[Articulo]])</f>
        <v>#VALUE!</v>
      </c>
      <c r="Q1604" s="23" t="e">
        <f>_xlfn.XLOOKUP(Tabla1[[#This Row],[Ean Normalizado]],Consumos!A:A,Consumos!E:E)</f>
        <v>#VALUE!</v>
      </c>
      <c r="R1604" s="22" t="e">
        <f>_xlfn.XLOOKUP(Tabla1[[#This Row],[Ean Normalizado]],tabla_consumos[EAN],tabla_consumos[UM])</f>
        <v>#VALUE!</v>
      </c>
      <c r="S1604" s="22" t="e">
        <f>Tabla1[[#This Row],[StockDisp]]*Tabla1[[#This Row],[UM producto]]</f>
        <v>#VALUE!</v>
      </c>
    </row>
    <row r="1605" spans="1:19" x14ac:dyDescent="0.35">
      <c r="A1605" s="5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6"/>
      <c r="P1605" s="23" t="e">
        <f>TRIM(Tabla1[[#This Row],[Articulo]])</f>
        <v>#VALUE!</v>
      </c>
      <c r="Q1605" s="23" t="e">
        <f>_xlfn.XLOOKUP(Tabla1[[#This Row],[Ean Normalizado]],Consumos!A:A,Consumos!E:E)</f>
        <v>#VALUE!</v>
      </c>
      <c r="R1605" s="22" t="e">
        <f>_xlfn.XLOOKUP(Tabla1[[#This Row],[Ean Normalizado]],tabla_consumos[EAN],tabla_consumos[UM])</f>
        <v>#VALUE!</v>
      </c>
      <c r="S1605" s="22" t="e">
        <f>Tabla1[[#This Row],[StockDisp]]*Tabla1[[#This Row],[UM producto]]</f>
        <v>#VALUE!</v>
      </c>
    </row>
    <row r="1606" spans="1:19" x14ac:dyDescent="0.35">
      <c r="A1606" s="5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6"/>
      <c r="P1606" s="23" t="e">
        <f>TRIM(Tabla1[[#This Row],[Articulo]])</f>
        <v>#VALUE!</v>
      </c>
      <c r="Q1606" s="23" t="e">
        <f>_xlfn.XLOOKUP(Tabla1[[#This Row],[Ean Normalizado]],Consumos!A:A,Consumos!E:E)</f>
        <v>#VALUE!</v>
      </c>
      <c r="R1606" s="22" t="e">
        <f>_xlfn.XLOOKUP(Tabla1[[#This Row],[Ean Normalizado]],tabla_consumos[EAN],tabla_consumos[UM])</f>
        <v>#VALUE!</v>
      </c>
      <c r="S1606" s="22" t="e">
        <f>Tabla1[[#This Row],[StockDisp]]*Tabla1[[#This Row],[UM producto]]</f>
        <v>#VALUE!</v>
      </c>
    </row>
    <row r="1607" spans="1:19" x14ac:dyDescent="0.35">
      <c r="A1607" s="5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6"/>
      <c r="P1607" s="23" t="e">
        <f>TRIM(Tabla1[[#This Row],[Articulo]])</f>
        <v>#VALUE!</v>
      </c>
      <c r="Q1607" s="23" t="e">
        <f>_xlfn.XLOOKUP(Tabla1[[#This Row],[Ean Normalizado]],Consumos!A:A,Consumos!E:E)</f>
        <v>#VALUE!</v>
      </c>
      <c r="R1607" s="22" t="e">
        <f>_xlfn.XLOOKUP(Tabla1[[#This Row],[Ean Normalizado]],tabla_consumos[EAN],tabla_consumos[UM])</f>
        <v>#VALUE!</v>
      </c>
      <c r="S1607" s="22" t="e">
        <f>Tabla1[[#This Row],[StockDisp]]*Tabla1[[#This Row],[UM producto]]</f>
        <v>#VALUE!</v>
      </c>
    </row>
    <row r="1608" spans="1:19" x14ac:dyDescent="0.35">
      <c r="A1608" s="5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6"/>
      <c r="P1608" s="23" t="e">
        <f>TRIM(Tabla1[[#This Row],[Articulo]])</f>
        <v>#VALUE!</v>
      </c>
      <c r="Q1608" s="23" t="e">
        <f>_xlfn.XLOOKUP(Tabla1[[#This Row],[Ean Normalizado]],Consumos!A:A,Consumos!E:E)</f>
        <v>#VALUE!</v>
      </c>
      <c r="R1608" s="22" t="e">
        <f>_xlfn.XLOOKUP(Tabla1[[#This Row],[Ean Normalizado]],tabla_consumos[EAN],tabla_consumos[UM])</f>
        <v>#VALUE!</v>
      </c>
      <c r="S1608" s="22" t="e">
        <f>Tabla1[[#This Row],[StockDisp]]*Tabla1[[#This Row],[UM producto]]</f>
        <v>#VALUE!</v>
      </c>
    </row>
    <row r="1609" spans="1:19" x14ac:dyDescent="0.35">
      <c r="A1609" s="5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6"/>
      <c r="P1609" s="23" t="e">
        <f>TRIM(Tabla1[[#This Row],[Articulo]])</f>
        <v>#VALUE!</v>
      </c>
      <c r="Q1609" s="23" t="e">
        <f>_xlfn.XLOOKUP(Tabla1[[#This Row],[Ean Normalizado]],Consumos!A:A,Consumos!E:E)</f>
        <v>#VALUE!</v>
      </c>
      <c r="R1609" s="22" t="e">
        <f>_xlfn.XLOOKUP(Tabla1[[#This Row],[Ean Normalizado]],tabla_consumos[EAN],tabla_consumos[UM])</f>
        <v>#VALUE!</v>
      </c>
      <c r="S1609" s="22" t="e">
        <f>Tabla1[[#This Row],[StockDisp]]*Tabla1[[#This Row],[UM producto]]</f>
        <v>#VALUE!</v>
      </c>
    </row>
    <row r="1610" spans="1:19" x14ac:dyDescent="0.35">
      <c r="A1610" s="5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6"/>
      <c r="P1610" s="23" t="e">
        <f>TRIM(Tabla1[[#This Row],[Articulo]])</f>
        <v>#VALUE!</v>
      </c>
      <c r="Q1610" s="23" t="e">
        <f>_xlfn.XLOOKUP(Tabla1[[#This Row],[Ean Normalizado]],Consumos!A:A,Consumos!E:E)</f>
        <v>#VALUE!</v>
      </c>
      <c r="R1610" s="22" t="e">
        <f>_xlfn.XLOOKUP(Tabla1[[#This Row],[Ean Normalizado]],tabla_consumos[EAN],tabla_consumos[UM])</f>
        <v>#VALUE!</v>
      </c>
      <c r="S1610" s="22" t="e">
        <f>Tabla1[[#This Row],[StockDisp]]*Tabla1[[#This Row],[UM producto]]</f>
        <v>#VALUE!</v>
      </c>
    </row>
    <row r="1611" spans="1:19" x14ac:dyDescent="0.35">
      <c r="A1611" s="5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6"/>
      <c r="P1611" s="23" t="e">
        <f>TRIM(Tabla1[[#This Row],[Articulo]])</f>
        <v>#VALUE!</v>
      </c>
      <c r="Q1611" s="23" t="e">
        <f>_xlfn.XLOOKUP(Tabla1[[#This Row],[Ean Normalizado]],Consumos!A:A,Consumos!E:E)</f>
        <v>#VALUE!</v>
      </c>
      <c r="R1611" s="22" t="e">
        <f>_xlfn.XLOOKUP(Tabla1[[#This Row],[Ean Normalizado]],tabla_consumos[EAN],tabla_consumos[UM])</f>
        <v>#VALUE!</v>
      </c>
      <c r="S1611" s="22" t="e">
        <f>Tabla1[[#This Row],[StockDisp]]*Tabla1[[#This Row],[UM producto]]</f>
        <v>#VALUE!</v>
      </c>
    </row>
    <row r="1612" spans="1:19" x14ac:dyDescent="0.35">
      <c r="A1612" s="5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6"/>
      <c r="P1612" s="23" t="e">
        <f>TRIM(Tabla1[[#This Row],[Articulo]])</f>
        <v>#VALUE!</v>
      </c>
      <c r="Q1612" s="23" t="e">
        <f>_xlfn.XLOOKUP(Tabla1[[#This Row],[Ean Normalizado]],Consumos!A:A,Consumos!E:E)</f>
        <v>#VALUE!</v>
      </c>
      <c r="R1612" s="22" t="e">
        <f>_xlfn.XLOOKUP(Tabla1[[#This Row],[Ean Normalizado]],tabla_consumos[EAN],tabla_consumos[UM])</f>
        <v>#VALUE!</v>
      </c>
      <c r="S1612" s="22" t="e">
        <f>Tabla1[[#This Row],[StockDisp]]*Tabla1[[#This Row],[UM producto]]</f>
        <v>#VALUE!</v>
      </c>
    </row>
    <row r="1613" spans="1:19" x14ac:dyDescent="0.35">
      <c r="A1613" s="5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6"/>
      <c r="P1613" s="23" t="e">
        <f>TRIM(Tabla1[[#This Row],[Articulo]])</f>
        <v>#VALUE!</v>
      </c>
      <c r="Q1613" s="23" t="e">
        <f>_xlfn.XLOOKUP(Tabla1[[#This Row],[Ean Normalizado]],Consumos!A:A,Consumos!E:E)</f>
        <v>#VALUE!</v>
      </c>
      <c r="R1613" s="22" t="e">
        <f>_xlfn.XLOOKUP(Tabla1[[#This Row],[Ean Normalizado]],tabla_consumos[EAN],tabla_consumos[UM])</f>
        <v>#VALUE!</v>
      </c>
      <c r="S1613" s="22" t="e">
        <f>Tabla1[[#This Row],[StockDisp]]*Tabla1[[#This Row],[UM producto]]</f>
        <v>#VALUE!</v>
      </c>
    </row>
    <row r="1614" spans="1:19" x14ac:dyDescent="0.35">
      <c r="A1614" s="5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6"/>
      <c r="P1614" s="23" t="e">
        <f>TRIM(Tabla1[[#This Row],[Articulo]])</f>
        <v>#VALUE!</v>
      </c>
      <c r="Q1614" s="23" t="e">
        <f>_xlfn.XLOOKUP(Tabla1[[#This Row],[Ean Normalizado]],Consumos!A:A,Consumos!E:E)</f>
        <v>#VALUE!</v>
      </c>
      <c r="R1614" s="22" t="e">
        <f>_xlfn.XLOOKUP(Tabla1[[#This Row],[Ean Normalizado]],tabla_consumos[EAN],tabla_consumos[UM])</f>
        <v>#VALUE!</v>
      </c>
      <c r="S1614" s="22" t="e">
        <f>Tabla1[[#This Row],[StockDisp]]*Tabla1[[#This Row],[UM producto]]</f>
        <v>#VALUE!</v>
      </c>
    </row>
    <row r="1615" spans="1:19" x14ac:dyDescent="0.35">
      <c r="A1615" s="5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6"/>
      <c r="P1615" s="23" t="e">
        <f>TRIM(Tabla1[[#This Row],[Articulo]])</f>
        <v>#VALUE!</v>
      </c>
      <c r="Q1615" s="23" t="e">
        <f>_xlfn.XLOOKUP(Tabla1[[#This Row],[Ean Normalizado]],Consumos!A:A,Consumos!E:E)</f>
        <v>#VALUE!</v>
      </c>
      <c r="R1615" s="22" t="e">
        <f>_xlfn.XLOOKUP(Tabla1[[#This Row],[Ean Normalizado]],tabla_consumos[EAN],tabla_consumos[UM])</f>
        <v>#VALUE!</v>
      </c>
      <c r="S1615" s="22" t="e">
        <f>Tabla1[[#This Row],[StockDisp]]*Tabla1[[#This Row],[UM producto]]</f>
        <v>#VALUE!</v>
      </c>
    </row>
    <row r="1616" spans="1:19" x14ac:dyDescent="0.35">
      <c r="A1616" s="5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6"/>
      <c r="P1616" s="23" t="e">
        <f>TRIM(Tabla1[[#This Row],[Articulo]])</f>
        <v>#VALUE!</v>
      </c>
      <c r="Q1616" s="23" t="e">
        <f>_xlfn.XLOOKUP(Tabla1[[#This Row],[Ean Normalizado]],Consumos!A:A,Consumos!E:E)</f>
        <v>#VALUE!</v>
      </c>
      <c r="R1616" s="22" t="e">
        <f>_xlfn.XLOOKUP(Tabla1[[#This Row],[Ean Normalizado]],tabla_consumos[EAN],tabla_consumos[UM])</f>
        <v>#VALUE!</v>
      </c>
      <c r="S1616" s="22" t="e">
        <f>Tabla1[[#This Row],[StockDisp]]*Tabla1[[#This Row],[UM producto]]</f>
        <v>#VALUE!</v>
      </c>
    </row>
    <row r="1617" spans="1:19" x14ac:dyDescent="0.35">
      <c r="A1617" s="5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6"/>
      <c r="P1617" s="23" t="e">
        <f>TRIM(Tabla1[[#This Row],[Articulo]])</f>
        <v>#VALUE!</v>
      </c>
      <c r="Q1617" s="23" t="e">
        <f>_xlfn.XLOOKUP(Tabla1[[#This Row],[Ean Normalizado]],Consumos!A:A,Consumos!E:E)</f>
        <v>#VALUE!</v>
      </c>
      <c r="R1617" s="22" t="e">
        <f>_xlfn.XLOOKUP(Tabla1[[#This Row],[Ean Normalizado]],tabla_consumos[EAN],tabla_consumos[UM])</f>
        <v>#VALUE!</v>
      </c>
      <c r="S1617" s="22" t="e">
        <f>Tabla1[[#This Row],[StockDisp]]*Tabla1[[#This Row],[UM producto]]</f>
        <v>#VALUE!</v>
      </c>
    </row>
    <row r="1618" spans="1:19" x14ac:dyDescent="0.35">
      <c r="A1618" s="5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6"/>
      <c r="P1618" s="23" t="e">
        <f>TRIM(Tabla1[[#This Row],[Articulo]])</f>
        <v>#VALUE!</v>
      </c>
      <c r="Q1618" s="23" t="e">
        <f>_xlfn.XLOOKUP(Tabla1[[#This Row],[Ean Normalizado]],Consumos!A:A,Consumos!E:E)</f>
        <v>#VALUE!</v>
      </c>
      <c r="R1618" s="22" t="e">
        <f>_xlfn.XLOOKUP(Tabla1[[#This Row],[Ean Normalizado]],tabla_consumos[EAN],tabla_consumos[UM])</f>
        <v>#VALUE!</v>
      </c>
      <c r="S1618" s="22" t="e">
        <f>Tabla1[[#This Row],[StockDisp]]*Tabla1[[#This Row],[UM producto]]</f>
        <v>#VALUE!</v>
      </c>
    </row>
    <row r="1619" spans="1:19" x14ac:dyDescent="0.35">
      <c r="A1619" s="5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6"/>
      <c r="P1619" s="23" t="e">
        <f>TRIM(Tabla1[[#This Row],[Articulo]])</f>
        <v>#VALUE!</v>
      </c>
      <c r="Q1619" s="23" t="e">
        <f>_xlfn.XLOOKUP(Tabla1[[#This Row],[Ean Normalizado]],Consumos!A:A,Consumos!E:E)</f>
        <v>#VALUE!</v>
      </c>
      <c r="R1619" s="22" t="e">
        <f>_xlfn.XLOOKUP(Tabla1[[#This Row],[Ean Normalizado]],tabla_consumos[EAN],tabla_consumos[UM])</f>
        <v>#VALUE!</v>
      </c>
      <c r="S1619" s="22" t="e">
        <f>Tabla1[[#This Row],[StockDisp]]*Tabla1[[#This Row],[UM producto]]</f>
        <v>#VALUE!</v>
      </c>
    </row>
    <row r="1620" spans="1:19" x14ac:dyDescent="0.35">
      <c r="A1620" s="5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6"/>
      <c r="P1620" s="23" t="e">
        <f>TRIM(Tabla1[[#This Row],[Articulo]])</f>
        <v>#VALUE!</v>
      </c>
      <c r="Q1620" s="23" t="e">
        <f>_xlfn.XLOOKUP(Tabla1[[#This Row],[Ean Normalizado]],Consumos!A:A,Consumos!E:E)</f>
        <v>#VALUE!</v>
      </c>
      <c r="R1620" s="22" t="e">
        <f>_xlfn.XLOOKUP(Tabla1[[#This Row],[Ean Normalizado]],tabla_consumos[EAN],tabla_consumos[UM])</f>
        <v>#VALUE!</v>
      </c>
      <c r="S1620" s="22" t="e">
        <f>Tabla1[[#This Row],[StockDisp]]*Tabla1[[#This Row],[UM producto]]</f>
        <v>#VALUE!</v>
      </c>
    </row>
    <row r="1621" spans="1:19" x14ac:dyDescent="0.35">
      <c r="A1621" s="5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6"/>
      <c r="P1621" s="23" t="e">
        <f>TRIM(Tabla1[[#This Row],[Articulo]])</f>
        <v>#VALUE!</v>
      </c>
      <c r="Q1621" s="23" t="e">
        <f>_xlfn.XLOOKUP(Tabla1[[#This Row],[Ean Normalizado]],Consumos!A:A,Consumos!E:E)</f>
        <v>#VALUE!</v>
      </c>
      <c r="R1621" s="22" t="e">
        <f>_xlfn.XLOOKUP(Tabla1[[#This Row],[Ean Normalizado]],tabla_consumos[EAN],tabla_consumos[UM])</f>
        <v>#VALUE!</v>
      </c>
      <c r="S1621" s="22" t="e">
        <f>Tabla1[[#This Row],[StockDisp]]*Tabla1[[#This Row],[UM producto]]</f>
        <v>#VALUE!</v>
      </c>
    </row>
    <row r="1622" spans="1:19" x14ac:dyDescent="0.35">
      <c r="A1622" s="5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6"/>
      <c r="P1622" s="23" t="e">
        <f>TRIM(Tabla1[[#This Row],[Articulo]])</f>
        <v>#VALUE!</v>
      </c>
      <c r="Q1622" s="23" t="e">
        <f>_xlfn.XLOOKUP(Tabla1[[#This Row],[Ean Normalizado]],Consumos!A:A,Consumos!E:E)</f>
        <v>#VALUE!</v>
      </c>
      <c r="R1622" s="22" t="e">
        <f>_xlfn.XLOOKUP(Tabla1[[#This Row],[Ean Normalizado]],tabla_consumos[EAN],tabla_consumos[UM])</f>
        <v>#VALUE!</v>
      </c>
      <c r="S1622" s="22" t="e">
        <f>Tabla1[[#This Row],[StockDisp]]*Tabla1[[#This Row],[UM producto]]</f>
        <v>#VALUE!</v>
      </c>
    </row>
    <row r="1623" spans="1:19" x14ac:dyDescent="0.35">
      <c r="A1623" s="5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6"/>
      <c r="P1623" s="23" t="e">
        <f>TRIM(Tabla1[[#This Row],[Articulo]])</f>
        <v>#VALUE!</v>
      </c>
      <c r="Q1623" s="23" t="e">
        <f>_xlfn.XLOOKUP(Tabla1[[#This Row],[Ean Normalizado]],Consumos!A:A,Consumos!E:E)</f>
        <v>#VALUE!</v>
      </c>
      <c r="R1623" s="22" t="e">
        <f>_xlfn.XLOOKUP(Tabla1[[#This Row],[Ean Normalizado]],tabla_consumos[EAN],tabla_consumos[UM])</f>
        <v>#VALUE!</v>
      </c>
      <c r="S1623" s="22" t="e">
        <f>Tabla1[[#This Row],[StockDisp]]*Tabla1[[#This Row],[UM producto]]</f>
        <v>#VALUE!</v>
      </c>
    </row>
    <row r="1624" spans="1:19" x14ac:dyDescent="0.35">
      <c r="A1624" s="5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6"/>
      <c r="P1624" s="23" t="e">
        <f>TRIM(Tabla1[[#This Row],[Articulo]])</f>
        <v>#VALUE!</v>
      </c>
      <c r="Q1624" s="23" t="e">
        <f>_xlfn.XLOOKUP(Tabla1[[#This Row],[Ean Normalizado]],Consumos!A:A,Consumos!E:E)</f>
        <v>#VALUE!</v>
      </c>
      <c r="R1624" s="22" t="e">
        <f>_xlfn.XLOOKUP(Tabla1[[#This Row],[Ean Normalizado]],tabla_consumos[EAN],tabla_consumos[UM])</f>
        <v>#VALUE!</v>
      </c>
      <c r="S1624" s="22" t="e">
        <f>Tabla1[[#This Row],[StockDisp]]*Tabla1[[#This Row],[UM producto]]</f>
        <v>#VALUE!</v>
      </c>
    </row>
    <row r="1625" spans="1:19" x14ac:dyDescent="0.35">
      <c r="A1625" s="5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6"/>
      <c r="P1625" s="23" t="e">
        <f>TRIM(Tabla1[[#This Row],[Articulo]])</f>
        <v>#VALUE!</v>
      </c>
      <c r="Q1625" s="23" t="e">
        <f>_xlfn.XLOOKUP(Tabla1[[#This Row],[Ean Normalizado]],Consumos!A:A,Consumos!E:E)</f>
        <v>#VALUE!</v>
      </c>
      <c r="R1625" s="22" t="e">
        <f>_xlfn.XLOOKUP(Tabla1[[#This Row],[Ean Normalizado]],tabla_consumos[EAN],tabla_consumos[UM])</f>
        <v>#VALUE!</v>
      </c>
      <c r="S1625" s="22" t="e">
        <f>Tabla1[[#This Row],[StockDisp]]*Tabla1[[#This Row],[UM producto]]</f>
        <v>#VALUE!</v>
      </c>
    </row>
    <row r="1626" spans="1:19" x14ac:dyDescent="0.35">
      <c r="A1626" s="5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6"/>
      <c r="P1626" s="23" t="e">
        <f>TRIM(Tabla1[[#This Row],[Articulo]])</f>
        <v>#VALUE!</v>
      </c>
      <c r="Q1626" s="23" t="e">
        <f>_xlfn.XLOOKUP(Tabla1[[#This Row],[Ean Normalizado]],Consumos!A:A,Consumos!E:E)</f>
        <v>#VALUE!</v>
      </c>
      <c r="R1626" s="22" t="e">
        <f>_xlfn.XLOOKUP(Tabla1[[#This Row],[Ean Normalizado]],tabla_consumos[EAN],tabla_consumos[UM])</f>
        <v>#VALUE!</v>
      </c>
      <c r="S1626" s="22" t="e">
        <f>Tabla1[[#This Row],[StockDisp]]*Tabla1[[#This Row],[UM producto]]</f>
        <v>#VALUE!</v>
      </c>
    </row>
    <row r="1627" spans="1:19" x14ac:dyDescent="0.35">
      <c r="A1627" s="5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6"/>
      <c r="P1627" s="23" t="e">
        <f>TRIM(Tabla1[[#This Row],[Articulo]])</f>
        <v>#VALUE!</v>
      </c>
      <c r="Q1627" s="23" t="e">
        <f>_xlfn.XLOOKUP(Tabla1[[#This Row],[Ean Normalizado]],Consumos!A:A,Consumos!E:E)</f>
        <v>#VALUE!</v>
      </c>
      <c r="R1627" s="22" t="e">
        <f>_xlfn.XLOOKUP(Tabla1[[#This Row],[Ean Normalizado]],tabla_consumos[EAN],tabla_consumos[UM])</f>
        <v>#VALUE!</v>
      </c>
      <c r="S1627" s="22" t="e">
        <f>Tabla1[[#This Row],[StockDisp]]*Tabla1[[#This Row],[UM producto]]</f>
        <v>#VALUE!</v>
      </c>
    </row>
    <row r="1628" spans="1:19" x14ac:dyDescent="0.35">
      <c r="A1628" s="5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6"/>
      <c r="P1628" s="23" t="e">
        <f>TRIM(Tabla1[[#This Row],[Articulo]])</f>
        <v>#VALUE!</v>
      </c>
      <c r="Q1628" s="23" t="e">
        <f>_xlfn.XLOOKUP(Tabla1[[#This Row],[Ean Normalizado]],Consumos!A:A,Consumos!E:E)</f>
        <v>#VALUE!</v>
      </c>
      <c r="R1628" s="22" t="e">
        <f>_xlfn.XLOOKUP(Tabla1[[#This Row],[Ean Normalizado]],tabla_consumos[EAN],tabla_consumos[UM])</f>
        <v>#VALUE!</v>
      </c>
      <c r="S1628" s="22" t="e">
        <f>Tabla1[[#This Row],[StockDisp]]*Tabla1[[#This Row],[UM producto]]</f>
        <v>#VALUE!</v>
      </c>
    </row>
    <row r="1629" spans="1:19" x14ac:dyDescent="0.35">
      <c r="A1629" s="5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6"/>
      <c r="P1629" s="23" t="e">
        <f>TRIM(Tabla1[[#This Row],[Articulo]])</f>
        <v>#VALUE!</v>
      </c>
      <c r="Q1629" s="23" t="e">
        <f>_xlfn.XLOOKUP(Tabla1[[#This Row],[Ean Normalizado]],Consumos!A:A,Consumos!E:E)</f>
        <v>#VALUE!</v>
      </c>
      <c r="R1629" s="22" t="e">
        <f>_xlfn.XLOOKUP(Tabla1[[#This Row],[Ean Normalizado]],tabla_consumos[EAN],tabla_consumos[UM])</f>
        <v>#VALUE!</v>
      </c>
      <c r="S1629" s="22" t="e">
        <f>Tabla1[[#This Row],[StockDisp]]*Tabla1[[#This Row],[UM producto]]</f>
        <v>#VALUE!</v>
      </c>
    </row>
    <row r="1630" spans="1:19" x14ac:dyDescent="0.35">
      <c r="A1630" s="5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6"/>
      <c r="P1630" s="23" t="e">
        <f>TRIM(Tabla1[[#This Row],[Articulo]])</f>
        <v>#VALUE!</v>
      </c>
      <c r="Q1630" s="23" t="e">
        <f>_xlfn.XLOOKUP(Tabla1[[#This Row],[Ean Normalizado]],Consumos!A:A,Consumos!E:E)</f>
        <v>#VALUE!</v>
      </c>
      <c r="R1630" s="22" t="e">
        <f>_xlfn.XLOOKUP(Tabla1[[#This Row],[Ean Normalizado]],tabla_consumos[EAN],tabla_consumos[UM])</f>
        <v>#VALUE!</v>
      </c>
      <c r="S1630" s="22" t="e">
        <f>Tabla1[[#This Row],[StockDisp]]*Tabla1[[#This Row],[UM producto]]</f>
        <v>#VALUE!</v>
      </c>
    </row>
    <row r="1631" spans="1:19" x14ac:dyDescent="0.35">
      <c r="A1631" s="5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6"/>
      <c r="P1631" s="23" t="e">
        <f>TRIM(Tabla1[[#This Row],[Articulo]])</f>
        <v>#VALUE!</v>
      </c>
      <c r="Q1631" s="23" t="e">
        <f>_xlfn.XLOOKUP(Tabla1[[#This Row],[Ean Normalizado]],Consumos!A:A,Consumos!E:E)</f>
        <v>#VALUE!</v>
      </c>
      <c r="R1631" s="22" t="e">
        <f>_xlfn.XLOOKUP(Tabla1[[#This Row],[Ean Normalizado]],tabla_consumos[EAN],tabla_consumos[UM])</f>
        <v>#VALUE!</v>
      </c>
      <c r="S1631" s="22" t="e">
        <f>Tabla1[[#This Row],[StockDisp]]*Tabla1[[#This Row],[UM producto]]</f>
        <v>#VALUE!</v>
      </c>
    </row>
    <row r="1632" spans="1:19" x14ac:dyDescent="0.35">
      <c r="A1632" s="5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6"/>
      <c r="P1632" s="23" t="e">
        <f>TRIM(Tabla1[[#This Row],[Articulo]])</f>
        <v>#VALUE!</v>
      </c>
      <c r="Q1632" s="23" t="e">
        <f>_xlfn.XLOOKUP(Tabla1[[#This Row],[Ean Normalizado]],Consumos!A:A,Consumos!E:E)</f>
        <v>#VALUE!</v>
      </c>
      <c r="R1632" s="22" t="e">
        <f>_xlfn.XLOOKUP(Tabla1[[#This Row],[Ean Normalizado]],tabla_consumos[EAN],tabla_consumos[UM])</f>
        <v>#VALUE!</v>
      </c>
      <c r="S1632" s="22" t="e">
        <f>Tabla1[[#This Row],[StockDisp]]*Tabla1[[#This Row],[UM producto]]</f>
        <v>#VALUE!</v>
      </c>
    </row>
    <row r="1633" spans="1:19" x14ac:dyDescent="0.35">
      <c r="A1633" s="5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6"/>
      <c r="P1633" s="23" t="e">
        <f>TRIM(Tabla1[[#This Row],[Articulo]])</f>
        <v>#VALUE!</v>
      </c>
      <c r="Q1633" s="23" t="e">
        <f>_xlfn.XLOOKUP(Tabla1[[#This Row],[Ean Normalizado]],Consumos!A:A,Consumos!E:E)</f>
        <v>#VALUE!</v>
      </c>
      <c r="R1633" s="22" t="e">
        <f>_xlfn.XLOOKUP(Tabla1[[#This Row],[Ean Normalizado]],tabla_consumos[EAN],tabla_consumos[UM])</f>
        <v>#VALUE!</v>
      </c>
      <c r="S1633" s="22" t="e">
        <f>Tabla1[[#This Row],[StockDisp]]*Tabla1[[#This Row],[UM producto]]</f>
        <v>#VALUE!</v>
      </c>
    </row>
    <row r="1634" spans="1:19" x14ac:dyDescent="0.35">
      <c r="A1634" s="5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6"/>
      <c r="P1634" s="23" t="e">
        <f>TRIM(Tabla1[[#This Row],[Articulo]])</f>
        <v>#VALUE!</v>
      </c>
      <c r="Q1634" s="23" t="e">
        <f>_xlfn.XLOOKUP(Tabla1[[#This Row],[Ean Normalizado]],Consumos!A:A,Consumos!E:E)</f>
        <v>#VALUE!</v>
      </c>
      <c r="R1634" s="22" t="e">
        <f>_xlfn.XLOOKUP(Tabla1[[#This Row],[Ean Normalizado]],tabla_consumos[EAN],tabla_consumos[UM])</f>
        <v>#VALUE!</v>
      </c>
      <c r="S1634" s="22" t="e">
        <f>Tabla1[[#This Row],[StockDisp]]*Tabla1[[#This Row],[UM producto]]</f>
        <v>#VALUE!</v>
      </c>
    </row>
    <row r="1635" spans="1:19" x14ac:dyDescent="0.35">
      <c r="A1635" s="5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6"/>
      <c r="P1635" s="23" t="e">
        <f>TRIM(Tabla1[[#This Row],[Articulo]])</f>
        <v>#VALUE!</v>
      </c>
      <c r="Q1635" s="23" t="e">
        <f>_xlfn.XLOOKUP(Tabla1[[#This Row],[Ean Normalizado]],Consumos!A:A,Consumos!E:E)</f>
        <v>#VALUE!</v>
      </c>
      <c r="R1635" s="22" t="e">
        <f>_xlfn.XLOOKUP(Tabla1[[#This Row],[Ean Normalizado]],tabla_consumos[EAN],tabla_consumos[UM])</f>
        <v>#VALUE!</v>
      </c>
      <c r="S1635" s="22" t="e">
        <f>Tabla1[[#This Row],[StockDisp]]*Tabla1[[#This Row],[UM producto]]</f>
        <v>#VALUE!</v>
      </c>
    </row>
    <row r="1636" spans="1:19" x14ac:dyDescent="0.35">
      <c r="A1636" s="5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6"/>
      <c r="P1636" s="23" t="e">
        <f>TRIM(Tabla1[[#This Row],[Articulo]])</f>
        <v>#VALUE!</v>
      </c>
      <c r="Q1636" s="23" t="e">
        <f>_xlfn.XLOOKUP(Tabla1[[#This Row],[Ean Normalizado]],Consumos!A:A,Consumos!E:E)</f>
        <v>#VALUE!</v>
      </c>
      <c r="R1636" s="22" t="e">
        <f>_xlfn.XLOOKUP(Tabla1[[#This Row],[Ean Normalizado]],tabla_consumos[EAN],tabla_consumos[UM])</f>
        <v>#VALUE!</v>
      </c>
      <c r="S1636" s="22" t="e">
        <f>Tabla1[[#This Row],[StockDisp]]*Tabla1[[#This Row],[UM producto]]</f>
        <v>#VALUE!</v>
      </c>
    </row>
    <row r="1637" spans="1:19" x14ac:dyDescent="0.35">
      <c r="A1637" s="5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6"/>
      <c r="P1637" s="23" t="e">
        <f>TRIM(Tabla1[[#This Row],[Articulo]])</f>
        <v>#VALUE!</v>
      </c>
      <c r="Q1637" s="23" t="e">
        <f>_xlfn.XLOOKUP(Tabla1[[#This Row],[Ean Normalizado]],Consumos!A:A,Consumos!E:E)</f>
        <v>#VALUE!</v>
      </c>
      <c r="R1637" s="22" t="e">
        <f>_xlfn.XLOOKUP(Tabla1[[#This Row],[Ean Normalizado]],tabla_consumos[EAN],tabla_consumos[UM])</f>
        <v>#VALUE!</v>
      </c>
      <c r="S1637" s="22" t="e">
        <f>Tabla1[[#This Row],[StockDisp]]*Tabla1[[#This Row],[UM producto]]</f>
        <v>#VALUE!</v>
      </c>
    </row>
    <row r="1638" spans="1:19" x14ac:dyDescent="0.35">
      <c r="A1638" s="5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6"/>
      <c r="P1638" s="23" t="e">
        <f>TRIM(Tabla1[[#This Row],[Articulo]])</f>
        <v>#VALUE!</v>
      </c>
      <c r="Q1638" s="23" t="e">
        <f>_xlfn.XLOOKUP(Tabla1[[#This Row],[Ean Normalizado]],Consumos!A:A,Consumos!E:E)</f>
        <v>#VALUE!</v>
      </c>
      <c r="R1638" s="22" t="e">
        <f>_xlfn.XLOOKUP(Tabla1[[#This Row],[Ean Normalizado]],tabla_consumos[EAN],tabla_consumos[UM])</f>
        <v>#VALUE!</v>
      </c>
      <c r="S1638" s="22" t="e">
        <f>Tabla1[[#This Row],[StockDisp]]*Tabla1[[#This Row],[UM producto]]</f>
        <v>#VALUE!</v>
      </c>
    </row>
    <row r="1639" spans="1:19" x14ac:dyDescent="0.35">
      <c r="A1639" s="5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6"/>
      <c r="P1639" s="23" t="e">
        <f>TRIM(Tabla1[[#This Row],[Articulo]])</f>
        <v>#VALUE!</v>
      </c>
      <c r="Q1639" s="23" t="e">
        <f>_xlfn.XLOOKUP(Tabla1[[#This Row],[Ean Normalizado]],Consumos!A:A,Consumos!E:E)</f>
        <v>#VALUE!</v>
      </c>
      <c r="R1639" s="22" t="e">
        <f>_xlfn.XLOOKUP(Tabla1[[#This Row],[Ean Normalizado]],tabla_consumos[EAN],tabla_consumos[UM])</f>
        <v>#VALUE!</v>
      </c>
      <c r="S1639" s="22" t="e">
        <f>Tabla1[[#This Row],[StockDisp]]*Tabla1[[#This Row],[UM producto]]</f>
        <v>#VALUE!</v>
      </c>
    </row>
    <row r="1640" spans="1:19" x14ac:dyDescent="0.35">
      <c r="A1640" s="5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6"/>
      <c r="P1640" s="23" t="e">
        <f>TRIM(Tabla1[[#This Row],[Articulo]])</f>
        <v>#VALUE!</v>
      </c>
      <c r="Q1640" s="23" t="e">
        <f>_xlfn.XLOOKUP(Tabla1[[#This Row],[Ean Normalizado]],Consumos!A:A,Consumos!E:E)</f>
        <v>#VALUE!</v>
      </c>
      <c r="R1640" s="22" t="e">
        <f>_xlfn.XLOOKUP(Tabla1[[#This Row],[Ean Normalizado]],tabla_consumos[EAN],tabla_consumos[UM])</f>
        <v>#VALUE!</v>
      </c>
      <c r="S1640" s="22" t="e">
        <f>Tabla1[[#This Row],[StockDisp]]*Tabla1[[#This Row],[UM producto]]</f>
        <v>#VALUE!</v>
      </c>
    </row>
    <row r="1641" spans="1:19" x14ac:dyDescent="0.35">
      <c r="A1641" s="5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6"/>
      <c r="P1641" s="23" t="e">
        <f>TRIM(Tabla1[[#This Row],[Articulo]])</f>
        <v>#VALUE!</v>
      </c>
      <c r="Q1641" s="23" t="e">
        <f>_xlfn.XLOOKUP(Tabla1[[#This Row],[Ean Normalizado]],Consumos!A:A,Consumos!E:E)</f>
        <v>#VALUE!</v>
      </c>
      <c r="R1641" s="22" t="e">
        <f>_xlfn.XLOOKUP(Tabla1[[#This Row],[Ean Normalizado]],tabla_consumos[EAN],tabla_consumos[UM])</f>
        <v>#VALUE!</v>
      </c>
      <c r="S1641" s="22" t="e">
        <f>Tabla1[[#This Row],[StockDisp]]*Tabla1[[#This Row],[UM producto]]</f>
        <v>#VALUE!</v>
      </c>
    </row>
    <row r="1642" spans="1:19" x14ac:dyDescent="0.35">
      <c r="A1642" s="5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6"/>
      <c r="P1642" s="23" t="e">
        <f>TRIM(Tabla1[[#This Row],[Articulo]])</f>
        <v>#VALUE!</v>
      </c>
      <c r="Q1642" s="23" t="e">
        <f>_xlfn.XLOOKUP(Tabla1[[#This Row],[Ean Normalizado]],Consumos!A:A,Consumos!E:E)</f>
        <v>#VALUE!</v>
      </c>
      <c r="R1642" s="22" t="e">
        <f>_xlfn.XLOOKUP(Tabla1[[#This Row],[Ean Normalizado]],tabla_consumos[EAN],tabla_consumos[UM])</f>
        <v>#VALUE!</v>
      </c>
      <c r="S1642" s="22" t="e">
        <f>Tabla1[[#This Row],[StockDisp]]*Tabla1[[#This Row],[UM producto]]</f>
        <v>#VALUE!</v>
      </c>
    </row>
    <row r="1643" spans="1:19" x14ac:dyDescent="0.35">
      <c r="A1643" s="5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6"/>
      <c r="P1643" s="23" t="e">
        <f>TRIM(Tabla1[[#This Row],[Articulo]])</f>
        <v>#VALUE!</v>
      </c>
      <c r="Q1643" s="23" t="e">
        <f>_xlfn.XLOOKUP(Tabla1[[#This Row],[Ean Normalizado]],Consumos!A:A,Consumos!E:E)</f>
        <v>#VALUE!</v>
      </c>
      <c r="R1643" s="22" t="e">
        <f>_xlfn.XLOOKUP(Tabla1[[#This Row],[Ean Normalizado]],tabla_consumos[EAN],tabla_consumos[UM])</f>
        <v>#VALUE!</v>
      </c>
      <c r="S1643" s="22" t="e">
        <f>Tabla1[[#This Row],[StockDisp]]*Tabla1[[#This Row],[UM producto]]</f>
        <v>#VALUE!</v>
      </c>
    </row>
    <row r="1644" spans="1:19" x14ac:dyDescent="0.35">
      <c r="A1644" s="5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6"/>
      <c r="P1644" s="23" t="e">
        <f>TRIM(Tabla1[[#This Row],[Articulo]])</f>
        <v>#VALUE!</v>
      </c>
      <c r="Q1644" s="23" t="e">
        <f>_xlfn.XLOOKUP(Tabla1[[#This Row],[Ean Normalizado]],Consumos!A:A,Consumos!E:E)</f>
        <v>#VALUE!</v>
      </c>
      <c r="R1644" s="22" t="e">
        <f>_xlfn.XLOOKUP(Tabla1[[#This Row],[Ean Normalizado]],tabla_consumos[EAN],tabla_consumos[UM])</f>
        <v>#VALUE!</v>
      </c>
      <c r="S1644" s="22" t="e">
        <f>Tabla1[[#This Row],[StockDisp]]*Tabla1[[#This Row],[UM producto]]</f>
        <v>#VALUE!</v>
      </c>
    </row>
    <row r="1645" spans="1:19" x14ac:dyDescent="0.35">
      <c r="A1645" s="5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6"/>
      <c r="P1645" s="23" t="e">
        <f>TRIM(Tabla1[[#This Row],[Articulo]])</f>
        <v>#VALUE!</v>
      </c>
      <c r="Q1645" s="23" t="e">
        <f>_xlfn.XLOOKUP(Tabla1[[#This Row],[Ean Normalizado]],Consumos!A:A,Consumos!E:E)</f>
        <v>#VALUE!</v>
      </c>
      <c r="R1645" s="22" t="e">
        <f>_xlfn.XLOOKUP(Tabla1[[#This Row],[Ean Normalizado]],tabla_consumos[EAN],tabla_consumos[UM])</f>
        <v>#VALUE!</v>
      </c>
      <c r="S1645" s="22" t="e">
        <f>Tabla1[[#This Row],[StockDisp]]*Tabla1[[#This Row],[UM producto]]</f>
        <v>#VALUE!</v>
      </c>
    </row>
    <row r="1646" spans="1:19" x14ac:dyDescent="0.35">
      <c r="A1646" s="5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6"/>
      <c r="P1646" s="23" t="e">
        <f>TRIM(Tabla1[[#This Row],[Articulo]])</f>
        <v>#VALUE!</v>
      </c>
      <c r="Q1646" s="23" t="e">
        <f>_xlfn.XLOOKUP(Tabla1[[#This Row],[Ean Normalizado]],Consumos!A:A,Consumos!E:E)</f>
        <v>#VALUE!</v>
      </c>
      <c r="R1646" s="22" t="e">
        <f>_xlfn.XLOOKUP(Tabla1[[#This Row],[Ean Normalizado]],tabla_consumos[EAN],tabla_consumos[UM])</f>
        <v>#VALUE!</v>
      </c>
      <c r="S1646" s="22" t="e">
        <f>Tabla1[[#This Row],[StockDisp]]*Tabla1[[#This Row],[UM producto]]</f>
        <v>#VALUE!</v>
      </c>
    </row>
    <row r="1647" spans="1:19" x14ac:dyDescent="0.35">
      <c r="A1647" s="5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6"/>
      <c r="P1647" s="23" t="e">
        <f>TRIM(Tabla1[[#This Row],[Articulo]])</f>
        <v>#VALUE!</v>
      </c>
      <c r="Q1647" s="23" t="e">
        <f>_xlfn.XLOOKUP(Tabla1[[#This Row],[Ean Normalizado]],Consumos!A:A,Consumos!E:E)</f>
        <v>#VALUE!</v>
      </c>
      <c r="R1647" s="22" t="e">
        <f>_xlfn.XLOOKUP(Tabla1[[#This Row],[Ean Normalizado]],tabla_consumos[EAN],tabla_consumos[UM])</f>
        <v>#VALUE!</v>
      </c>
      <c r="S1647" s="22" t="e">
        <f>Tabla1[[#This Row],[StockDisp]]*Tabla1[[#This Row],[UM producto]]</f>
        <v>#VALUE!</v>
      </c>
    </row>
    <row r="1648" spans="1:19" x14ac:dyDescent="0.35">
      <c r="A1648" s="5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6"/>
      <c r="P1648" s="23" t="e">
        <f>TRIM(Tabla1[[#This Row],[Articulo]])</f>
        <v>#VALUE!</v>
      </c>
      <c r="Q1648" s="23" t="e">
        <f>_xlfn.XLOOKUP(Tabla1[[#This Row],[Ean Normalizado]],Consumos!A:A,Consumos!E:E)</f>
        <v>#VALUE!</v>
      </c>
      <c r="R1648" s="22" t="e">
        <f>_xlfn.XLOOKUP(Tabla1[[#This Row],[Ean Normalizado]],tabla_consumos[EAN],tabla_consumos[UM])</f>
        <v>#VALUE!</v>
      </c>
      <c r="S1648" s="22" t="e">
        <f>Tabla1[[#This Row],[StockDisp]]*Tabla1[[#This Row],[UM producto]]</f>
        <v>#VALUE!</v>
      </c>
    </row>
    <row r="1649" spans="1:19" x14ac:dyDescent="0.35">
      <c r="A1649" s="5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6"/>
      <c r="P1649" s="23" t="e">
        <f>TRIM(Tabla1[[#This Row],[Articulo]])</f>
        <v>#VALUE!</v>
      </c>
      <c r="Q1649" s="23" t="e">
        <f>_xlfn.XLOOKUP(Tabla1[[#This Row],[Ean Normalizado]],Consumos!A:A,Consumos!E:E)</f>
        <v>#VALUE!</v>
      </c>
      <c r="R1649" s="22" t="e">
        <f>_xlfn.XLOOKUP(Tabla1[[#This Row],[Ean Normalizado]],tabla_consumos[EAN],tabla_consumos[UM])</f>
        <v>#VALUE!</v>
      </c>
      <c r="S1649" s="22" t="e">
        <f>Tabla1[[#This Row],[StockDisp]]*Tabla1[[#This Row],[UM producto]]</f>
        <v>#VALUE!</v>
      </c>
    </row>
    <row r="1650" spans="1:19" x14ac:dyDescent="0.35">
      <c r="A1650" s="5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6"/>
      <c r="P1650" s="23" t="e">
        <f>TRIM(Tabla1[[#This Row],[Articulo]])</f>
        <v>#VALUE!</v>
      </c>
      <c r="Q1650" s="23" t="e">
        <f>_xlfn.XLOOKUP(Tabla1[[#This Row],[Ean Normalizado]],Consumos!A:A,Consumos!E:E)</f>
        <v>#VALUE!</v>
      </c>
      <c r="R1650" s="22" t="e">
        <f>_xlfn.XLOOKUP(Tabla1[[#This Row],[Ean Normalizado]],tabla_consumos[EAN],tabla_consumos[UM])</f>
        <v>#VALUE!</v>
      </c>
      <c r="S1650" s="22" t="e">
        <f>Tabla1[[#This Row],[StockDisp]]*Tabla1[[#This Row],[UM producto]]</f>
        <v>#VALUE!</v>
      </c>
    </row>
    <row r="1651" spans="1:19" x14ac:dyDescent="0.35">
      <c r="A1651" s="5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6"/>
      <c r="P1651" s="23" t="e">
        <f>TRIM(Tabla1[[#This Row],[Articulo]])</f>
        <v>#VALUE!</v>
      </c>
      <c r="Q1651" s="23" t="e">
        <f>_xlfn.XLOOKUP(Tabla1[[#This Row],[Ean Normalizado]],Consumos!A:A,Consumos!E:E)</f>
        <v>#VALUE!</v>
      </c>
      <c r="R1651" s="22" t="e">
        <f>_xlfn.XLOOKUP(Tabla1[[#This Row],[Ean Normalizado]],tabla_consumos[EAN],tabla_consumos[UM])</f>
        <v>#VALUE!</v>
      </c>
      <c r="S1651" s="22" t="e">
        <f>Tabla1[[#This Row],[StockDisp]]*Tabla1[[#This Row],[UM producto]]</f>
        <v>#VALUE!</v>
      </c>
    </row>
    <row r="1652" spans="1:19" x14ac:dyDescent="0.35">
      <c r="A1652" s="5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6"/>
      <c r="P1652" s="23" t="e">
        <f>TRIM(Tabla1[[#This Row],[Articulo]])</f>
        <v>#VALUE!</v>
      </c>
      <c r="Q1652" s="23" t="e">
        <f>_xlfn.XLOOKUP(Tabla1[[#This Row],[Ean Normalizado]],Consumos!A:A,Consumos!E:E)</f>
        <v>#VALUE!</v>
      </c>
      <c r="R1652" s="22" t="e">
        <f>_xlfn.XLOOKUP(Tabla1[[#This Row],[Ean Normalizado]],tabla_consumos[EAN],tabla_consumos[UM])</f>
        <v>#VALUE!</v>
      </c>
      <c r="S1652" s="22" t="e">
        <f>Tabla1[[#This Row],[StockDisp]]*Tabla1[[#This Row],[UM producto]]</f>
        <v>#VALUE!</v>
      </c>
    </row>
    <row r="1653" spans="1:19" x14ac:dyDescent="0.35">
      <c r="A1653" s="5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6"/>
      <c r="P1653" s="23" t="e">
        <f>TRIM(Tabla1[[#This Row],[Articulo]])</f>
        <v>#VALUE!</v>
      </c>
      <c r="Q1653" s="23" t="e">
        <f>_xlfn.XLOOKUP(Tabla1[[#This Row],[Ean Normalizado]],Consumos!A:A,Consumos!E:E)</f>
        <v>#VALUE!</v>
      </c>
      <c r="R1653" s="22" t="e">
        <f>_xlfn.XLOOKUP(Tabla1[[#This Row],[Ean Normalizado]],tabla_consumos[EAN],tabla_consumos[UM])</f>
        <v>#VALUE!</v>
      </c>
      <c r="S1653" s="22" t="e">
        <f>Tabla1[[#This Row],[StockDisp]]*Tabla1[[#This Row],[UM producto]]</f>
        <v>#VALUE!</v>
      </c>
    </row>
    <row r="1654" spans="1:19" x14ac:dyDescent="0.35">
      <c r="A1654" s="5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6"/>
      <c r="P1654" s="23" t="e">
        <f>TRIM(Tabla1[[#This Row],[Articulo]])</f>
        <v>#VALUE!</v>
      </c>
      <c r="Q1654" s="23" t="e">
        <f>_xlfn.XLOOKUP(Tabla1[[#This Row],[Ean Normalizado]],Consumos!A:A,Consumos!E:E)</f>
        <v>#VALUE!</v>
      </c>
      <c r="R1654" s="22" t="e">
        <f>_xlfn.XLOOKUP(Tabla1[[#This Row],[Ean Normalizado]],tabla_consumos[EAN],tabla_consumos[UM])</f>
        <v>#VALUE!</v>
      </c>
      <c r="S1654" s="22" t="e">
        <f>Tabla1[[#This Row],[StockDisp]]*Tabla1[[#This Row],[UM producto]]</f>
        <v>#VALUE!</v>
      </c>
    </row>
    <row r="1655" spans="1:19" x14ac:dyDescent="0.35">
      <c r="A1655" s="5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6"/>
      <c r="P1655" s="23" t="e">
        <f>TRIM(Tabla1[[#This Row],[Articulo]])</f>
        <v>#VALUE!</v>
      </c>
      <c r="Q1655" s="23" t="e">
        <f>_xlfn.XLOOKUP(Tabla1[[#This Row],[Ean Normalizado]],Consumos!A:A,Consumos!E:E)</f>
        <v>#VALUE!</v>
      </c>
      <c r="R1655" s="22" t="e">
        <f>_xlfn.XLOOKUP(Tabla1[[#This Row],[Ean Normalizado]],tabla_consumos[EAN],tabla_consumos[UM])</f>
        <v>#VALUE!</v>
      </c>
      <c r="S1655" s="22" t="e">
        <f>Tabla1[[#This Row],[StockDisp]]*Tabla1[[#This Row],[UM producto]]</f>
        <v>#VALUE!</v>
      </c>
    </row>
    <row r="1656" spans="1:19" x14ac:dyDescent="0.35">
      <c r="A1656" s="5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6"/>
      <c r="P1656" s="23" t="e">
        <f>TRIM(Tabla1[[#This Row],[Articulo]])</f>
        <v>#VALUE!</v>
      </c>
      <c r="Q1656" s="23" t="e">
        <f>_xlfn.XLOOKUP(Tabla1[[#This Row],[Ean Normalizado]],Consumos!A:A,Consumos!E:E)</f>
        <v>#VALUE!</v>
      </c>
      <c r="R1656" s="22" t="e">
        <f>_xlfn.XLOOKUP(Tabla1[[#This Row],[Ean Normalizado]],tabla_consumos[EAN],tabla_consumos[UM])</f>
        <v>#VALUE!</v>
      </c>
      <c r="S1656" s="22" t="e">
        <f>Tabla1[[#This Row],[StockDisp]]*Tabla1[[#This Row],[UM producto]]</f>
        <v>#VALUE!</v>
      </c>
    </row>
    <row r="1657" spans="1:19" x14ac:dyDescent="0.35">
      <c r="A1657" s="5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6"/>
      <c r="P1657" s="23" t="e">
        <f>TRIM(Tabla1[[#This Row],[Articulo]])</f>
        <v>#VALUE!</v>
      </c>
      <c r="Q1657" s="23" t="e">
        <f>_xlfn.XLOOKUP(Tabla1[[#This Row],[Ean Normalizado]],Consumos!A:A,Consumos!E:E)</f>
        <v>#VALUE!</v>
      </c>
      <c r="R1657" s="22" t="e">
        <f>_xlfn.XLOOKUP(Tabla1[[#This Row],[Ean Normalizado]],tabla_consumos[EAN],tabla_consumos[UM])</f>
        <v>#VALUE!</v>
      </c>
      <c r="S1657" s="22" t="e">
        <f>Tabla1[[#This Row],[StockDisp]]*Tabla1[[#This Row],[UM producto]]</f>
        <v>#VALUE!</v>
      </c>
    </row>
    <row r="1658" spans="1:19" x14ac:dyDescent="0.35">
      <c r="A1658" s="5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6"/>
      <c r="P1658" s="23" t="e">
        <f>TRIM(Tabla1[[#This Row],[Articulo]])</f>
        <v>#VALUE!</v>
      </c>
      <c r="Q1658" s="23" t="e">
        <f>_xlfn.XLOOKUP(Tabla1[[#This Row],[Ean Normalizado]],Consumos!A:A,Consumos!E:E)</f>
        <v>#VALUE!</v>
      </c>
      <c r="R1658" s="22" t="e">
        <f>_xlfn.XLOOKUP(Tabla1[[#This Row],[Ean Normalizado]],tabla_consumos[EAN],tabla_consumos[UM])</f>
        <v>#VALUE!</v>
      </c>
      <c r="S1658" s="22" t="e">
        <f>Tabla1[[#This Row],[StockDisp]]*Tabla1[[#This Row],[UM producto]]</f>
        <v>#VALUE!</v>
      </c>
    </row>
    <row r="1659" spans="1:19" x14ac:dyDescent="0.35">
      <c r="A1659" s="5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6"/>
      <c r="P1659" s="23" t="e">
        <f>TRIM(Tabla1[[#This Row],[Articulo]])</f>
        <v>#VALUE!</v>
      </c>
      <c r="Q1659" s="23" t="e">
        <f>_xlfn.XLOOKUP(Tabla1[[#This Row],[Ean Normalizado]],Consumos!A:A,Consumos!E:E)</f>
        <v>#VALUE!</v>
      </c>
      <c r="R1659" s="22" t="e">
        <f>_xlfn.XLOOKUP(Tabla1[[#This Row],[Ean Normalizado]],tabla_consumos[EAN],tabla_consumos[UM])</f>
        <v>#VALUE!</v>
      </c>
      <c r="S1659" s="22" t="e">
        <f>Tabla1[[#This Row],[StockDisp]]*Tabla1[[#This Row],[UM producto]]</f>
        <v>#VALUE!</v>
      </c>
    </row>
    <row r="1660" spans="1:19" x14ac:dyDescent="0.35">
      <c r="A1660" s="5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6"/>
      <c r="P1660" s="23" t="e">
        <f>TRIM(Tabla1[[#This Row],[Articulo]])</f>
        <v>#VALUE!</v>
      </c>
      <c r="Q1660" s="23" t="e">
        <f>_xlfn.XLOOKUP(Tabla1[[#This Row],[Ean Normalizado]],Consumos!A:A,Consumos!E:E)</f>
        <v>#VALUE!</v>
      </c>
      <c r="R1660" s="22" t="e">
        <f>_xlfn.XLOOKUP(Tabla1[[#This Row],[Ean Normalizado]],tabla_consumos[EAN],tabla_consumos[UM])</f>
        <v>#VALUE!</v>
      </c>
      <c r="S1660" s="22" t="e">
        <f>Tabla1[[#This Row],[StockDisp]]*Tabla1[[#This Row],[UM producto]]</f>
        <v>#VALUE!</v>
      </c>
    </row>
    <row r="1661" spans="1:19" x14ac:dyDescent="0.35">
      <c r="A1661" s="5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6"/>
      <c r="P1661" s="23" t="e">
        <f>TRIM(Tabla1[[#This Row],[Articulo]])</f>
        <v>#VALUE!</v>
      </c>
      <c r="Q1661" s="23" t="e">
        <f>_xlfn.XLOOKUP(Tabla1[[#This Row],[Ean Normalizado]],Consumos!A:A,Consumos!E:E)</f>
        <v>#VALUE!</v>
      </c>
      <c r="R1661" s="22" t="e">
        <f>_xlfn.XLOOKUP(Tabla1[[#This Row],[Ean Normalizado]],tabla_consumos[EAN],tabla_consumos[UM])</f>
        <v>#VALUE!</v>
      </c>
      <c r="S1661" s="22" t="e">
        <f>Tabla1[[#This Row],[StockDisp]]*Tabla1[[#This Row],[UM producto]]</f>
        <v>#VALUE!</v>
      </c>
    </row>
    <row r="1662" spans="1:19" x14ac:dyDescent="0.35">
      <c r="A1662" s="5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6"/>
      <c r="P1662" s="23" t="e">
        <f>TRIM(Tabla1[[#This Row],[Articulo]])</f>
        <v>#VALUE!</v>
      </c>
      <c r="Q1662" s="23" t="e">
        <f>_xlfn.XLOOKUP(Tabla1[[#This Row],[Ean Normalizado]],Consumos!A:A,Consumos!E:E)</f>
        <v>#VALUE!</v>
      </c>
      <c r="R1662" s="22" t="e">
        <f>_xlfn.XLOOKUP(Tabla1[[#This Row],[Ean Normalizado]],tabla_consumos[EAN],tabla_consumos[UM])</f>
        <v>#VALUE!</v>
      </c>
      <c r="S1662" s="22" t="e">
        <f>Tabla1[[#This Row],[StockDisp]]*Tabla1[[#This Row],[UM producto]]</f>
        <v>#VALUE!</v>
      </c>
    </row>
    <row r="1663" spans="1:19" x14ac:dyDescent="0.35">
      <c r="A1663" s="5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6"/>
      <c r="P1663" s="23" t="e">
        <f>TRIM(Tabla1[[#This Row],[Articulo]])</f>
        <v>#VALUE!</v>
      </c>
      <c r="Q1663" s="23" t="e">
        <f>_xlfn.XLOOKUP(Tabla1[[#This Row],[Ean Normalizado]],Consumos!A:A,Consumos!E:E)</f>
        <v>#VALUE!</v>
      </c>
      <c r="R1663" s="22" t="e">
        <f>_xlfn.XLOOKUP(Tabla1[[#This Row],[Ean Normalizado]],tabla_consumos[EAN],tabla_consumos[UM])</f>
        <v>#VALUE!</v>
      </c>
      <c r="S1663" s="22" t="e">
        <f>Tabla1[[#This Row],[StockDisp]]*Tabla1[[#This Row],[UM producto]]</f>
        <v>#VALUE!</v>
      </c>
    </row>
    <row r="1664" spans="1:19" x14ac:dyDescent="0.35">
      <c r="A1664" s="5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6"/>
      <c r="P1664" s="23" t="e">
        <f>TRIM(Tabla1[[#This Row],[Articulo]])</f>
        <v>#VALUE!</v>
      </c>
      <c r="Q1664" s="23" t="e">
        <f>_xlfn.XLOOKUP(Tabla1[[#This Row],[Ean Normalizado]],Consumos!A:A,Consumos!E:E)</f>
        <v>#VALUE!</v>
      </c>
      <c r="R1664" s="22" t="e">
        <f>_xlfn.XLOOKUP(Tabla1[[#This Row],[Ean Normalizado]],tabla_consumos[EAN],tabla_consumos[UM])</f>
        <v>#VALUE!</v>
      </c>
      <c r="S1664" s="22" t="e">
        <f>Tabla1[[#This Row],[StockDisp]]*Tabla1[[#This Row],[UM producto]]</f>
        <v>#VALUE!</v>
      </c>
    </row>
    <row r="1665" spans="1:19" x14ac:dyDescent="0.35">
      <c r="A1665" s="5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6"/>
      <c r="P1665" s="23" t="e">
        <f>TRIM(Tabla1[[#This Row],[Articulo]])</f>
        <v>#VALUE!</v>
      </c>
      <c r="Q1665" s="23" t="e">
        <f>_xlfn.XLOOKUP(Tabla1[[#This Row],[Ean Normalizado]],Consumos!A:A,Consumos!E:E)</f>
        <v>#VALUE!</v>
      </c>
      <c r="R1665" s="22" t="e">
        <f>_xlfn.XLOOKUP(Tabla1[[#This Row],[Ean Normalizado]],tabla_consumos[EAN],tabla_consumos[UM])</f>
        <v>#VALUE!</v>
      </c>
      <c r="S1665" s="22" t="e">
        <f>Tabla1[[#This Row],[StockDisp]]*Tabla1[[#This Row],[UM producto]]</f>
        <v>#VALUE!</v>
      </c>
    </row>
    <row r="1666" spans="1:19" x14ac:dyDescent="0.35">
      <c r="A1666" s="5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6"/>
      <c r="P1666" s="23" t="e">
        <f>TRIM(Tabla1[[#This Row],[Articulo]])</f>
        <v>#VALUE!</v>
      </c>
      <c r="Q1666" s="23" t="e">
        <f>_xlfn.XLOOKUP(Tabla1[[#This Row],[Ean Normalizado]],Consumos!A:A,Consumos!E:E)</f>
        <v>#VALUE!</v>
      </c>
      <c r="R1666" s="22" t="e">
        <f>_xlfn.XLOOKUP(Tabla1[[#This Row],[Ean Normalizado]],tabla_consumos[EAN],tabla_consumos[UM])</f>
        <v>#VALUE!</v>
      </c>
      <c r="S1666" s="22" t="e">
        <f>Tabla1[[#This Row],[StockDisp]]*Tabla1[[#This Row],[UM producto]]</f>
        <v>#VALUE!</v>
      </c>
    </row>
    <row r="1667" spans="1:19" x14ac:dyDescent="0.35">
      <c r="A1667" s="5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6"/>
      <c r="P1667" s="23" t="e">
        <f>TRIM(Tabla1[[#This Row],[Articulo]])</f>
        <v>#VALUE!</v>
      </c>
      <c r="Q1667" s="23" t="e">
        <f>_xlfn.XLOOKUP(Tabla1[[#This Row],[Ean Normalizado]],Consumos!A:A,Consumos!E:E)</f>
        <v>#VALUE!</v>
      </c>
      <c r="R1667" s="22" t="e">
        <f>_xlfn.XLOOKUP(Tabla1[[#This Row],[Ean Normalizado]],tabla_consumos[EAN],tabla_consumos[UM])</f>
        <v>#VALUE!</v>
      </c>
      <c r="S1667" s="22" t="e">
        <f>Tabla1[[#This Row],[StockDisp]]*Tabla1[[#This Row],[UM producto]]</f>
        <v>#VALUE!</v>
      </c>
    </row>
    <row r="1668" spans="1:19" x14ac:dyDescent="0.35">
      <c r="A1668" s="5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6"/>
      <c r="P1668" s="23" t="e">
        <f>TRIM(Tabla1[[#This Row],[Articulo]])</f>
        <v>#VALUE!</v>
      </c>
      <c r="Q1668" s="23" t="e">
        <f>_xlfn.XLOOKUP(Tabla1[[#This Row],[Ean Normalizado]],Consumos!A:A,Consumos!E:E)</f>
        <v>#VALUE!</v>
      </c>
      <c r="R1668" s="22" t="e">
        <f>_xlfn.XLOOKUP(Tabla1[[#This Row],[Ean Normalizado]],tabla_consumos[EAN],tabla_consumos[UM])</f>
        <v>#VALUE!</v>
      </c>
      <c r="S1668" s="22" t="e">
        <f>Tabla1[[#This Row],[StockDisp]]*Tabla1[[#This Row],[UM producto]]</f>
        <v>#VALUE!</v>
      </c>
    </row>
    <row r="1669" spans="1:19" x14ac:dyDescent="0.35">
      <c r="A1669" s="5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6"/>
      <c r="P1669" s="23" t="e">
        <f>TRIM(Tabla1[[#This Row],[Articulo]])</f>
        <v>#VALUE!</v>
      </c>
      <c r="Q1669" s="23" t="e">
        <f>_xlfn.XLOOKUP(Tabla1[[#This Row],[Ean Normalizado]],Consumos!A:A,Consumos!E:E)</f>
        <v>#VALUE!</v>
      </c>
      <c r="R1669" s="22" t="e">
        <f>_xlfn.XLOOKUP(Tabla1[[#This Row],[Ean Normalizado]],tabla_consumos[EAN],tabla_consumos[UM])</f>
        <v>#VALUE!</v>
      </c>
      <c r="S1669" s="22" t="e">
        <f>Tabla1[[#This Row],[StockDisp]]*Tabla1[[#This Row],[UM producto]]</f>
        <v>#VALUE!</v>
      </c>
    </row>
    <row r="1670" spans="1:19" x14ac:dyDescent="0.35">
      <c r="A1670" s="5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6"/>
      <c r="P1670" s="23" t="e">
        <f>TRIM(Tabla1[[#This Row],[Articulo]])</f>
        <v>#VALUE!</v>
      </c>
      <c r="Q1670" s="23" t="e">
        <f>_xlfn.XLOOKUP(Tabla1[[#This Row],[Ean Normalizado]],Consumos!A:A,Consumos!E:E)</f>
        <v>#VALUE!</v>
      </c>
      <c r="R1670" s="22" t="e">
        <f>_xlfn.XLOOKUP(Tabla1[[#This Row],[Ean Normalizado]],tabla_consumos[EAN],tabla_consumos[UM])</f>
        <v>#VALUE!</v>
      </c>
      <c r="S1670" s="22" t="e">
        <f>Tabla1[[#This Row],[StockDisp]]*Tabla1[[#This Row],[UM producto]]</f>
        <v>#VALUE!</v>
      </c>
    </row>
    <row r="1671" spans="1:19" x14ac:dyDescent="0.35">
      <c r="A1671" s="5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6"/>
      <c r="P1671" s="23" t="e">
        <f>TRIM(Tabla1[[#This Row],[Articulo]])</f>
        <v>#VALUE!</v>
      </c>
      <c r="Q1671" s="23" t="e">
        <f>_xlfn.XLOOKUP(Tabla1[[#This Row],[Ean Normalizado]],Consumos!A:A,Consumos!E:E)</f>
        <v>#VALUE!</v>
      </c>
      <c r="R1671" s="22" t="e">
        <f>_xlfn.XLOOKUP(Tabla1[[#This Row],[Ean Normalizado]],tabla_consumos[EAN],tabla_consumos[UM])</f>
        <v>#VALUE!</v>
      </c>
      <c r="S1671" s="22" t="e">
        <f>Tabla1[[#This Row],[StockDisp]]*Tabla1[[#This Row],[UM producto]]</f>
        <v>#VALUE!</v>
      </c>
    </row>
    <row r="1672" spans="1:19" x14ac:dyDescent="0.35">
      <c r="A1672" s="5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6"/>
      <c r="P1672" s="23" t="e">
        <f>TRIM(Tabla1[[#This Row],[Articulo]])</f>
        <v>#VALUE!</v>
      </c>
      <c r="Q1672" s="23" t="e">
        <f>_xlfn.XLOOKUP(Tabla1[[#This Row],[Ean Normalizado]],Consumos!A:A,Consumos!E:E)</f>
        <v>#VALUE!</v>
      </c>
      <c r="R1672" s="22" t="e">
        <f>_xlfn.XLOOKUP(Tabla1[[#This Row],[Ean Normalizado]],tabla_consumos[EAN],tabla_consumos[UM])</f>
        <v>#VALUE!</v>
      </c>
      <c r="S1672" s="22" t="e">
        <f>Tabla1[[#This Row],[StockDisp]]*Tabla1[[#This Row],[UM producto]]</f>
        <v>#VALUE!</v>
      </c>
    </row>
    <row r="1673" spans="1:19" x14ac:dyDescent="0.35">
      <c r="A1673" s="5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6"/>
      <c r="P1673" s="23" t="e">
        <f>TRIM(Tabla1[[#This Row],[Articulo]])</f>
        <v>#VALUE!</v>
      </c>
      <c r="Q1673" s="23" t="e">
        <f>_xlfn.XLOOKUP(Tabla1[[#This Row],[Ean Normalizado]],Consumos!A:A,Consumos!E:E)</f>
        <v>#VALUE!</v>
      </c>
      <c r="R1673" s="22" t="e">
        <f>_xlfn.XLOOKUP(Tabla1[[#This Row],[Ean Normalizado]],tabla_consumos[EAN],tabla_consumos[UM])</f>
        <v>#VALUE!</v>
      </c>
      <c r="S1673" s="22" t="e">
        <f>Tabla1[[#This Row],[StockDisp]]*Tabla1[[#This Row],[UM producto]]</f>
        <v>#VALUE!</v>
      </c>
    </row>
    <row r="1674" spans="1:19" x14ac:dyDescent="0.35">
      <c r="A1674" s="5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6"/>
      <c r="P1674" s="23" t="e">
        <f>TRIM(Tabla1[[#This Row],[Articulo]])</f>
        <v>#VALUE!</v>
      </c>
      <c r="Q1674" s="23" t="e">
        <f>_xlfn.XLOOKUP(Tabla1[[#This Row],[Ean Normalizado]],Consumos!A:A,Consumos!E:E)</f>
        <v>#VALUE!</v>
      </c>
      <c r="R1674" s="22" t="e">
        <f>_xlfn.XLOOKUP(Tabla1[[#This Row],[Ean Normalizado]],tabla_consumos[EAN],tabla_consumos[UM])</f>
        <v>#VALUE!</v>
      </c>
      <c r="S1674" s="22" t="e">
        <f>Tabla1[[#This Row],[StockDisp]]*Tabla1[[#This Row],[UM producto]]</f>
        <v>#VALUE!</v>
      </c>
    </row>
    <row r="1675" spans="1:19" x14ac:dyDescent="0.35">
      <c r="A1675" s="5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6"/>
      <c r="P1675" s="23" t="e">
        <f>TRIM(Tabla1[[#This Row],[Articulo]])</f>
        <v>#VALUE!</v>
      </c>
      <c r="Q1675" s="23" t="e">
        <f>_xlfn.XLOOKUP(Tabla1[[#This Row],[Ean Normalizado]],Consumos!A:A,Consumos!E:E)</f>
        <v>#VALUE!</v>
      </c>
      <c r="R1675" s="22" t="e">
        <f>_xlfn.XLOOKUP(Tabla1[[#This Row],[Ean Normalizado]],tabla_consumos[EAN],tabla_consumos[UM])</f>
        <v>#VALUE!</v>
      </c>
      <c r="S1675" s="22" t="e">
        <f>Tabla1[[#This Row],[StockDisp]]*Tabla1[[#This Row],[UM producto]]</f>
        <v>#VALUE!</v>
      </c>
    </row>
    <row r="1676" spans="1:19" x14ac:dyDescent="0.35">
      <c r="A1676" s="5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6"/>
      <c r="P1676" s="23" t="e">
        <f>TRIM(Tabla1[[#This Row],[Articulo]])</f>
        <v>#VALUE!</v>
      </c>
      <c r="Q1676" s="23" t="e">
        <f>_xlfn.XLOOKUP(Tabla1[[#This Row],[Ean Normalizado]],Consumos!A:A,Consumos!E:E)</f>
        <v>#VALUE!</v>
      </c>
      <c r="R1676" s="22" t="e">
        <f>_xlfn.XLOOKUP(Tabla1[[#This Row],[Ean Normalizado]],tabla_consumos[EAN],tabla_consumos[UM])</f>
        <v>#VALUE!</v>
      </c>
      <c r="S1676" s="22" t="e">
        <f>Tabla1[[#This Row],[StockDisp]]*Tabla1[[#This Row],[UM producto]]</f>
        <v>#VALUE!</v>
      </c>
    </row>
    <row r="1677" spans="1:19" x14ac:dyDescent="0.35">
      <c r="A1677" s="5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6"/>
      <c r="P1677" s="23" t="e">
        <f>TRIM(Tabla1[[#This Row],[Articulo]])</f>
        <v>#VALUE!</v>
      </c>
      <c r="Q1677" s="23" t="e">
        <f>_xlfn.XLOOKUP(Tabla1[[#This Row],[Ean Normalizado]],Consumos!A:A,Consumos!E:E)</f>
        <v>#VALUE!</v>
      </c>
      <c r="R1677" s="22" t="e">
        <f>_xlfn.XLOOKUP(Tabla1[[#This Row],[Ean Normalizado]],tabla_consumos[EAN],tabla_consumos[UM])</f>
        <v>#VALUE!</v>
      </c>
      <c r="S1677" s="22" t="e">
        <f>Tabla1[[#This Row],[StockDisp]]*Tabla1[[#This Row],[UM producto]]</f>
        <v>#VALUE!</v>
      </c>
    </row>
    <row r="1678" spans="1:19" x14ac:dyDescent="0.35">
      <c r="A1678" s="5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6"/>
      <c r="P1678" s="23" t="e">
        <f>TRIM(Tabla1[[#This Row],[Articulo]])</f>
        <v>#VALUE!</v>
      </c>
      <c r="Q1678" s="23" t="e">
        <f>_xlfn.XLOOKUP(Tabla1[[#This Row],[Ean Normalizado]],Consumos!A:A,Consumos!E:E)</f>
        <v>#VALUE!</v>
      </c>
      <c r="R1678" s="22" t="e">
        <f>_xlfn.XLOOKUP(Tabla1[[#This Row],[Ean Normalizado]],tabla_consumos[EAN],tabla_consumos[UM])</f>
        <v>#VALUE!</v>
      </c>
      <c r="S1678" s="22" t="e">
        <f>Tabla1[[#This Row],[StockDisp]]*Tabla1[[#This Row],[UM producto]]</f>
        <v>#VALUE!</v>
      </c>
    </row>
    <row r="1679" spans="1:19" x14ac:dyDescent="0.35">
      <c r="A1679" s="5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6"/>
      <c r="P1679" s="23" t="e">
        <f>TRIM(Tabla1[[#This Row],[Articulo]])</f>
        <v>#VALUE!</v>
      </c>
      <c r="Q1679" s="23" t="e">
        <f>_xlfn.XLOOKUP(Tabla1[[#This Row],[Ean Normalizado]],Consumos!A:A,Consumos!E:E)</f>
        <v>#VALUE!</v>
      </c>
      <c r="R1679" s="22" t="e">
        <f>_xlfn.XLOOKUP(Tabla1[[#This Row],[Ean Normalizado]],tabla_consumos[EAN],tabla_consumos[UM])</f>
        <v>#VALUE!</v>
      </c>
      <c r="S1679" s="22" t="e">
        <f>Tabla1[[#This Row],[StockDisp]]*Tabla1[[#This Row],[UM producto]]</f>
        <v>#VALUE!</v>
      </c>
    </row>
    <row r="1680" spans="1:19" x14ac:dyDescent="0.35">
      <c r="A1680" s="5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6"/>
      <c r="P1680" s="23" t="e">
        <f>TRIM(Tabla1[[#This Row],[Articulo]])</f>
        <v>#VALUE!</v>
      </c>
      <c r="Q1680" s="23" t="e">
        <f>_xlfn.XLOOKUP(Tabla1[[#This Row],[Ean Normalizado]],Consumos!A:A,Consumos!E:E)</f>
        <v>#VALUE!</v>
      </c>
      <c r="R1680" s="22" t="e">
        <f>_xlfn.XLOOKUP(Tabla1[[#This Row],[Ean Normalizado]],tabla_consumos[EAN],tabla_consumos[UM])</f>
        <v>#VALUE!</v>
      </c>
      <c r="S1680" s="22" t="e">
        <f>Tabla1[[#This Row],[StockDisp]]*Tabla1[[#This Row],[UM producto]]</f>
        <v>#VALUE!</v>
      </c>
    </row>
    <row r="1681" spans="1:19" x14ac:dyDescent="0.35">
      <c r="A1681" s="5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6"/>
      <c r="P1681" s="23" t="e">
        <f>TRIM(Tabla1[[#This Row],[Articulo]])</f>
        <v>#VALUE!</v>
      </c>
      <c r="Q1681" s="23" t="e">
        <f>_xlfn.XLOOKUP(Tabla1[[#This Row],[Ean Normalizado]],Consumos!A:A,Consumos!E:E)</f>
        <v>#VALUE!</v>
      </c>
      <c r="R1681" s="22" t="e">
        <f>_xlfn.XLOOKUP(Tabla1[[#This Row],[Ean Normalizado]],tabla_consumos[EAN],tabla_consumos[UM])</f>
        <v>#VALUE!</v>
      </c>
      <c r="S1681" s="22" t="e">
        <f>Tabla1[[#This Row],[StockDisp]]*Tabla1[[#This Row],[UM producto]]</f>
        <v>#VALUE!</v>
      </c>
    </row>
    <row r="1682" spans="1:19" x14ac:dyDescent="0.35">
      <c r="A1682" s="5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6"/>
      <c r="P1682" s="23" t="e">
        <f>TRIM(Tabla1[[#This Row],[Articulo]])</f>
        <v>#VALUE!</v>
      </c>
      <c r="Q1682" s="23" t="e">
        <f>_xlfn.XLOOKUP(Tabla1[[#This Row],[Ean Normalizado]],Consumos!A:A,Consumos!E:E)</f>
        <v>#VALUE!</v>
      </c>
      <c r="R1682" s="22" t="e">
        <f>_xlfn.XLOOKUP(Tabla1[[#This Row],[Ean Normalizado]],tabla_consumos[EAN],tabla_consumos[UM])</f>
        <v>#VALUE!</v>
      </c>
      <c r="S1682" s="22" t="e">
        <f>Tabla1[[#This Row],[StockDisp]]*Tabla1[[#This Row],[UM producto]]</f>
        <v>#VALUE!</v>
      </c>
    </row>
    <row r="1683" spans="1:19" x14ac:dyDescent="0.35">
      <c r="A1683" s="5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6"/>
      <c r="P1683" s="23" t="e">
        <f>TRIM(Tabla1[[#This Row],[Articulo]])</f>
        <v>#VALUE!</v>
      </c>
      <c r="Q1683" s="23" t="e">
        <f>_xlfn.XLOOKUP(Tabla1[[#This Row],[Ean Normalizado]],Consumos!A:A,Consumos!E:E)</f>
        <v>#VALUE!</v>
      </c>
      <c r="R1683" s="22" t="e">
        <f>_xlfn.XLOOKUP(Tabla1[[#This Row],[Ean Normalizado]],tabla_consumos[EAN],tabla_consumos[UM])</f>
        <v>#VALUE!</v>
      </c>
      <c r="S1683" s="22" t="e">
        <f>Tabla1[[#This Row],[StockDisp]]*Tabla1[[#This Row],[UM producto]]</f>
        <v>#VALUE!</v>
      </c>
    </row>
    <row r="1684" spans="1:19" x14ac:dyDescent="0.35">
      <c r="A1684" s="5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6"/>
      <c r="P1684" s="23" t="e">
        <f>TRIM(Tabla1[[#This Row],[Articulo]])</f>
        <v>#VALUE!</v>
      </c>
      <c r="Q1684" s="23" t="e">
        <f>_xlfn.XLOOKUP(Tabla1[[#This Row],[Ean Normalizado]],Consumos!A:A,Consumos!E:E)</f>
        <v>#VALUE!</v>
      </c>
      <c r="R1684" s="22" t="e">
        <f>_xlfn.XLOOKUP(Tabla1[[#This Row],[Ean Normalizado]],tabla_consumos[EAN],tabla_consumos[UM])</f>
        <v>#VALUE!</v>
      </c>
      <c r="S1684" s="22" t="e">
        <f>Tabla1[[#This Row],[StockDisp]]*Tabla1[[#This Row],[UM producto]]</f>
        <v>#VALUE!</v>
      </c>
    </row>
    <row r="1685" spans="1:19" x14ac:dyDescent="0.35">
      <c r="A1685" s="5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6"/>
      <c r="P1685" s="23" t="e">
        <f>TRIM(Tabla1[[#This Row],[Articulo]])</f>
        <v>#VALUE!</v>
      </c>
      <c r="Q1685" s="23" t="e">
        <f>_xlfn.XLOOKUP(Tabla1[[#This Row],[Ean Normalizado]],Consumos!A:A,Consumos!E:E)</f>
        <v>#VALUE!</v>
      </c>
      <c r="R1685" s="22" t="e">
        <f>_xlfn.XLOOKUP(Tabla1[[#This Row],[Ean Normalizado]],tabla_consumos[EAN],tabla_consumos[UM])</f>
        <v>#VALUE!</v>
      </c>
      <c r="S1685" s="22" t="e">
        <f>Tabla1[[#This Row],[StockDisp]]*Tabla1[[#This Row],[UM producto]]</f>
        <v>#VALUE!</v>
      </c>
    </row>
    <row r="1686" spans="1:19" x14ac:dyDescent="0.35">
      <c r="A1686" s="5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6"/>
      <c r="P1686" s="23" t="e">
        <f>TRIM(Tabla1[[#This Row],[Articulo]])</f>
        <v>#VALUE!</v>
      </c>
      <c r="Q1686" s="23" t="e">
        <f>_xlfn.XLOOKUP(Tabla1[[#This Row],[Ean Normalizado]],Consumos!A:A,Consumos!E:E)</f>
        <v>#VALUE!</v>
      </c>
      <c r="R1686" s="22" t="e">
        <f>_xlfn.XLOOKUP(Tabla1[[#This Row],[Ean Normalizado]],tabla_consumos[EAN],tabla_consumos[UM])</f>
        <v>#VALUE!</v>
      </c>
      <c r="S1686" s="22" t="e">
        <f>Tabla1[[#This Row],[StockDisp]]*Tabla1[[#This Row],[UM producto]]</f>
        <v>#VALUE!</v>
      </c>
    </row>
    <row r="1687" spans="1:19" x14ac:dyDescent="0.35">
      <c r="A1687" s="5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6"/>
      <c r="P1687" s="23" t="e">
        <f>TRIM(Tabla1[[#This Row],[Articulo]])</f>
        <v>#VALUE!</v>
      </c>
      <c r="Q1687" s="23" t="e">
        <f>_xlfn.XLOOKUP(Tabla1[[#This Row],[Ean Normalizado]],Consumos!A:A,Consumos!E:E)</f>
        <v>#VALUE!</v>
      </c>
      <c r="R1687" s="22" t="e">
        <f>_xlfn.XLOOKUP(Tabla1[[#This Row],[Ean Normalizado]],tabla_consumos[EAN],tabla_consumos[UM])</f>
        <v>#VALUE!</v>
      </c>
      <c r="S1687" s="22" t="e">
        <f>Tabla1[[#This Row],[StockDisp]]*Tabla1[[#This Row],[UM producto]]</f>
        <v>#VALUE!</v>
      </c>
    </row>
    <row r="1688" spans="1:19" x14ac:dyDescent="0.35">
      <c r="A1688" s="5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6"/>
      <c r="P1688" s="23" t="e">
        <f>TRIM(Tabla1[[#This Row],[Articulo]])</f>
        <v>#VALUE!</v>
      </c>
      <c r="Q1688" s="23" t="e">
        <f>_xlfn.XLOOKUP(Tabla1[[#This Row],[Ean Normalizado]],Consumos!A:A,Consumos!E:E)</f>
        <v>#VALUE!</v>
      </c>
      <c r="R1688" s="22" t="e">
        <f>_xlfn.XLOOKUP(Tabla1[[#This Row],[Ean Normalizado]],tabla_consumos[EAN],tabla_consumos[UM])</f>
        <v>#VALUE!</v>
      </c>
      <c r="S1688" s="22" t="e">
        <f>Tabla1[[#This Row],[StockDisp]]*Tabla1[[#This Row],[UM producto]]</f>
        <v>#VALUE!</v>
      </c>
    </row>
    <row r="1689" spans="1:19" x14ac:dyDescent="0.35">
      <c r="A1689" s="5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6"/>
      <c r="P1689" s="23" t="e">
        <f>TRIM(Tabla1[[#This Row],[Articulo]])</f>
        <v>#VALUE!</v>
      </c>
      <c r="Q1689" s="23" t="e">
        <f>_xlfn.XLOOKUP(Tabla1[[#This Row],[Ean Normalizado]],Consumos!A:A,Consumos!E:E)</f>
        <v>#VALUE!</v>
      </c>
      <c r="R1689" s="22" t="e">
        <f>_xlfn.XLOOKUP(Tabla1[[#This Row],[Ean Normalizado]],tabla_consumos[EAN],tabla_consumos[UM])</f>
        <v>#VALUE!</v>
      </c>
      <c r="S1689" s="22" t="e">
        <f>Tabla1[[#This Row],[StockDisp]]*Tabla1[[#This Row],[UM producto]]</f>
        <v>#VALUE!</v>
      </c>
    </row>
    <row r="1690" spans="1:19" x14ac:dyDescent="0.35">
      <c r="A1690" s="5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6"/>
      <c r="P1690" s="23" t="e">
        <f>TRIM(Tabla1[[#This Row],[Articulo]])</f>
        <v>#VALUE!</v>
      </c>
      <c r="Q1690" s="23" t="e">
        <f>_xlfn.XLOOKUP(Tabla1[[#This Row],[Ean Normalizado]],Consumos!A:A,Consumos!E:E)</f>
        <v>#VALUE!</v>
      </c>
      <c r="R1690" s="22" t="e">
        <f>_xlfn.XLOOKUP(Tabla1[[#This Row],[Ean Normalizado]],tabla_consumos[EAN],tabla_consumos[UM])</f>
        <v>#VALUE!</v>
      </c>
      <c r="S1690" s="22" t="e">
        <f>Tabla1[[#This Row],[StockDisp]]*Tabla1[[#This Row],[UM producto]]</f>
        <v>#VALUE!</v>
      </c>
    </row>
    <row r="1691" spans="1:19" x14ac:dyDescent="0.35">
      <c r="A1691" s="5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6"/>
      <c r="P1691" s="23" t="e">
        <f>TRIM(Tabla1[[#This Row],[Articulo]])</f>
        <v>#VALUE!</v>
      </c>
      <c r="Q1691" s="23" t="e">
        <f>_xlfn.XLOOKUP(Tabla1[[#This Row],[Ean Normalizado]],Consumos!A:A,Consumos!E:E)</f>
        <v>#VALUE!</v>
      </c>
      <c r="R1691" s="22" t="e">
        <f>_xlfn.XLOOKUP(Tabla1[[#This Row],[Ean Normalizado]],tabla_consumos[EAN],tabla_consumos[UM])</f>
        <v>#VALUE!</v>
      </c>
      <c r="S1691" s="22" t="e">
        <f>Tabla1[[#This Row],[StockDisp]]*Tabla1[[#This Row],[UM producto]]</f>
        <v>#VALUE!</v>
      </c>
    </row>
    <row r="1692" spans="1:19" x14ac:dyDescent="0.35">
      <c r="A1692" s="5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6"/>
      <c r="P1692" s="23" t="e">
        <f>TRIM(Tabla1[[#This Row],[Articulo]])</f>
        <v>#VALUE!</v>
      </c>
      <c r="Q1692" s="23" t="e">
        <f>_xlfn.XLOOKUP(Tabla1[[#This Row],[Ean Normalizado]],Consumos!A:A,Consumos!E:E)</f>
        <v>#VALUE!</v>
      </c>
      <c r="R1692" s="22" t="e">
        <f>_xlfn.XLOOKUP(Tabla1[[#This Row],[Ean Normalizado]],tabla_consumos[EAN],tabla_consumos[UM])</f>
        <v>#VALUE!</v>
      </c>
      <c r="S1692" s="22" t="e">
        <f>Tabla1[[#This Row],[StockDisp]]*Tabla1[[#This Row],[UM producto]]</f>
        <v>#VALUE!</v>
      </c>
    </row>
    <row r="1693" spans="1:19" x14ac:dyDescent="0.35">
      <c r="A1693" s="5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6"/>
      <c r="P1693" s="23" t="e">
        <f>TRIM(Tabla1[[#This Row],[Articulo]])</f>
        <v>#VALUE!</v>
      </c>
      <c r="Q1693" s="23" t="e">
        <f>_xlfn.XLOOKUP(Tabla1[[#This Row],[Ean Normalizado]],Consumos!A:A,Consumos!E:E)</f>
        <v>#VALUE!</v>
      </c>
      <c r="R1693" s="22" t="e">
        <f>_xlfn.XLOOKUP(Tabla1[[#This Row],[Ean Normalizado]],tabla_consumos[EAN],tabla_consumos[UM])</f>
        <v>#VALUE!</v>
      </c>
      <c r="S1693" s="22" t="e">
        <f>Tabla1[[#This Row],[StockDisp]]*Tabla1[[#This Row],[UM producto]]</f>
        <v>#VALUE!</v>
      </c>
    </row>
    <row r="1694" spans="1:19" x14ac:dyDescent="0.35">
      <c r="A1694" s="5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6"/>
      <c r="P1694" s="23" t="e">
        <f>TRIM(Tabla1[[#This Row],[Articulo]])</f>
        <v>#VALUE!</v>
      </c>
      <c r="Q1694" s="23" t="e">
        <f>_xlfn.XLOOKUP(Tabla1[[#This Row],[Ean Normalizado]],Consumos!A:A,Consumos!E:E)</f>
        <v>#VALUE!</v>
      </c>
      <c r="R1694" s="22" t="e">
        <f>_xlfn.XLOOKUP(Tabla1[[#This Row],[Ean Normalizado]],tabla_consumos[EAN],tabla_consumos[UM])</f>
        <v>#VALUE!</v>
      </c>
      <c r="S1694" s="22" t="e">
        <f>Tabla1[[#This Row],[StockDisp]]*Tabla1[[#This Row],[UM producto]]</f>
        <v>#VALUE!</v>
      </c>
    </row>
    <row r="1695" spans="1:19" x14ac:dyDescent="0.35">
      <c r="A1695" s="5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6"/>
      <c r="P1695" s="23" t="e">
        <f>TRIM(Tabla1[[#This Row],[Articulo]])</f>
        <v>#VALUE!</v>
      </c>
      <c r="Q1695" s="23" t="e">
        <f>_xlfn.XLOOKUP(Tabla1[[#This Row],[Ean Normalizado]],Consumos!A:A,Consumos!E:E)</f>
        <v>#VALUE!</v>
      </c>
      <c r="R1695" s="22" t="e">
        <f>_xlfn.XLOOKUP(Tabla1[[#This Row],[Ean Normalizado]],tabla_consumos[EAN],tabla_consumos[UM])</f>
        <v>#VALUE!</v>
      </c>
      <c r="S1695" s="22" t="e">
        <f>Tabla1[[#This Row],[StockDisp]]*Tabla1[[#This Row],[UM producto]]</f>
        <v>#VALUE!</v>
      </c>
    </row>
    <row r="1696" spans="1:19" x14ac:dyDescent="0.35">
      <c r="A1696" s="5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6"/>
      <c r="P1696" s="23" t="e">
        <f>TRIM(Tabla1[[#This Row],[Articulo]])</f>
        <v>#VALUE!</v>
      </c>
      <c r="Q1696" s="23" t="e">
        <f>_xlfn.XLOOKUP(Tabla1[[#This Row],[Ean Normalizado]],Consumos!A:A,Consumos!E:E)</f>
        <v>#VALUE!</v>
      </c>
      <c r="R1696" s="22" t="e">
        <f>_xlfn.XLOOKUP(Tabla1[[#This Row],[Ean Normalizado]],tabla_consumos[EAN],tabla_consumos[UM])</f>
        <v>#VALUE!</v>
      </c>
      <c r="S1696" s="22" t="e">
        <f>Tabla1[[#This Row],[StockDisp]]*Tabla1[[#This Row],[UM producto]]</f>
        <v>#VALUE!</v>
      </c>
    </row>
    <row r="1697" spans="1:19" x14ac:dyDescent="0.35">
      <c r="A1697" s="5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6"/>
      <c r="P1697" s="23" t="e">
        <f>TRIM(Tabla1[[#This Row],[Articulo]])</f>
        <v>#VALUE!</v>
      </c>
      <c r="Q1697" s="23" t="e">
        <f>_xlfn.XLOOKUP(Tabla1[[#This Row],[Ean Normalizado]],Consumos!A:A,Consumos!E:E)</f>
        <v>#VALUE!</v>
      </c>
      <c r="R1697" s="22" t="e">
        <f>_xlfn.XLOOKUP(Tabla1[[#This Row],[Ean Normalizado]],tabla_consumos[EAN],tabla_consumos[UM])</f>
        <v>#VALUE!</v>
      </c>
      <c r="S1697" s="22" t="e">
        <f>Tabla1[[#This Row],[StockDisp]]*Tabla1[[#This Row],[UM producto]]</f>
        <v>#VALUE!</v>
      </c>
    </row>
    <row r="1698" spans="1:19" x14ac:dyDescent="0.35">
      <c r="A1698" s="5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6"/>
      <c r="P1698" s="23" t="e">
        <f>TRIM(Tabla1[[#This Row],[Articulo]])</f>
        <v>#VALUE!</v>
      </c>
      <c r="Q1698" s="23" t="e">
        <f>_xlfn.XLOOKUP(Tabla1[[#This Row],[Ean Normalizado]],Consumos!A:A,Consumos!E:E)</f>
        <v>#VALUE!</v>
      </c>
      <c r="R1698" s="22" t="e">
        <f>_xlfn.XLOOKUP(Tabla1[[#This Row],[Ean Normalizado]],tabla_consumos[EAN],tabla_consumos[UM])</f>
        <v>#VALUE!</v>
      </c>
      <c r="S1698" s="22" t="e">
        <f>Tabla1[[#This Row],[StockDisp]]*Tabla1[[#This Row],[UM producto]]</f>
        <v>#VALUE!</v>
      </c>
    </row>
    <row r="1699" spans="1:19" x14ac:dyDescent="0.35">
      <c r="A1699" s="5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6"/>
      <c r="P1699" s="23" t="e">
        <f>TRIM(Tabla1[[#This Row],[Articulo]])</f>
        <v>#VALUE!</v>
      </c>
      <c r="Q1699" s="23" t="e">
        <f>_xlfn.XLOOKUP(Tabla1[[#This Row],[Ean Normalizado]],Consumos!A:A,Consumos!E:E)</f>
        <v>#VALUE!</v>
      </c>
      <c r="R1699" s="22" t="e">
        <f>_xlfn.XLOOKUP(Tabla1[[#This Row],[Ean Normalizado]],tabla_consumos[EAN],tabla_consumos[UM])</f>
        <v>#VALUE!</v>
      </c>
      <c r="S1699" s="22" t="e">
        <f>Tabla1[[#This Row],[StockDisp]]*Tabla1[[#This Row],[UM producto]]</f>
        <v>#VALUE!</v>
      </c>
    </row>
    <row r="1700" spans="1:19" x14ac:dyDescent="0.35">
      <c r="A1700" s="5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6"/>
      <c r="P1700" s="23" t="e">
        <f>TRIM(Tabla1[[#This Row],[Articulo]])</f>
        <v>#VALUE!</v>
      </c>
      <c r="Q1700" s="23" t="e">
        <f>_xlfn.XLOOKUP(Tabla1[[#This Row],[Ean Normalizado]],Consumos!A:A,Consumos!E:E)</f>
        <v>#VALUE!</v>
      </c>
      <c r="R1700" s="22" t="e">
        <f>_xlfn.XLOOKUP(Tabla1[[#This Row],[Ean Normalizado]],tabla_consumos[EAN],tabla_consumos[UM])</f>
        <v>#VALUE!</v>
      </c>
      <c r="S1700" s="22" t="e">
        <f>Tabla1[[#This Row],[StockDisp]]*Tabla1[[#This Row],[UM producto]]</f>
        <v>#VALUE!</v>
      </c>
    </row>
    <row r="1701" spans="1:19" x14ac:dyDescent="0.35">
      <c r="A1701" s="5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6"/>
      <c r="P1701" s="23" t="e">
        <f>TRIM(Tabla1[[#This Row],[Articulo]])</f>
        <v>#VALUE!</v>
      </c>
      <c r="Q1701" s="23" t="e">
        <f>_xlfn.XLOOKUP(Tabla1[[#This Row],[Ean Normalizado]],Consumos!A:A,Consumos!E:E)</f>
        <v>#VALUE!</v>
      </c>
      <c r="R1701" s="22" t="e">
        <f>_xlfn.XLOOKUP(Tabla1[[#This Row],[Ean Normalizado]],tabla_consumos[EAN],tabla_consumos[UM])</f>
        <v>#VALUE!</v>
      </c>
      <c r="S1701" s="22" t="e">
        <f>Tabla1[[#This Row],[StockDisp]]*Tabla1[[#This Row],[UM producto]]</f>
        <v>#VALUE!</v>
      </c>
    </row>
    <row r="1702" spans="1:19" x14ac:dyDescent="0.35">
      <c r="A1702" s="5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6"/>
      <c r="P1702" s="23" t="e">
        <f>TRIM(Tabla1[[#This Row],[Articulo]])</f>
        <v>#VALUE!</v>
      </c>
      <c r="Q1702" s="23" t="e">
        <f>_xlfn.XLOOKUP(Tabla1[[#This Row],[Ean Normalizado]],Consumos!A:A,Consumos!E:E)</f>
        <v>#VALUE!</v>
      </c>
      <c r="R1702" s="22" t="e">
        <f>_xlfn.XLOOKUP(Tabla1[[#This Row],[Ean Normalizado]],tabla_consumos[EAN],tabla_consumos[UM])</f>
        <v>#VALUE!</v>
      </c>
      <c r="S1702" s="22" t="e">
        <f>Tabla1[[#This Row],[StockDisp]]*Tabla1[[#This Row],[UM producto]]</f>
        <v>#VALUE!</v>
      </c>
    </row>
    <row r="1703" spans="1:19" x14ac:dyDescent="0.35">
      <c r="A1703" s="5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6"/>
      <c r="P1703" s="23" t="e">
        <f>TRIM(Tabla1[[#This Row],[Articulo]])</f>
        <v>#VALUE!</v>
      </c>
      <c r="Q1703" s="23" t="e">
        <f>_xlfn.XLOOKUP(Tabla1[[#This Row],[Ean Normalizado]],Consumos!A:A,Consumos!E:E)</f>
        <v>#VALUE!</v>
      </c>
      <c r="R1703" s="22" t="e">
        <f>_xlfn.XLOOKUP(Tabla1[[#This Row],[Ean Normalizado]],tabla_consumos[EAN],tabla_consumos[UM])</f>
        <v>#VALUE!</v>
      </c>
      <c r="S1703" s="22" t="e">
        <f>Tabla1[[#This Row],[StockDisp]]*Tabla1[[#This Row],[UM producto]]</f>
        <v>#VALUE!</v>
      </c>
    </row>
    <row r="1704" spans="1:19" x14ac:dyDescent="0.35">
      <c r="A1704" s="5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6"/>
      <c r="P1704" s="23" t="e">
        <f>TRIM(Tabla1[[#This Row],[Articulo]])</f>
        <v>#VALUE!</v>
      </c>
      <c r="Q1704" s="23" t="e">
        <f>_xlfn.XLOOKUP(Tabla1[[#This Row],[Ean Normalizado]],Consumos!A:A,Consumos!E:E)</f>
        <v>#VALUE!</v>
      </c>
      <c r="R1704" s="22" t="e">
        <f>_xlfn.XLOOKUP(Tabla1[[#This Row],[Ean Normalizado]],tabla_consumos[EAN],tabla_consumos[UM])</f>
        <v>#VALUE!</v>
      </c>
      <c r="S1704" s="22" t="e">
        <f>Tabla1[[#This Row],[StockDisp]]*Tabla1[[#This Row],[UM producto]]</f>
        <v>#VALUE!</v>
      </c>
    </row>
    <row r="1705" spans="1:19" x14ac:dyDescent="0.35">
      <c r="A1705" s="5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6"/>
      <c r="P1705" s="23" t="e">
        <f>TRIM(Tabla1[[#This Row],[Articulo]])</f>
        <v>#VALUE!</v>
      </c>
      <c r="Q1705" s="23" t="e">
        <f>_xlfn.XLOOKUP(Tabla1[[#This Row],[Ean Normalizado]],Consumos!A:A,Consumos!E:E)</f>
        <v>#VALUE!</v>
      </c>
      <c r="R1705" s="22" t="e">
        <f>_xlfn.XLOOKUP(Tabla1[[#This Row],[Ean Normalizado]],tabla_consumos[EAN],tabla_consumos[UM])</f>
        <v>#VALUE!</v>
      </c>
      <c r="S1705" s="22" t="e">
        <f>Tabla1[[#This Row],[StockDisp]]*Tabla1[[#This Row],[UM producto]]</f>
        <v>#VALUE!</v>
      </c>
    </row>
    <row r="1706" spans="1:19" x14ac:dyDescent="0.35">
      <c r="A1706" s="5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6"/>
      <c r="P1706" s="23" t="e">
        <f>TRIM(Tabla1[[#This Row],[Articulo]])</f>
        <v>#VALUE!</v>
      </c>
      <c r="Q1706" s="23" t="e">
        <f>_xlfn.XLOOKUP(Tabla1[[#This Row],[Ean Normalizado]],Consumos!A:A,Consumos!E:E)</f>
        <v>#VALUE!</v>
      </c>
      <c r="R1706" s="22" t="e">
        <f>_xlfn.XLOOKUP(Tabla1[[#This Row],[Ean Normalizado]],tabla_consumos[EAN],tabla_consumos[UM])</f>
        <v>#VALUE!</v>
      </c>
      <c r="S1706" s="22" t="e">
        <f>Tabla1[[#This Row],[StockDisp]]*Tabla1[[#This Row],[UM producto]]</f>
        <v>#VALUE!</v>
      </c>
    </row>
    <row r="1707" spans="1:19" x14ac:dyDescent="0.35">
      <c r="A1707" s="5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6"/>
      <c r="P1707" s="23" t="e">
        <f>TRIM(Tabla1[[#This Row],[Articulo]])</f>
        <v>#VALUE!</v>
      </c>
      <c r="Q1707" s="23" t="e">
        <f>_xlfn.XLOOKUP(Tabla1[[#This Row],[Ean Normalizado]],Consumos!A:A,Consumos!E:E)</f>
        <v>#VALUE!</v>
      </c>
      <c r="R1707" s="22" t="e">
        <f>_xlfn.XLOOKUP(Tabla1[[#This Row],[Ean Normalizado]],tabla_consumos[EAN],tabla_consumos[UM])</f>
        <v>#VALUE!</v>
      </c>
      <c r="S1707" s="22" t="e">
        <f>Tabla1[[#This Row],[StockDisp]]*Tabla1[[#This Row],[UM producto]]</f>
        <v>#VALUE!</v>
      </c>
    </row>
    <row r="1708" spans="1:19" x14ac:dyDescent="0.35">
      <c r="A1708" s="5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6"/>
      <c r="P1708" s="23" t="e">
        <f>TRIM(Tabla1[[#This Row],[Articulo]])</f>
        <v>#VALUE!</v>
      </c>
      <c r="Q1708" s="23" t="e">
        <f>_xlfn.XLOOKUP(Tabla1[[#This Row],[Ean Normalizado]],Consumos!A:A,Consumos!E:E)</f>
        <v>#VALUE!</v>
      </c>
      <c r="R1708" s="22" t="e">
        <f>_xlfn.XLOOKUP(Tabla1[[#This Row],[Ean Normalizado]],tabla_consumos[EAN],tabla_consumos[UM])</f>
        <v>#VALUE!</v>
      </c>
      <c r="S1708" s="22" t="e">
        <f>Tabla1[[#This Row],[StockDisp]]*Tabla1[[#This Row],[UM producto]]</f>
        <v>#VALUE!</v>
      </c>
    </row>
    <row r="1709" spans="1:19" x14ac:dyDescent="0.35">
      <c r="A1709" s="5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6"/>
      <c r="P1709" s="23" t="e">
        <f>TRIM(Tabla1[[#This Row],[Articulo]])</f>
        <v>#VALUE!</v>
      </c>
      <c r="Q1709" s="23" t="e">
        <f>_xlfn.XLOOKUP(Tabla1[[#This Row],[Ean Normalizado]],Consumos!A:A,Consumos!E:E)</f>
        <v>#VALUE!</v>
      </c>
      <c r="R1709" s="22" t="e">
        <f>_xlfn.XLOOKUP(Tabla1[[#This Row],[Ean Normalizado]],tabla_consumos[EAN],tabla_consumos[UM])</f>
        <v>#VALUE!</v>
      </c>
      <c r="S1709" s="22" t="e">
        <f>Tabla1[[#This Row],[StockDisp]]*Tabla1[[#This Row],[UM producto]]</f>
        <v>#VALUE!</v>
      </c>
    </row>
    <row r="1710" spans="1:19" x14ac:dyDescent="0.35">
      <c r="A1710" s="5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6"/>
      <c r="P1710" s="23" t="e">
        <f>TRIM(Tabla1[[#This Row],[Articulo]])</f>
        <v>#VALUE!</v>
      </c>
      <c r="Q1710" s="23" t="e">
        <f>_xlfn.XLOOKUP(Tabla1[[#This Row],[Ean Normalizado]],Consumos!A:A,Consumos!E:E)</f>
        <v>#VALUE!</v>
      </c>
      <c r="R1710" s="22" t="e">
        <f>_xlfn.XLOOKUP(Tabla1[[#This Row],[Ean Normalizado]],tabla_consumos[EAN],tabla_consumos[UM])</f>
        <v>#VALUE!</v>
      </c>
      <c r="S1710" s="22" t="e">
        <f>Tabla1[[#This Row],[StockDisp]]*Tabla1[[#This Row],[UM producto]]</f>
        <v>#VALUE!</v>
      </c>
    </row>
    <row r="1711" spans="1:19" x14ac:dyDescent="0.35">
      <c r="A1711" s="5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6"/>
      <c r="P1711" s="23" t="e">
        <f>TRIM(Tabla1[[#This Row],[Articulo]])</f>
        <v>#VALUE!</v>
      </c>
      <c r="Q1711" s="23" t="e">
        <f>_xlfn.XLOOKUP(Tabla1[[#This Row],[Ean Normalizado]],Consumos!A:A,Consumos!E:E)</f>
        <v>#VALUE!</v>
      </c>
      <c r="R1711" s="22" t="e">
        <f>_xlfn.XLOOKUP(Tabla1[[#This Row],[Ean Normalizado]],tabla_consumos[EAN],tabla_consumos[UM])</f>
        <v>#VALUE!</v>
      </c>
      <c r="S1711" s="22" t="e">
        <f>Tabla1[[#This Row],[StockDisp]]*Tabla1[[#This Row],[UM producto]]</f>
        <v>#VALUE!</v>
      </c>
    </row>
    <row r="1712" spans="1:19" x14ac:dyDescent="0.35">
      <c r="A1712" s="5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6"/>
      <c r="P1712" s="23" t="e">
        <f>TRIM(Tabla1[[#This Row],[Articulo]])</f>
        <v>#VALUE!</v>
      </c>
      <c r="Q1712" s="23" t="e">
        <f>_xlfn.XLOOKUP(Tabla1[[#This Row],[Ean Normalizado]],Consumos!A:A,Consumos!E:E)</f>
        <v>#VALUE!</v>
      </c>
      <c r="R1712" s="22" t="e">
        <f>_xlfn.XLOOKUP(Tabla1[[#This Row],[Ean Normalizado]],tabla_consumos[EAN],tabla_consumos[UM])</f>
        <v>#VALUE!</v>
      </c>
      <c r="S1712" s="22" t="e">
        <f>Tabla1[[#This Row],[StockDisp]]*Tabla1[[#This Row],[UM producto]]</f>
        <v>#VALUE!</v>
      </c>
    </row>
    <row r="1713" spans="1:19" x14ac:dyDescent="0.35">
      <c r="A1713" s="5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6"/>
      <c r="P1713" s="23" t="e">
        <f>TRIM(Tabla1[[#This Row],[Articulo]])</f>
        <v>#VALUE!</v>
      </c>
      <c r="Q1713" s="23" t="e">
        <f>_xlfn.XLOOKUP(Tabla1[[#This Row],[Ean Normalizado]],Consumos!A:A,Consumos!E:E)</f>
        <v>#VALUE!</v>
      </c>
      <c r="R1713" s="22" t="e">
        <f>_xlfn.XLOOKUP(Tabla1[[#This Row],[Ean Normalizado]],tabla_consumos[EAN],tabla_consumos[UM])</f>
        <v>#VALUE!</v>
      </c>
      <c r="S1713" s="22" t="e">
        <f>Tabla1[[#This Row],[StockDisp]]*Tabla1[[#This Row],[UM producto]]</f>
        <v>#VALUE!</v>
      </c>
    </row>
    <row r="1714" spans="1:19" x14ac:dyDescent="0.35">
      <c r="A1714" s="5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6"/>
      <c r="P1714" s="23" t="e">
        <f>TRIM(Tabla1[[#This Row],[Articulo]])</f>
        <v>#VALUE!</v>
      </c>
      <c r="Q1714" s="23" t="e">
        <f>_xlfn.XLOOKUP(Tabla1[[#This Row],[Ean Normalizado]],Consumos!A:A,Consumos!E:E)</f>
        <v>#VALUE!</v>
      </c>
      <c r="R1714" s="22" t="e">
        <f>_xlfn.XLOOKUP(Tabla1[[#This Row],[Ean Normalizado]],tabla_consumos[EAN],tabla_consumos[UM])</f>
        <v>#VALUE!</v>
      </c>
      <c r="S1714" s="22" t="e">
        <f>Tabla1[[#This Row],[StockDisp]]*Tabla1[[#This Row],[UM producto]]</f>
        <v>#VALUE!</v>
      </c>
    </row>
    <row r="1715" spans="1:19" x14ac:dyDescent="0.35">
      <c r="A1715" s="5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6"/>
      <c r="P1715" s="23" t="e">
        <f>TRIM(Tabla1[[#This Row],[Articulo]])</f>
        <v>#VALUE!</v>
      </c>
      <c r="Q1715" s="23" t="e">
        <f>_xlfn.XLOOKUP(Tabla1[[#This Row],[Ean Normalizado]],Consumos!A:A,Consumos!E:E)</f>
        <v>#VALUE!</v>
      </c>
      <c r="R1715" s="22" t="e">
        <f>_xlfn.XLOOKUP(Tabla1[[#This Row],[Ean Normalizado]],tabla_consumos[EAN],tabla_consumos[UM])</f>
        <v>#VALUE!</v>
      </c>
      <c r="S1715" s="22" t="e">
        <f>Tabla1[[#This Row],[StockDisp]]*Tabla1[[#This Row],[UM producto]]</f>
        <v>#VALUE!</v>
      </c>
    </row>
    <row r="1716" spans="1:19" x14ac:dyDescent="0.35">
      <c r="A1716" s="5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6"/>
      <c r="P1716" s="23" t="e">
        <f>TRIM(Tabla1[[#This Row],[Articulo]])</f>
        <v>#VALUE!</v>
      </c>
      <c r="Q1716" s="23" t="e">
        <f>_xlfn.XLOOKUP(Tabla1[[#This Row],[Ean Normalizado]],Consumos!A:A,Consumos!E:E)</f>
        <v>#VALUE!</v>
      </c>
      <c r="R1716" s="22" t="e">
        <f>_xlfn.XLOOKUP(Tabla1[[#This Row],[Ean Normalizado]],tabla_consumos[EAN],tabla_consumos[UM])</f>
        <v>#VALUE!</v>
      </c>
      <c r="S1716" s="22" t="e">
        <f>Tabla1[[#This Row],[StockDisp]]*Tabla1[[#This Row],[UM producto]]</f>
        <v>#VALUE!</v>
      </c>
    </row>
    <row r="1717" spans="1:19" x14ac:dyDescent="0.35">
      <c r="A1717" s="5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6"/>
      <c r="P1717" s="23" t="e">
        <f>TRIM(Tabla1[[#This Row],[Articulo]])</f>
        <v>#VALUE!</v>
      </c>
      <c r="Q1717" s="23" t="e">
        <f>_xlfn.XLOOKUP(Tabla1[[#This Row],[Ean Normalizado]],Consumos!A:A,Consumos!E:E)</f>
        <v>#VALUE!</v>
      </c>
      <c r="R1717" s="22" t="e">
        <f>_xlfn.XLOOKUP(Tabla1[[#This Row],[Ean Normalizado]],tabla_consumos[EAN],tabla_consumos[UM])</f>
        <v>#VALUE!</v>
      </c>
      <c r="S1717" s="22" t="e">
        <f>Tabla1[[#This Row],[StockDisp]]*Tabla1[[#This Row],[UM producto]]</f>
        <v>#VALUE!</v>
      </c>
    </row>
    <row r="1718" spans="1:19" x14ac:dyDescent="0.35">
      <c r="A1718" s="5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6"/>
      <c r="P1718" s="23" t="e">
        <f>TRIM(Tabla1[[#This Row],[Articulo]])</f>
        <v>#VALUE!</v>
      </c>
      <c r="Q1718" s="23" t="e">
        <f>_xlfn.XLOOKUP(Tabla1[[#This Row],[Ean Normalizado]],Consumos!A:A,Consumos!E:E)</f>
        <v>#VALUE!</v>
      </c>
      <c r="R1718" s="22" t="e">
        <f>_xlfn.XLOOKUP(Tabla1[[#This Row],[Ean Normalizado]],tabla_consumos[EAN],tabla_consumos[UM])</f>
        <v>#VALUE!</v>
      </c>
      <c r="S1718" s="22" t="e">
        <f>Tabla1[[#This Row],[StockDisp]]*Tabla1[[#This Row],[UM producto]]</f>
        <v>#VALUE!</v>
      </c>
    </row>
    <row r="1719" spans="1:19" x14ac:dyDescent="0.35">
      <c r="A1719" s="5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6"/>
      <c r="P1719" s="23" t="e">
        <f>TRIM(Tabla1[[#This Row],[Articulo]])</f>
        <v>#VALUE!</v>
      </c>
      <c r="Q1719" s="23" t="e">
        <f>_xlfn.XLOOKUP(Tabla1[[#This Row],[Ean Normalizado]],Consumos!A:A,Consumos!E:E)</f>
        <v>#VALUE!</v>
      </c>
      <c r="R1719" s="22" t="e">
        <f>_xlfn.XLOOKUP(Tabla1[[#This Row],[Ean Normalizado]],tabla_consumos[EAN],tabla_consumos[UM])</f>
        <v>#VALUE!</v>
      </c>
      <c r="S1719" s="22" t="e">
        <f>Tabla1[[#This Row],[StockDisp]]*Tabla1[[#This Row],[UM producto]]</f>
        <v>#VALUE!</v>
      </c>
    </row>
    <row r="1720" spans="1:19" x14ac:dyDescent="0.35">
      <c r="A1720" s="5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6"/>
      <c r="P1720" s="23" t="e">
        <f>TRIM(Tabla1[[#This Row],[Articulo]])</f>
        <v>#VALUE!</v>
      </c>
      <c r="Q1720" s="23" t="e">
        <f>_xlfn.XLOOKUP(Tabla1[[#This Row],[Ean Normalizado]],Consumos!A:A,Consumos!E:E)</f>
        <v>#VALUE!</v>
      </c>
      <c r="R1720" s="22" t="e">
        <f>_xlfn.XLOOKUP(Tabla1[[#This Row],[Ean Normalizado]],tabla_consumos[EAN],tabla_consumos[UM])</f>
        <v>#VALUE!</v>
      </c>
      <c r="S1720" s="22" t="e">
        <f>Tabla1[[#This Row],[StockDisp]]*Tabla1[[#This Row],[UM producto]]</f>
        <v>#VALUE!</v>
      </c>
    </row>
    <row r="1721" spans="1:19" x14ac:dyDescent="0.35">
      <c r="A1721" s="5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6"/>
      <c r="P1721" s="23" t="e">
        <f>TRIM(Tabla1[[#This Row],[Articulo]])</f>
        <v>#VALUE!</v>
      </c>
      <c r="Q1721" s="23" t="e">
        <f>_xlfn.XLOOKUP(Tabla1[[#This Row],[Ean Normalizado]],Consumos!A:A,Consumos!E:E)</f>
        <v>#VALUE!</v>
      </c>
      <c r="R1721" s="22" t="e">
        <f>_xlfn.XLOOKUP(Tabla1[[#This Row],[Ean Normalizado]],tabla_consumos[EAN],tabla_consumos[UM])</f>
        <v>#VALUE!</v>
      </c>
      <c r="S1721" s="22" t="e">
        <f>Tabla1[[#This Row],[StockDisp]]*Tabla1[[#This Row],[UM producto]]</f>
        <v>#VALUE!</v>
      </c>
    </row>
    <row r="1722" spans="1:19" x14ac:dyDescent="0.35">
      <c r="A1722" s="5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6"/>
      <c r="P1722" s="23" t="e">
        <f>TRIM(Tabla1[[#This Row],[Articulo]])</f>
        <v>#VALUE!</v>
      </c>
      <c r="Q1722" s="23" t="e">
        <f>_xlfn.XLOOKUP(Tabla1[[#This Row],[Ean Normalizado]],Consumos!A:A,Consumos!E:E)</f>
        <v>#VALUE!</v>
      </c>
      <c r="R1722" s="22" t="e">
        <f>_xlfn.XLOOKUP(Tabla1[[#This Row],[Ean Normalizado]],tabla_consumos[EAN],tabla_consumos[UM])</f>
        <v>#VALUE!</v>
      </c>
      <c r="S1722" s="22" t="e">
        <f>Tabla1[[#This Row],[StockDisp]]*Tabla1[[#This Row],[UM producto]]</f>
        <v>#VALUE!</v>
      </c>
    </row>
    <row r="1723" spans="1:19" x14ac:dyDescent="0.35">
      <c r="A1723" s="5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6"/>
      <c r="P1723" s="23" t="e">
        <f>TRIM(Tabla1[[#This Row],[Articulo]])</f>
        <v>#VALUE!</v>
      </c>
      <c r="Q1723" s="23" t="e">
        <f>_xlfn.XLOOKUP(Tabla1[[#This Row],[Ean Normalizado]],Consumos!A:A,Consumos!E:E)</f>
        <v>#VALUE!</v>
      </c>
      <c r="R1723" s="22" t="e">
        <f>_xlfn.XLOOKUP(Tabla1[[#This Row],[Ean Normalizado]],tabla_consumos[EAN],tabla_consumos[UM])</f>
        <v>#VALUE!</v>
      </c>
      <c r="S1723" s="22" t="e">
        <f>Tabla1[[#This Row],[StockDisp]]*Tabla1[[#This Row],[UM producto]]</f>
        <v>#VALUE!</v>
      </c>
    </row>
    <row r="1724" spans="1:19" x14ac:dyDescent="0.35">
      <c r="A1724" s="5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6"/>
      <c r="P1724" s="23" t="e">
        <f>TRIM(Tabla1[[#This Row],[Articulo]])</f>
        <v>#VALUE!</v>
      </c>
      <c r="Q1724" s="23" t="e">
        <f>_xlfn.XLOOKUP(Tabla1[[#This Row],[Ean Normalizado]],Consumos!A:A,Consumos!E:E)</f>
        <v>#VALUE!</v>
      </c>
      <c r="R1724" s="22" t="e">
        <f>_xlfn.XLOOKUP(Tabla1[[#This Row],[Ean Normalizado]],tabla_consumos[EAN],tabla_consumos[UM])</f>
        <v>#VALUE!</v>
      </c>
      <c r="S1724" s="22" t="e">
        <f>Tabla1[[#This Row],[StockDisp]]*Tabla1[[#This Row],[UM producto]]</f>
        <v>#VALUE!</v>
      </c>
    </row>
    <row r="1725" spans="1:19" x14ac:dyDescent="0.35">
      <c r="A1725" s="5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6"/>
      <c r="P1725" s="23" t="e">
        <f>TRIM(Tabla1[[#This Row],[Articulo]])</f>
        <v>#VALUE!</v>
      </c>
      <c r="Q1725" s="23" t="e">
        <f>_xlfn.XLOOKUP(Tabla1[[#This Row],[Ean Normalizado]],Consumos!A:A,Consumos!E:E)</f>
        <v>#VALUE!</v>
      </c>
      <c r="R1725" s="22" t="e">
        <f>_xlfn.XLOOKUP(Tabla1[[#This Row],[Ean Normalizado]],tabla_consumos[EAN],tabla_consumos[UM])</f>
        <v>#VALUE!</v>
      </c>
      <c r="S1725" s="22" t="e">
        <f>Tabla1[[#This Row],[StockDisp]]*Tabla1[[#This Row],[UM producto]]</f>
        <v>#VALUE!</v>
      </c>
    </row>
    <row r="1726" spans="1:19" x14ac:dyDescent="0.35">
      <c r="A1726" s="5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6"/>
      <c r="P1726" s="23" t="e">
        <f>TRIM(Tabla1[[#This Row],[Articulo]])</f>
        <v>#VALUE!</v>
      </c>
      <c r="Q1726" s="23" t="e">
        <f>_xlfn.XLOOKUP(Tabla1[[#This Row],[Ean Normalizado]],Consumos!A:A,Consumos!E:E)</f>
        <v>#VALUE!</v>
      </c>
      <c r="R1726" s="22" t="e">
        <f>_xlfn.XLOOKUP(Tabla1[[#This Row],[Ean Normalizado]],tabla_consumos[EAN],tabla_consumos[UM])</f>
        <v>#VALUE!</v>
      </c>
      <c r="S1726" s="22" t="e">
        <f>Tabla1[[#This Row],[StockDisp]]*Tabla1[[#This Row],[UM producto]]</f>
        <v>#VALUE!</v>
      </c>
    </row>
    <row r="1727" spans="1:19" x14ac:dyDescent="0.35">
      <c r="A1727" s="5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6"/>
      <c r="P1727" s="23" t="e">
        <f>TRIM(Tabla1[[#This Row],[Articulo]])</f>
        <v>#VALUE!</v>
      </c>
      <c r="Q1727" s="23" t="e">
        <f>_xlfn.XLOOKUP(Tabla1[[#This Row],[Ean Normalizado]],Consumos!A:A,Consumos!E:E)</f>
        <v>#VALUE!</v>
      </c>
      <c r="R1727" s="22" t="e">
        <f>_xlfn.XLOOKUP(Tabla1[[#This Row],[Ean Normalizado]],tabla_consumos[EAN],tabla_consumos[UM])</f>
        <v>#VALUE!</v>
      </c>
      <c r="S1727" s="22" t="e">
        <f>Tabla1[[#This Row],[StockDisp]]*Tabla1[[#This Row],[UM producto]]</f>
        <v>#VALUE!</v>
      </c>
    </row>
    <row r="1728" spans="1:19" x14ac:dyDescent="0.35">
      <c r="A1728" s="5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6"/>
      <c r="P1728" s="23" t="e">
        <f>TRIM(Tabla1[[#This Row],[Articulo]])</f>
        <v>#VALUE!</v>
      </c>
      <c r="Q1728" s="23" t="e">
        <f>_xlfn.XLOOKUP(Tabla1[[#This Row],[Ean Normalizado]],Consumos!A:A,Consumos!E:E)</f>
        <v>#VALUE!</v>
      </c>
      <c r="R1728" s="22" t="e">
        <f>_xlfn.XLOOKUP(Tabla1[[#This Row],[Ean Normalizado]],tabla_consumos[EAN],tabla_consumos[UM])</f>
        <v>#VALUE!</v>
      </c>
      <c r="S1728" s="22" t="e">
        <f>Tabla1[[#This Row],[StockDisp]]*Tabla1[[#This Row],[UM producto]]</f>
        <v>#VALUE!</v>
      </c>
    </row>
    <row r="1729" spans="1:19" x14ac:dyDescent="0.35">
      <c r="A1729" s="5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6"/>
      <c r="P1729" s="23" t="e">
        <f>TRIM(Tabla1[[#This Row],[Articulo]])</f>
        <v>#VALUE!</v>
      </c>
      <c r="Q1729" s="23" t="e">
        <f>_xlfn.XLOOKUP(Tabla1[[#This Row],[Ean Normalizado]],Consumos!A:A,Consumos!E:E)</f>
        <v>#VALUE!</v>
      </c>
      <c r="R1729" s="22" t="e">
        <f>_xlfn.XLOOKUP(Tabla1[[#This Row],[Ean Normalizado]],tabla_consumos[EAN],tabla_consumos[UM])</f>
        <v>#VALUE!</v>
      </c>
      <c r="S1729" s="22" t="e">
        <f>Tabla1[[#This Row],[StockDisp]]*Tabla1[[#This Row],[UM producto]]</f>
        <v>#VALUE!</v>
      </c>
    </row>
    <row r="1730" spans="1:19" x14ac:dyDescent="0.35">
      <c r="A1730" s="5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6"/>
      <c r="P1730" s="23" t="e">
        <f>TRIM(Tabla1[[#This Row],[Articulo]])</f>
        <v>#VALUE!</v>
      </c>
      <c r="Q1730" s="23" t="e">
        <f>_xlfn.XLOOKUP(Tabla1[[#This Row],[Ean Normalizado]],Consumos!A:A,Consumos!E:E)</f>
        <v>#VALUE!</v>
      </c>
      <c r="R1730" s="22" t="e">
        <f>_xlfn.XLOOKUP(Tabla1[[#This Row],[Ean Normalizado]],tabla_consumos[EAN],tabla_consumos[UM])</f>
        <v>#VALUE!</v>
      </c>
      <c r="S1730" s="22" t="e">
        <f>Tabla1[[#This Row],[StockDisp]]*Tabla1[[#This Row],[UM producto]]</f>
        <v>#VALUE!</v>
      </c>
    </row>
    <row r="1731" spans="1:19" x14ac:dyDescent="0.35">
      <c r="A1731" s="5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6"/>
      <c r="P1731" s="23" t="e">
        <f>TRIM(Tabla1[[#This Row],[Articulo]])</f>
        <v>#VALUE!</v>
      </c>
      <c r="Q1731" s="23" t="e">
        <f>_xlfn.XLOOKUP(Tabla1[[#This Row],[Ean Normalizado]],Consumos!A:A,Consumos!E:E)</f>
        <v>#VALUE!</v>
      </c>
      <c r="R1731" s="22" t="e">
        <f>_xlfn.XLOOKUP(Tabla1[[#This Row],[Ean Normalizado]],tabla_consumos[EAN],tabla_consumos[UM])</f>
        <v>#VALUE!</v>
      </c>
      <c r="S1731" s="22" t="e">
        <f>Tabla1[[#This Row],[StockDisp]]*Tabla1[[#This Row],[UM producto]]</f>
        <v>#VALUE!</v>
      </c>
    </row>
    <row r="1732" spans="1:19" x14ac:dyDescent="0.35">
      <c r="A1732" s="5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6"/>
      <c r="P1732" s="23" t="e">
        <f>TRIM(Tabla1[[#This Row],[Articulo]])</f>
        <v>#VALUE!</v>
      </c>
      <c r="Q1732" s="23" t="e">
        <f>_xlfn.XLOOKUP(Tabla1[[#This Row],[Ean Normalizado]],Consumos!A:A,Consumos!E:E)</f>
        <v>#VALUE!</v>
      </c>
      <c r="R1732" s="22" t="e">
        <f>_xlfn.XLOOKUP(Tabla1[[#This Row],[Ean Normalizado]],tabla_consumos[EAN],tabla_consumos[UM])</f>
        <v>#VALUE!</v>
      </c>
      <c r="S1732" s="22" t="e">
        <f>Tabla1[[#This Row],[StockDisp]]*Tabla1[[#This Row],[UM producto]]</f>
        <v>#VALUE!</v>
      </c>
    </row>
    <row r="1733" spans="1:19" x14ac:dyDescent="0.35">
      <c r="A1733" s="5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6"/>
      <c r="P1733" s="23" t="e">
        <f>TRIM(Tabla1[[#This Row],[Articulo]])</f>
        <v>#VALUE!</v>
      </c>
      <c r="Q1733" s="23" t="e">
        <f>_xlfn.XLOOKUP(Tabla1[[#This Row],[Ean Normalizado]],Consumos!A:A,Consumos!E:E)</f>
        <v>#VALUE!</v>
      </c>
      <c r="R1733" s="22" t="e">
        <f>_xlfn.XLOOKUP(Tabla1[[#This Row],[Ean Normalizado]],tabla_consumos[EAN],tabla_consumos[UM])</f>
        <v>#VALUE!</v>
      </c>
      <c r="S1733" s="22" t="e">
        <f>Tabla1[[#This Row],[StockDisp]]*Tabla1[[#This Row],[UM producto]]</f>
        <v>#VALUE!</v>
      </c>
    </row>
    <row r="1734" spans="1:19" x14ac:dyDescent="0.35">
      <c r="A1734" s="5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6"/>
      <c r="P1734" s="23" t="e">
        <f>TRIM(Tabla1[[#This Row],[Articulo]])</f>
        <v>#VALUE!</v>
      </c>
      <c r="Q1734" s="23" t="e">
        <f>_xlfn.XLOOKUP(Tabla1[[#This Row],[Ean Normalizado]],Consumos!A:A,Consumos!E:E)</f>
        <v>#VALUE!</v>
      </c>
      <c r="R1734" s="22" t="e">
        <f>_xlfn.XLOOKUP(Tabla1[[#This Row],[Ean Normalizado]],tabla_consumos[EAN],tabla_consumos[UM])</f>
        <v>#VALUE!</v>
      </c>
      <c r="S1734" s="22" t="e">
        <f>Tabla1[[#This Row],[StockDisp]]*Tabla1[[#This Row],[UM producto]]</f>
        <v>#VALUE!</v>
      </c>
    </row>
    <row r="1735" spans="1:19" x14ac:dyDescent="0.35">
      <c r="A1735" s="5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6"/>
      <c r="P1735" s="23" t="e">
        <f>TRIM(Tabla1[[#This Row],[Articulo]])</f>
        <v>#VALUE!</v>
      </c>
      <c r="Q1735" s="23" t="e">
        <f>_xlfn.XLOOKUP(Tabla1[[#This Row],[Ean Normalizado]],Consumos!A:A,Consumos!E:E)</f>
        <v>#VALUE!</v>
      </c>
      <c r="R1735" s="22" t="e">
        <f>_xlfn.XLOOKUP(Tabla1[[#This Row],[Ean Normalizado]],tabla_consumos[EAN],tabla_consumos[UM])</f>
        <v>#VALUE!</v>
      </c>
      <c r="S1735" s="22" t="e">
        <f>Tabla1[[#This Row],[StockDisp]]*Tabla1[[#This Row],[UM producto]]</f>
        <v>#VALUE!</v>
      </c>
    </row>
    <row r="1736" spans="1:19" x14ac:dyDescent="0.35">
      <c r="A1736" s="5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6"/>
      <c r="P1736" s="23" t="e">
        <f>TRIM(Tabla1[[#This Row],[Articulo]])</f>
        <v>#VALUE!</v>
      </c>
      <c r="Q1736" s="23" t="e">
        <f>_xlfn.XLOOKUP(Tabla1[[#This Row],[Ean Normalizado]],Consumos!A:A,Consumos!E:E)</f>
        <v>#VALUE!</v>
      </c>
      <c r="R1736" s="22" t="e">
        <f>_xlfn.XLOOKUP(Tabla1[[#This Row],[Ean Normalizado]],tabla_consumos[EAN],tabla_consumos[UM])</f>
        <v>#VALUE!</v>
      </c>
      <c r="S1736" s="22" t="e">
        <f>Tabla1[[#This Row],[StockDisp]]*Tabla1[[#This Row],[UM producto]]</f>
        <v>#VALUE!</v>
      </c>
    </row>
    <row r="1737" spans="1:19" x14ac:dyDescent="0.35">
      <c r="A1737" s="5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6"/>
      <c r="P1737" s="23" t="e">
        <f>TRIM(Tabla1[[#This Row],[Articulo]])</f>
        <v>#VALUE!</v>
      </c>
      <c r="Q1737" s="23" t="e">
        <f>_xlfn.XLOOKUP(Tabla1[[#This Row],[Ean Normalizado]],Consumos!A:A,Consumos!E:E)</f>
        <v>#VALUE!</v>
      </c>
      <c r="R1737" s="22" t="e">
        <f>_xlfn.XLOOKUP(Tabla1[[#This Row],[Ean Normalizado]],tabla_consumos[EAN],tabla_consumos[UM])</f>
        <v>#VALUE!</v>
      </c>
      <c r="S1737" s="22" t="e">
        <f>Tabla1[[#This Row],[StockDisp]]*Tabla1[[#This Row],[UM producto]]</f>
        <v>#VALUE!</v>
      </c>
    </row>
    <row r="1738" spans="1:19" x14ac:dyDescent="0.35">
      <c r="A1738" s="5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6"/>
      <c r="P1738" s="23" t="e">
        <f>TRIM(Tabla1[[#This Row],[Articulo]])</f>
        <v>#VALUE!</v>
      </c>
      <c r="Q1738" s="23" t="e">
        <f>_xlfn.XLOOKUP(Tabla1[[#This Row],[Ean Normalizado]],Consumos!A:A,Consumos!E:E)</f>
        <v>#VALUE!</v>
      </c>
      <c r="R1738" s="22" t="e">
        <f>_xlfn.XLOOKUP(Tabla1[[#This Row],[Ean Normalizado]],tabla_consumos[EAN],tabla_consumos[UM])</f>
        <v>#VALUE!</v>
      </c>
      <c r="S1738" s="22" t="e">
        <f>Tabla1[[#This Row],[StockDisp]]*Tabla1[[#This Row],[UM producto]]</f>
        <v>#VALUE!</v>
      </c>
    </row>
    <row r="1739" spans="1:19" x14ac:dyDescent="0.35">
      <c r="A1739" s="5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6"/>
      <c r="P1739" s="23" t="e">
        <f>TRIM(Tabla1[[#This Row],[Articulo]])</f>
        <v>#VALUE!</v>
      </c>
      <c r="Q1739" s="23" t="e">
        <f>_xlfn.XLOOKUP(Tabla1[[#This Row],[Ean Normalizado]],Consumos!A:A,Consumos!E:E)</f>
        <v>#VALUE!</v>
      </c>
      <c r="R1739" s="22" t="e">
        <f>_xlfn.XLOOKUP(Tabla1[[#This Row],[Ean Normalizado]],tabla_consumos[EAN],tabla_consumos[UM])</f>
        <v>#VALUE!</v>
      </c>
      <c r="S1739" s="22" t="e">
        <f>Tabla1[[#This Row],[StockDisp]]*Tabla1[[#This Row],[UM producto]]</f>
        <v>#VALUE!</v>
      </c>
    </row>
    <row r="1740" spans="1:19" x14ac:dyDescent="0.35">
      <c r="A1740" s="5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6"/>
      <c r="P1740" s="23" t="e">
        <f>TRIM(Tabla1[[#This Row],[Articulo]])</f>
        <v>#VALUE!</v>
      </c>
      <c r="Q1740" s="23" t="e">
        <f>_xlfn.XLOOKUP(Tabla1[[#This Row],[Ean Normalizado]],Consumos!A:A,Consumos!E:E)</f>
        <v>#VALUE!</v>
      </c>
      <c r="R1740" s="22" t="e">
        <f>_xlfn.XLOOKUP(Tabla1[[#This Row],[Ean Normalizado]],tabla_consumos[EAN],tabla_consumos[UM])</f>
        <v>#VALUE!</v>
      </c>
      <c r="S1740" s="22" t="e">
        <f>Tabla1[[#This Row],[StockDisp]]*Tabla1[[#This Row],[UM producto]]</f>
        <v>#VALUE!</v>
      </c>
    </row>
    <row r="1741" spans="1:19" x14ac:dyDescent="0.35">
      <c r="A1741" s="5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6"/>
      <c r="P1741" s="23" t="e">
        <f>TRIM(Tabla1[[#This Row],[Articulo]])</f>
        <v>#VALUE!</v>
      </c>
      <c r="Q1741" s="23" t="e">
        <f>_xlfn.XLOOKUP(Tabla1[[#This Row],[Ean Normalizado]],Consumos!A:A,Consumos!E:E)</f>
        <v>#VALUE!</v>
      </c>
      <c r="R1741" s="22" t="e">
        <f>_xlfn.XLOOKUP(Tabla1[[#This Row],[Ean Normalizado]],tabla_consumos[EAN],tabla_consumos[UM])</f>
        <v>#VALUE!</v>
      </c>
      <c r="S1741" s="22" t="e">
        <f>Tabla1[[#This Row],[StockDisp]]*Tabla1[[#This Row],[UM producto]]</f>
        <v>#VALUE!</v>
      </c>
    </row>
    <row r="1742" spans="1:19" x14ac:dyDescent="0.35">
      <c r="A1742" s="5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6"/>
      <c r="P1742" s="23" t="e">
        <f>TRIM(Tabla1[[#This Row],[Articulo]])</f>
        <v>#VALUE!</v>
      </c>
      <c r="Q1742" s="23" t="e">
        <f>_xlfn.XLOOKUP(Tabla1[[#This Row],[Ean Normalizado]],Consumos!A:A,Consumos!E:E)</f>
        <v>#VALUE!</v>
      </c>
      <c r="R1742" s="22" t="e">
        <f>_xlfn.XLOOKUP(Tabla1[[#This Row],[Ean Normalizado]],tabla_consumos[EAN],tabla_consumos[UM])</f>
        <v>#VALUE!</v>
      </c>
      <c r="S1742" s="22" t="e">
        <f>Tabla1[[#This Row],[StockDisp]]*Tabla1[[#This Row],[UM producto]]</f>
        <v>#VALUE!</v>
      </c>
    </row>
    <row r="1743" spans="1:19" x14ac:dyDescent="0.35">
      <c r="A1743" s="5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6"/>
      <c r="P1743" s="23" t="e">
        <f>TRIM(Tabla1[[#This Row],[Articulo]])</f>
        <v>#VALUE!</v>
      </c>
      <c r="Q1743" s="23" t="e">
        <f>_xlfn.XLOOKUP(Tabla1[[#This Row],[Ean Normalizado]],Consumos!A:A,Consumos!E:E)</f>
        <v>#VALUE!</v>
      </c>
      <c r="R1743" s="22" t="e">
        <f>_xlfn.XLOOKUP(Tabla1[[#This Row],[Ean Normalizado]],tabla_consumos[EAN],tabla_consumos[UM])</f>
        <v>#VALUE!</v>
      </c>
      <c r="S1743" s="22" t="e">
        <f>Tabla1[[#This Row],[StockDisp]]*Tabla1[[#This Row],[UM producto]]</f>
        <v>#VALUE!</v>
      </c>
    </row>
    <row r="1744" spans="1:19" x14ac:dyDescent="0.35">
      <c r="A1744" s="5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6"/>
      <c r="P1744" s="23" t="e">
        <f>TRIM(Tabla1[[#This Row],[Articulo]])</f>
        <v>#VALUE!</v>
      </c>
      <c r="Q1744" s="23" t="e">
        <f>_xlfn.XLOOKUP(Tabla1[[#This Row],[Ean Normalizado]],Consumos!A:A,Consumos!E:E)</f>
        <v>#VALUE!</v>
      </c>
      <c r="R1744" s="22" t="e">
        <f>_xlfn.XLOOKUP(Tabla1[[#This Row],[Ean Normalizado]],tabla_consumos[EAN],tabla_consumos[UM])</f>
        <v>#VALUE!</v>
      </c>
      <c r="S1744" s="22" t="e">
        <f>Tabla1[[#This Row],[StockDisp]]*Tabla1[[#This Row],[UM producto]]</f>
        <v>#VALUE!</v>
      </c>
    </row>
    <row r="1745" spans="1:19" x14ac:dyDescent="0.35">
      <c r="A1745" s="5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6"/>
      <c r="P1745" s="23" t="e">
        <f>TRIM(Tabla1[[#This Row],[Articulo]])</f>
        <v>#VALUE!</v>
      </c>
      <c r="Q1745" s="23" t="e">
        <f>_xlfn.XLOOKUP(Tabla1[[#This Row],[Ean Normalizado]],Consumos!A:A,Consumos!E:E)</f>
        <v>#VALUE!</v>
      </c>
      <c r="R1745" s="22" t="e">
        <f>_xlfn.XLOOKUP(Tabla1[[#This Row],[Ean Normalizado]],tabla_consumos[EAN],tabla_consumos[UM])</f>
        <v>#VALUE!</v>
      </c>
      <c r="S1745" s="22" t="e">
        <f>Tabla1[[#This Row],[StockDisp]]*Tabla1[[#This Row],[UM producto]]</f>
        <v>#VALUE!</v>
      </c>
    </row>
    <row r="1746" spans="1:19" x14ac:dyDescent="0.35">
      <c r="A1746" s="5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6"/>
      <c r="P1746" s="23" t="e">
        <f>TRIM(Tabla1[[#This Row],[Articulo]])</f>
        <v>#VALUE!</v>
      </c>
      <c r="Q1746" s="23" t="e">
        <f>_xlfn.XLOOKUP(Tabla1[[#This Row],[Ean Normalizado]],Consumos!A:A,Consumos!E:E)</f>
        <v>#VALUE!</v>
      </c>
      <c r="R1746" s="22" t="e">
        <f>_xlfn.XLOOKUP(Tabla1[[#This Row],[Ean Normalizado]],tabla_consumos[EAN],tabla_consumos[UM])</f>
        <v>#VALUE!</v>
      </c>
      <c r="S1746" s="22" t="e">
        <f>Tabla1[[#This Row],[StockDisp]]*Tabla1[[#This Row],[UM producto]]</f>
        <v>#VALUE!</v>
      </c>
    </row>
    <row r="1747" spans="1:19" x14ac:dyDescent="0.35">
      <c r="A1747" s="5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6"/>
      <c r="P1747" s="23" t="e">
        <f>TRIM(Tabla1[[#This Row],[Articulo]])</f>
        <v>#VALUE!</v>
      </c>
      <c r="Q1747" s="23" t="e">
        <f>_xlfn.XLOOKUP(Tabla1[[#This Row],[Ean Normalizado]],Consumos!A:A,Consumos!E:E)</f>
        <v>#VALUE!</v>
      </c>
      <c r="R1747" s="22" t="e">
        <f>_xlfn.XLOOKUP(Tabla1[[#This Row],[Ean Normalizado]],tabla_consumos[EAN],tabla_consumos[UM])</f>
        <v>#VALUE!</v>
      </c>
      <c r="S1747" s="22" t="e">
        <f>Tabla1[[#This Row],[StockDisp]]*Tabla1[[#This Row],[UM producto]]</f>
        <v>#VALUE!</v>
      </c>
    </row>
    <row r="1748" spans="1:19" x14ac:dyDescent="0.35">
      <c r="A1748" s="5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6"/>
      <c r="P1748" s="23" t="e">
        <f>TRIM(Tabla1[[#This Row],[Articulo]])</f>
        <v>#VALUE!</v>
      </c>
      <c r="Q1748" s="23" t="e">
        <f>_xlfn.XLOOKUP(Tabla1[[#This Row],[Ean Normalizado]],Consumos!A:A,Consumos!E:E)</f>
        <v>#VALUE!</v>
      </c>
      <c r="R1748" s="22" t="e">
        <f>_xlfn.XLOOKUP(Tabla1[[#This Row],[Ean Normalizado]],tabla_consumos[EAN],tabla_consumos[UM])</f>
        <v>#VALUE!</v>
      </c>
      <c r="S1748" s="22" t="e">
        <f>Tabla1[[#This Row],[StockDisp]]*Tabla1[[#This Row],[UM producto]]</f>
        <v>#VALUE!</v>
      </c>
    </row>
    <row r="1749" spans="1:19" x14ac:dyDescent="0.35">
      <c r="A1749" s="5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6"/>
      <c r="P1749" s="23" t="e">
        <f>TRIM(Tabla1[[#This Row],[Articulo]])</f>
        <v>#VALUE!</v>
      </c>
      <c r="Q1749" s="23" t="e">
        <f>_xlfn.XLOOKUP(Tabla1[[#This Row],[Ean Normalizado]],Consumos!A:A,Consumos!E:E)</f>
        <v>#VALUE!</v>
      </c>
      <c r="R1749" s="22" t="e">
        <f>_xlfn.XLOOKUP(Tabla1[[#This Row],[Ean Normalizado]],tabla_consumos[EAN],tabla_consumos[UM])</f>
        <v>#VALUE!</v>
      </c>
      <c r="S1749" s="22" t="e">
        <f>Tabla1[[#This Row],[StockDisp]]*Tabla1[[#This Row],[UM producto]]</f>
        <v>#VALUE!</v>
      </c>
    </row>
    <row r="1750" spans="1:19" x14ac:dyDescent="0.35">
      <c r="A1750" s="5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6"/>
      <c r="P1750" s="23" t="e">
        <f>TRIM(Tabla1[[#This Row],[Articulo]])</f>
        <v>#VALUE!</v>
      </c>
      <c r="Q1750" s="23" t="e">
        <f>_xlfn.XLOOKUP(Tabla1[[#This Row],[Ean Normalizado]],Consumos!A:A,Consumos!E:E)</f>
        <v>#VALUE!</v>
      </c>
      <c r="R1750" s="22" t="e">
        <f>_xlfn.XLOOKUP(Tabla1[[#This Row],[Ean Normalizado]],tabla_consumos[EAN],tabla_consumos[UM])</f>
        <v>#VALUE!</v>
      </c>
      <c r="S1750" s="22" t="e">
        <f>Tabla1[[#This Row],[StockDisp]]*Tabla1[[#This Row],[UM producto]]</f>
        <v>#VALUE!</v>
      </c>
    </row>
    <row r="1751" spans="1:19" x14ac:dyDescent="0.35">
      <c r="A1751" s="5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6"/>
      <c r="P1751" s="23" t="e">
        <f>TRIM(Tabla1[[#This Row],[Articulo]])</f>
        <v>#VALUE!</v>
      </c>
      <c r="Q1751" s="23" t="e">
        <f>_xlfn.XLOOKUP(Tabla1[[#This Row],[Ean Normalizado]],Consumos!A:A,Consumos!E:E)</f>
        <v>#VALUE!</v>
      </c>
      <c r="R1751" s="22" t="e">
        <f>_xlfn.XLOOKUP(Tabla1[[#This Row],[Ean Normalizado]],tabla_consumos[EAN],tabla_consumos[UM])</f>
        <v>#VALUE!</v>
      </c>
      <c r="S1751" s="22" t="e">
        <f>Tabla1[[#This Row],[StockDisp]]*Tabla1[[#This Row],[UM producto]]</f>
        <v>#VALUE!</v>
      </c>
    </row>
    <row r="1752" spans="1:19" x14ac:dyDescent="0.35">
      <c r="A1752" s="5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6"/>
      <c r="P1752" s="23" t="e">
        <f>TRIM(Tabla1[[#This Row],[Articulo]])</f>
        <v>#VALUE!</v>
      </c>
      <c r="Q1752" s="23" t="e">
        <f>_xlfn.XLOOKUP(Tabla1[[#This Row],[Ean Normalizado]],Consumos!A:A,Consumos!E:E)</f>
        <v>#VALUE!</v>
      </c>
      <c r="R1752" s="22" t="e">
        <f>_xlfn.XLOOKUP(Tabla1[[#This Row],[Ean Normalizado]],tabla_consumos[EAN],tabla_consumos[UM])</f>
        <v>#VALUE!</v>
      </c>
      <c r="S1752" s="22" t="e">
        <f>Tabla1[[#This Row],[StockDisp]]*Tabla1[[#This Row],[UM producto]]</f>
        <v>#VALUE!</v>
      </c>
    </row>
    <row r="1753" spans="1:19" x14ac:dyDescent="0.35">
      <c r="A1753" s="5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6"/>
      <c r="P1753" s="23" t="e">
        <f>TRIM(Tabla1[[#This Row],[Articulo]])</f>
        <v>#VALUE!</v>
      </c>
      <c r="Q1753" s="23" t="e">
        <f>_xlfn.XLOOKUP(Tabla1[[#This Row],[Ean Normalizado]],Consumos!A:A,Consumos!E:E)</f>
        <v>#VALUE!</v>
      </c>
      <c r="R1753" s="22" t="e">
        <f>_xlfn.XLOOKUP(Tabla1[[#This Row],[Ean Normalizado]],tabla_consumos[EAN],tabla_consumos[UM])</f>
        <v>#VALUE!</v>
      </c>
      <c r="S1753" s="22" t="e">
        <f>Tabla1[[#This Row],[StockDisp]]*Tabla1[[#This Row],[UM producto]]</f>
        <v>#VALUE!</v>
      </c>
    </row>
    <row r="1754" spans="1:19" x14ac:dyDescent="0.35">
      <c r="A1754" s="5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6"/>
      <c r="P1754" s="23" t="e">
        <f>TRIM(Tabla1[[#This Row],[Articulo]])</f>
        <v>#VALUE!</v>
      </c>
      <c r="Q1754" s="23" t="e">
        <f>_xlfn.XLOOKUP(Tabla1[[#This Row],[Ean Normalizado]],Consumos!A:A,Consumos!E:E)</f>
        <v>#VALUE!</v>
      </c>
      <c r="R1754" s="22" t="e">
        <f>_xlfn.XLOOKUP(Tabla1[[#This Row],[Ean Normalizado]],tabla_consumos[EAN],tabla_consumos[UM])</f>
        <v>#VALUE!</v>
      </c>
      <c r="S1754" s="22" t="e">
        <f>Tabla1[[#This Row],[StockDisp]]*Tabla1[[#This Row],[UM producto]]</f>
        <v>#VALUE!</v>
      </c>
    </row>
    <row r="1755" spans="1:19" x14ac:dyDescent="0.35">
      <c r="A1755" s="5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6"/>
      <c r="P1755" s="23" t="e">
        <f>TRIM(Tabla1[[#This Row],[Articulo]])</f>
        <v>#VALUE!</v>
      </c>
      <c r="Q1755" s="23" t="e">
        <f>_xlfn.XLOOKUP(Tabla1[[#This Row],[Ean Normalizado]],Consumos!A:A,Consumos!E:E)</f>
        <v>#VALUE!</v>
      </c>
      <c r="R1755" s="22" t="e">
        <f>_xlfn.XLOOKUP(Tabla1[[#This Row],[Ean Normalizado]],tabla_consumos[EAN],tabla_consumos[UM])</f>
        <v>#VALUE!</v>
      </c>
      <c r="S1755" s="22" t="e">
        <f>Tabla1[[#This Row],[StockDisp]]*Tabla1[[#This Row],[UM producto]]</f>
        <v>#VALUE!</v>
      </c>
    </row>
    <row r="1756" spans="1:19" x14ac:dyDescent="0.35">
      <c r="A1756" s="5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6"/>
      <c r="P1756" s="23" t="e">
        <f>TRIM(Tabla1[[#This Row],[Articulo]])</f>
        <v>#VALUE!</v>
      </c>
      <c r="Q1756" s="23" t="e">
        <f>_xlfn.XLOOKUP(Tabla1[[#This Row],[Ean Normalizado]],Consumos!A:A,Consumos!E:E)</f>
        <v>#VALUE!</v>
      </c>
      <c r="R1756" s="22" t="e">
        <f>_xlfn.XLOOKUP(Tabla1[[#This Row],[Ean Normalizado]],tabla_consumos[EAN],tabla_consumos[UM])</f>
        <v>#VALUE!</v>
      </c>
      <c r="S1756" s="22" t="e">
        <f>Tabla1[[#This Row],[StockDisp]]*Tabla1[[#This Row],[UM producto]]</f>
        <v>#VALUE!</v>
      </c>
    </row>
    <row r="1757" spans="1:19" x14ac:dyDescent="0.35">
      <c r="A1757" s="5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6"/>
      <c r="P1757" s="23" t="e">
        <f>TRIM(Tabla1[[#This Row],[Articulo]])</f>
        <v>#VALUE!</v>
      </c>
      <c r="Q1757" s="23" t="e">
        <f>_xlfn.XLOOKUP(Tabla1[[#This Row],[Ean Normalizado]],Consumos!A:A,Consumos!E:E)</f>
        <v>#VALUE!</v>
      </c>
      <c r="R1757" s="22" t="e">
        <f>_xlfn.XLOOKUP(Tabla1[[#This Row],[Ean Normalizado]],tabla_consumos[EAN],tabla_consumos[UM])</f>
        <v>#VALUE!</v>
      </c>
      <c r="S1757" s="22" t="e">
        <f>Tabla1[[#This Row],[StockDisp]]*Tabla1[[#This Row],[UM producto]]</f>
        <v>#VALUE!</v>
      </c>
    </row>
    <row r="1758" spans="1:19" x14ac:dyDescent="0.35">
      <c r="A1758" s="5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6"/>
      <c r="P1758" s="23" t="e">
        <f>TRIM(Tabla1[[#This Row],[Articulo]])</f>
        <v>#VALUE!</v>
      </c>
      <c r="Q1758" s="23" t="e">
        <f>_xlfn.XLOOKUP(Tabla1[[#This Row],[Ean Normalizado]],Consumos!A:A,Consumos!E:E)</f>
        <v>#VALUE!</v>
      </c>
      <c r="R1758" s="22" t="e">
        <f>_xlfn.XLOOKUP(Tabla1[[#This Row],[Ean Normalizado]],tabla_consumos[EAN],tabla_consumos[UM])</f>
        <v>#VALUE!</v>
      </c>
      <c r="S1758" s="22" t="e">
        <f>Tabla1[[#This Row],[StockDisp]]*Tabla1[[#This Row],[UM producto]]</f>
        <v>#VALUE!</v>
      </c>
    </row>
    <row r="1759" spans="1:19" x14ac:dyDescent="0.35">
      <c r="A1759" s="5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6"/>
      <c r="P1759" s="23" t="e">
        <f>TRIM(Tabla1[[#This Row],[Articulo]])</f>
        <v>#VALUE!</v>
      </c>
      <c r="Q1759" s="23" t="e">
        <f>_xlfn.XLOOKUP(Tabla1[[#This Row],[Ean Normalizado]],Consumos!A:A,Consumos!E:E)</f>
        <v>#VALUE!</v>
      </c>
      <c r="R1759" s="22" t="e">
        <f>_xlfn.XLOOKUP(Tabla1[[#This Row],[Ean Normalizado]],tabla_consumos[EAN],tabla_consumos[UM])</f>
        <v>#VALUE!</v>
      </c>
      <c r="S1759" s="22" t="e">
        <f>Tabla1[[#This Row],[StockDisp]]*Tabla1[[#This Row],[UM producto]]</f>
        <v>#VALUE!</v>
      </c>
    </row>
    <row r="1760" spans="1:19" x14ac:dyDescent="0.35">
      <c r="A1760" s="5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6"/>
      <c r="P1760" s="23" t="e">
        <f>TRIM(Tabla1[[#This Row],[Articulo]])</f>
        <v>#VALUE!</v>
      </c>
      <c r="Q1760" s="23" t="e">
        <f>_xlfn.XLOOKUP(Tabla1[[#This Row],[Ean Normalizado]],Consumos!A:A,Consumos!E:E)</f>
        <v>#VALUE!</v>
      </c>
      <c r="R1760" s="22" t="e">
        <f>_xlfn.XLOOKUP(Tabla1[[#This Row],[Ean Normalizado]],tabla_consumos[EAN],tabla_consumos[UM])</f>
        <v>#VALUE!</v>
      </c>
      <c r="S1760" s="22" t="e">
        <f>Tabla1[[#This Row],[StockDisp]]*Tabla1[[#This Row],[UM producto]]</f>
        <v>#VALUE!</v>
      </c>
    </row>
    <row r="1761" spans="1:19" x14ac:dyDescent="0.35">
      <c r="A1761" s="5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6"/>
      <c r="P1761" s="23" t="e">
        <f>TRIM(Tabla1[[#This Row],[Articulo]])</f>
        <v>#VALUE!</v>
      </c>
      <c r="Q1761" s="23" t="e">
        <f>_xlfn.XLOOKUP(Tabla1[[#This Row],[Ean Normalizado]],Consumos!A:A,Consumos!E:E)</f>
        <v>#VALUE!</v>
      </c>
      <c r="R1761" s="22" t="e">
        <f>_xlfn.XLOOKUP(Tabla1[[#This Row],[Ean Normalizado]],tabla_consumos[EAN],tabla_consumos[UM])</f>
        <v>#VALUE!</v>
      </c>
      <c r="S1761" s="22" t="e">
        <f>Tabla1[[#This Row],[StockDisp]]*Tabla1[[#This Row],[UM producto]]</f>
        <v>#VALUE!</v>
      </c>
    </row>
    <row r="1762" spans="1:19" x14ac:dyDescent="0.35">
      <c r="A1762" s="5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6"/>
      <c r="P1762" s="23" t="e">
        <f>TRIM(Tabla1[[#This Row],[Articulo]])</f>
        <v>#VALUE!</v>
      </c>
      <c r="Q1762" s="23" t="e">
        <f>_xlfn.XLOOKUP(Tabla1[[#This Row],[Ean Normalizado]],Consumos!A:A,Consumos!E:E)</f>
        <v>#VALUE!</v>
      </c>
      <c r="R1762" s="22" t="e">
        <f>_xlfn.XLOOKUP(Tabla1[[#This Row],[Ean Normalizado]],tabla_consumos[EAN],tabla_consumos[UM])</f>
        <v>#VALUE!</v>
      </c>
      <c r="S1762" s="22" t="e">
        <f>Tabla1[[#This Row],[StockDisp]]*Tabla1[[#This Row],[UM producto]]</f>
        <v>#VALUE!</v>
      </c>
    </row>
    <row r="1763" spans="1:19" x14ac:dyDescent="0.35">
      <c r="A1763" s="5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6"/>
      <c r="P1763" s="23" t="e">
        <f>TRIM(Tabla1[[#This Row],[Articulo]])</f>
        <v>#VALUE!</v>
      </c>
      <c r="Q1763" s="23" t="e">
        <f>_xlfn.XLOOKUP(Tabla1[[#This Row],[Ean Normalizado]],Consumos!A:A,Consumos!E:E)</f>
        <v>#VALUE!</v>
      </c>
      <c r="R1763" s="22" t="e">
        <f>_xlfn.XLOOKUP(Tabla1[[#This Row],[Ean Normalizado]],tabla_consumos[EAN],tabla_consumos[UM])</f>
        <v>#VALUE!</v>
      </c>
      <c r="S1763" s="22" t="e">
        <f>Tabla1[[#This Row],[StockDisp]]*Tabla1[[#This Row],[UM producto]]</f>
        <v>#VALUE!</v>
      </c>
    </row>
    <row r="1764" spans="1:19" x14ac:dyDescent="0.35">
      <c r="A1764" s="5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6"/>
      <c r="P1764" s="23" t="e">
        <f>TRIM(Tabla1[[#This Row],[Articulo]])</f>
        <v>#VALUE!</v>
      </c>
      <c r="Q1764" s="23" t="e">
        <f>_xlfn.XLOOKUP(Tabla1[[#This Row],[Ean Normalizado]],Consumos!A:A,Consumos!E:E)</f>
        <v>#VALUE!</v>
      </c>
      <c r="R1764" s="22" t="e">
        <f>_xlfn.XLOOKUP(Tabla1[[#This Row],[Ean Normalizado]],tabla_consumos[EAN],tabla_consumos[UM])</f>
        <v>#VALUE!</v>
      </c>
      <c r="S1764" s="22" t="e">
        <f>Tabla1[[#This Row],[StockDisp]]*Tabla1[[#This Row],[UM producto]]</f>
        <v>#VALUE!</v>
      </c>
    </row>
    <row r="1765" spans="1:19" x14ac:dyDescent="0.35">
      <c r="A1765" s="5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6"/>
      <c r="P1765" s="23" t="e">
        <f>TRIM(Tabla1[[#This Row],[Articulo]])</f>
        <v>#VALUE!</v>
      </c>
      <c r="Q1765" s="23" t="e">
        <f>_xlfn.XLOOKUP(Tabla1[[#This Row],[Ean Normalizado]],Consumos!A:A,Consumos!E:E)</f>
        <v>#VALUE!</v>
      </c>
      <c r="R1765" s="22" t="e">
        <f>_xlfn.XLOOKUP(Tabla1[[#This Row],[Ean Normalizado]],tabla_consumos[EAN],tabla_consumos[UM])</f>
        <v>#VALUE!</v>
      </c>
      <c r="S1765" s="22" t="e">
        <f>Tabla1[[#This Row],[StockDisp]]*Tabla1[[#This Row],[UM producto]]</f>
        <v>#VALUE!</v>
      </c>
    </row>
    <row r="1766" spans="1:19" x14ac:dyDescent="0.35">
      <c r="A1766" s="5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6"/>
      <c r="P1766" s="23" t="e">
        <f>TRIM(Tabla1[[#This Row],[Articulo]])</f>
        <v>#VALUE!</v>
      </c>
      <c r="Q1766" s="23" t="e">
        <f>_xlfn.XLOOKUP(Tabla1[[#This Row],[Ean Normalizado]],Consumos!A:A,Consumos!E:E)</f>
        <v>#VALUE!</v>
      </c>
      <c r="R1766" s="22" t="e">
        <f>_xlfn.XLOOKUP(Tabla1[[#This Row],[Ean Normalizado]],tabla_consumos[EAN],tabla_consumos[UM])</f>
        <v>#VALUE!</v>
      </c>
      <c r="S1766" s="22" t="e">
        <f>Tabla1[[#This Row],[StockDisp]]*Tabla1[[#This Row],[UM producto]]</f>
        <v>#VALUE!</v>
      </c>
    </row>
    <row r="1767" spans="1:19" x14ac:dyDescent="0.35">
      <c r="A1767" s="5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6"/>
      <c r="P1767" s="23" t="e">
        <f>TRIM(Tabla1[[#This Row],[Articulo]])</f>
        <v>#VALUE!</v>
      </c>
      <c r="Q1767" s="23" t="e">
        <f>_xlfn.XLOOKUP(Tabla1[[#This Row],[Ean Normalizado]],Consumos!A:A,Consumos!E:E)</f>
        <v>#VALUE!</v>
      </c>
      <c r="R1767" s="22" t="e">
        <f>_xlfn.XLOOKUP(Tabla1[[#This Row],[Ean Normalizado]],tabla_consumos[EAN],tabla_consumos[UM])</f>
        <v>#VALUE!</v>
      </c>
      <c r="S1767" s="22" t="e">
        <f>Tabla1[[#This Row],[StockDisp]]*Tabla1[[#This Row],[UM producto]]</f>
        <v>#VALUE!</v>
      </c>
    </row>
    <row r="1768" spans="1:19" x14ac:dyDescent="0.35">
      <c r="A1768" s="5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6"/>
      <c r="P1768" s="23" t="e">
        <f>TRIM(Tabla1[[#This Row],[Articulo]])</f>
        <v>#VALUE!</v>
      </c>
      <c r="Q1768" s="23" t="e">
        <f>_xlfn.XLOOKUP(Tabla1[[#This Row],[Ean Normalizado]],Consumos!A:A,Consumos!E:E)</f>
        <v>#VALUE!</v>
      </c>
      <c r="R1768" s="22" t="e">
        <f>_xlfn.XLOOKUP(Tabla1[[#This Row],[Ean Normalizado]],tabla_consumos[EAN],tabla_consumos[UM])</f>
        <v>#VALUE!</v>
      </c>
      <c r="S1768" s="22" t="e">
        <f>Tabla1[[#This Row],[StockDisp]]*Tabla1[[#This Row],[UM producto]]</f>
        <v>#VALUE!</v>
      </c>
    </row>
    <row r="1769" spans="1:19" x14ac:dyDescent="0.35">
      <c r="A1769" s="5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6"/>
      <c r="P1769" s="23" t="e">
        <f>TRIM(Tabla1[[#This Row],[Articulo]])</f>
        <v>#VALUE!</v>
      </c>
      <c r="Q1769" s="23" t="e">
        <f>_xlfn.XLOOKUP(Tabla1[[#This Row],[Ean Normalizado]],Consumos!A:A,Consumos!E:E)</f>
        <v>#VALUE!</v>
      </c>
      <c r="R1769" s="22" t="e">
        <f>_xlfn.XLOOKUP(Tabla1[[#This Row],[Ean Normalizado]],tabla_consumos[EAN],tabla_consumos[UM])</f>
        <v>#VALUE!</v>
      </c>
      <c r="S1769" s="22" t="e">
        <f>Tabla1[[#This Row],[StockDisp]]*Tabla1[[#This Row],[UM producto]]</f>
        <v>#VALUE!</v>
      </c>
    </row>
    <row r="1770" spans="1:19" x14ac:dyDescent="0.35">
      <c r="A1770" s="5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6"/>
      <c r="P1770" s="23" t="e">
        <f>TRIM(Tabla1[[#This Row],[Articulo]])</f>
        <v>#VALUE!</v>
      </c>
      <c r="Q1770" s="23" t="e">
        <f>_xlfn.XLOOKUP(Tabla1[[#This Row],[Ean Normalizado]],Consumos!A:A,Consumos!E:E)</f>
        <v>#VALUE!</v>
      </c>
      <c r="R1770" s="22" t="e">
        <f>_xlfn.XLOOKUP(Tabla1[[#This Row],[Ean Normalizado]],tabla_consumos[EAN],tabla_consumos[UM])</f>
        <v>#VALUE!</v>
      </c>
      <c r="S1770" s="22" t="e">
        <f>Tabla1[[#This Row],[StockDisp]]*Tabla1[[#This Row],[UM producto]]</f>
        <v>#VALUE!</v>
      </c>
    </row>
    <row r="1771" spans="1:19" x14ac:dyDescent="0.35">
      <c r="A1771" s="5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6"/>
      <c r="P1771" s="23" t="e">
        <f>TRIM(Tabla1[[#This Row],[Articulo]])</f>
        <v>#VALUE!</v>
      </c>
      <c r="Q1771" s="23" t="e">
        <f>_xlfn.XLOOKUP(Tabla1[[#This Row],[Ean Normalizado]],Consumos!A:A,Consumos!E:E)</f>
        <v>#VALUE!</v>
      </c>
      <c r="R1771" s="22" t="e">
        <f>_xlfn.XLOOKUP(Tabla1[[#This Row],[Ean Normalizado]],tabla_consumos[EAN],tabla_consumos[UM])</f>
        <v>#VALUE!</v>
      </c>
      <c r="S1771" s="22" t="e">
        <f>Tabla1[[#This Row],[StockDisp]]*Tabla1[[#This Row],[UM producto]]</f>
        <v>#VALUE!</v>
      </c>
    </row>
    <row r="1772" spans="1:19" x14ac:dyDescent="0.35">
      <c r="A1772" s="5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6"/>
      <c r="P1772" s="23" t="e">
        <f>TRIM(Tabla1[[#This Row],[Articulo]])</f>
        <v>#VALUE!</v>
      </c>
      <c r="Q1772" s="23" t="e">
        <f>_xlfn.XLOOKUP(Tabla1[[#This Row],[Ean Normalizado]],Consumos!A:A,Consumos!E:E)</f>
        <v>#VALUE!</v>
      </c>
      <c r="R1772" s="22" t="e">
        <f>_xlfn.XLOOKUP(Tabla1[[#This Row],[Ean Normalizado]],tabla_consumos[EAN],tabla_consumos[UM])</f>
        <v>#VALUE!</v>
      </c>
      <c r="S1772" s="22" t="e">
        <f>Tabla1[[#This Row],[StockDisp]]*Tabla1[[#This Row],[UM producto]]</f>
        <v>#VALUE!</v>
      </c>
    </row>
    <row r="1773" spans="1:19" x14ac:dyDescent="0.35">
      <c r="A1773" s="5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6"/>
      <c r="P1773" s="23" t="e">
        <f>TRIM(Tabla1[[#This Row],[Articulo]])</f>
        <v>#VALUE!</v>
      </c>
      <c r="Q1773" s="23" t="e">
        <f>_xlfn.XLOOKUP(Tabla1[[#This Row],[Ean Normalizado]],Consumos!A:A,Consumos!E:E)</f>
        <v>#VALUE!</v>
      </c>
      <c r="R1773" s="22" t="e">
        <f>_xlfn.XLOOKUP(Tabla1[[#This Row],[Ean Normalizado]],tabla_consumos[EAN],tabla_consumos[UM])</f>
        <v>#VALUE!</v>
      </c>
      <c r="S1773" s="22" t="e">
        <f>Tabla1[[#This Row],[StockDisp]]*Tabla1[[#This Row],[UM producto]]</f>
        <v>#VALUE!</v>
      </c>
    </row>
    <row r="1774" spans="1:19" x14ac:dyDescent="0.35">
      <c r="A1774" s="5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6"/>
      <c r="P1774" s="23" t="e">
        <f>TRIM(Tabla1[[#This Row],[Articulo]])</f>
        <v>#VALUE!</v>
      </c>
      <c r="Q1774" s="23" t="e">
        <f>_xlfn.XLOOKUP(Tabla1[[#This Row],[Ean Normalizado]],Consumos!A:A,Consumos!E:E)</f>
        <v>#VALUE!</v>
      </c>
      <c r="R1774" s="22" t="e">
        <f>_xlfn.XLOOKUP(Tabla1[[#This Row],[Ean Normalizado]],tabla_consumos[EAN],tabla_consumos[UM])</f>
        <v>#VALUE!</v>
      </c>
      <c r="S1774" s="22" t="e">
        <f>Tabla1[[#This Row],[StockDisp]]*Tabla1[[#This Row],[UM producto]]</f>
        <v>#VALUE!</v>
      </c>
    </row>
    <row r="1775" spans="1:19" x14ac:dyDescent="0.35">
      <c r="A1775" s="5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6"/>
      <c r="P1775" s="23" t="e">
        <f>TRIM(Tabla1[[#This Row],[Articulo]])</f>
        <v>#VALUE!</v>
      </c>
      <c r="Q1775" s="23" t="e">
        <f>_xlfn.XLOOKUP(Tabla1[[#This Row],[Ean Normalizado]],Consumos!A:A,Consumos!E:E)</f>
        <v>#VALUE!</v>
      </c>
      <c r="R1775" s="22" t="e">
        <f>_xlfn.XLOOKUP(Tabla1[[#This Row],[Ean Normalizado]],tabla_consumos[EAN],tabla_consumos[UM])</f>
        <v>#VALUE!</v>
      </c>
      <c r="S1775" s="22" t="e">
        <f>Tabla1[[#This Row],[StockDisp]]*Tabla1[[#This Row],[UM producto]]</f>
        <v>#VALUE!</v>
      </c>
    </row>
    <row r="1776" spans="1:19" x14ac:dyDescent="0.35">
      <c r="A1776" s="5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6"/>
      <c r="P1776" s="23" t="e">
        <f>TRIM(Tabla1[[#This Row],[Articulo]])</f>
        <v>#VALUE!</v>
      </c>
      <c r="Q1776" s="23" t="e">
        <f>_xlfn.XLOOKUP(Tabla1[[#This Row],[Ean Normalizado]],Consumos!A:A,Consumos!E:E)</f>
        <v>#VALUE!</v>
      </c>
      <c r="R1776" s="22" t="e">
        <f>_xlfn.XLOOKUP(Tabla1[[#This Row],[Ean Normalizado]],tabla_consumos[EAN],tabla_consumos[UM])</f>
        <v>#VALUE!</v>
      </c>
      <c r="S1776" s="22" t="e">
        <f>Tabla1[[#This Row],[StockDisp]]*Tabla1[[#This Row],[UM producto]]</f>
        <v>#VALUE!</v>
      </c>
    </row>
    <row r="1777" spans="1:19" x14ac:dyDescent="0.35">
      <c r="A1777" s="5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6"/>
      <c r="P1777" s="23" t="e">
        <f>TRIM(Tabla1[[#This Row],[Articulo]])</f>
        <v>#VALUE!</v>
      </c>
      <c r="Q1777" s="23" t="e">
        <f>_xlfn.XLOOKUP(Tabla1[[#This Row],[Ean Normalizado]],Consumos!A:A,Consumos!E:E)</f>
        <v>#VALUE!</v>
      </c>
      <c r="R1777" s="22" t="e">
        <f>_xlfn.XLOOKUP(Tabla1[[#This Row],[Ean Normalizado]],tabla_consumos[EAN],tabla_consumos[UM])</f>
        <v>#VALUE!</v>
      </c>
      <c r="S1777" s="22" t="e">
        <f>Tabla1[[#This Row],[StockDisp]]*Tabla1[[#This Row],[UM producto]]</f>
        <v>#VALUE!</v>
      </c>
    </row>
    <row r="1778" spans="1:19" x14ac:dyDescent="0.35">
      <c r="A1778" s="5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6"/>
      <c r="P1778" s="23" t="e">
        <f>TRIM(Tabla1[[#This Row],[Articulo]])</f>
        <v>#VALUE!</v>
      </c>
      <c r="Q1778" s="23" t="e">
        <f>_xlfn.XLOOKUP(Tabla1[[#This Row],[Ean Normalizado]],Consumos!A:A,Consumos!E:E)</f>
        <v>#VALUE!</v>
      </c>
      <c r="R1778" s="22" t="e">
        <f>_xlfn.XLOOKUP(Tabla1[[#This Row],[Ean Normalizado]],tabla_consumos[EAN],tabla_consumos[UM])</f>
        <v>#VALUE!</v>
      </c>
      <c r="S1778" s="22" t="e">
        <f>Tabla1[[#This Row],[StockDisp]]*Tabla1[[#This Row],[UM producto]]</f>
        <v>#VALUE!</v>
      </c>
    </row>
    <row r="1779" spans="1:19" x14ac:dyDescent="0.35">
      <c r="A1779" s="5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6"/>
      <c r="P1779" s="23" t="e">
        <f>TRIM(Tabla1[[#This Row],[Articulo]])</f>
        <v>#VALUE!</v>
      </c>
      <c r="Q1779" s="23" t="e">
        <f>_xlfn.XLOOKUP(Tabla1[[#This Row],[Ean Normalizado]],Consumos!A:A,Consumos!E:E)</f>
        <v>#VALUE!</v>
      </c>
      <c r="R1779" s="22" t="e">
        <f>_xlfn.XLOOKUP(Tabla1[[#This Row],[Ean Normalizado]],tabla_consumos[EAN],tabla_consumos[UM])</f>
        <v>#VALUE!</v>
      </c>
      <c r="S1779" s="22" t="e">
        <f>Tabla1[[#This Row],[StockDisp]]*Tabla1[[#This Row],[UM producto]]</f>
        <v>#VALUE!</v>
      </c>
    </row>
    <row r="1780" spans="1:19" x14ac:dyDescent="0.35">
      <c r="A1780" s="5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6"/>
      <c r="P1780" s="23" t="e">
        <f>TRIM(Tabla1[[#This Row],[Articulo]])</f>
        <v>#VALUE!</v>
      </c>
      <c r="Q1780" s="23" t="e">
        <f>_xlfn.XLOOKUP(Tabla1[[#This Row],[Ean Normalizado]],Consumos!A:A,Consumos!E:E)</f>
        <v>#VALUE!</v>
      </c>
      <c r="R1780" s="22" t="e">
        <f>_xlfn.XLOOKUP(Tabla1[[#This Row],[Ean Normalizado]],tabla_consumos[EAN],tabla_consumos[UM])</f>
        <v>#VALUE!</v>
      </c>
      <c r="S1780" s="22" t="e">
        <f>Tabla1[[#This Row],[StockDisp]]*Tabla1[[#This Row],[UM producto]]</f>
        <v>#VALUE!</v>
      </c>
    </row>
    <row r="1781" spans="1:19" x14ac:dyDescent="0.35">
      <c r="A1781" s="5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6"/>
      <c r="P1781" s="23" t="e">
        <f>TRIM(Tabla1[[#This Row],[Articulo]])</f>
        <v>#VALUE!</v>
      </c>
      <c r="Q1781" s="23" t="e">
        <f>_xlfn.XLOOKUP(Tabla1[[#This Row],[Ean Normalizado]],Consumos!A:A,Consumos!E:E)</f>
        <v>#VALUE!</v>
      </c>
      <c r="R1781" s="22" t="e">
        <f>_xlfn.XLOOKUP(Tabla1[[#This Row],[Ean Normalizado]],tabla_consumos[EAN],tabla_consumos[UM])</f>
        <v>#VALUE!</v>
      </c>
      <c r="S1781" s="22" t="e">
        <f>Tabla1[[#This Row],[StockDisp]]*Tabla1[[#This Row],[UM producto]]</f>
        <v>#VALUE!</v>
      </c>
    </row>
    <row r="1782" spans="1:19" x14ac:dyDescent="0.35">
      <c r="A1782" s="5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6"/>
      <c r="P1782" s="23" t="e">
        <f>TRIM(Tabla1[[#This Row],[Articulo]])</f>
        <v>#VALUE!</v>
      </c>
      <c r="Q1782" s="23" t="e">
        <f>_xlfn.XLOOKUP(Tabla1[[#This Row],[Ean Normalizado]],Consumos!A:A,Consumos!E:E)</f>
        <v>#VALUE!</v>
      </c>
      <c r="R1782" s="22" t="e">
        <f>_xlfn.XLOOKUP(Tabla1[[#This Row],[Ean Normalizado]],tabla_consumos[EAN],tabla_consumos[UM])</f>
        <v>#VALUE!</v>
      </c>
      <c r="S1782" s="22" t="e">
        <f>Tabla1[[#This Row],[StockDisp]]*Tabla1[[#This Row],[UM producto]]</f>
        <v>#VALUE!</v>
      </c>
    </row>
    <row r="1783" spans="1:19" x14ac:dyDescent="0.35">
      <c r="A1783" s="5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6"/>
      <c r="P1783" s="23" t="e">
        <f>TRIM(Tabla1[[#This Row],[Articulo]])</f>
        <v>#VALUE!</v>
      </c>
      <c r="Q1783" s="23" t="e">
        <f>_xlfn.XLOOKUP(Tabla1[[#This Row],[Ean Normalizado]],Consumos!A:A,Consumos!E:E)</f>
        <v>#VALUE!</v>
      </c>
      <c r="R1783" s="22" t="e">
        <f>_xlfn.XLOOKUP(Tabla1[[#This Row],[Ean Normalizado]],tabla_consumos[EAN],tabla_consumos[UM])</f>
        <v>#VALUE!</v>
      </c>
      <c r="S1783" s="22" t="e">
        <f>Tabla1[[#This Row],[StockDisp]]*Tabla1[[#This Row],[UM producto]]</f>
        <v>#VALUE!</v>
      </c>
    </row>
    <row r="1784" spans="1:19" x14ac:dyDescent="0.35">
      <c r="A1784" s="5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6"/>
      <c r="P1784" s="23" t="e">
        <f>TRIM(Tabla1[[#This Row],[Articulo]])</f>
        <v>#VALUE!</v>
      </c>
      <c r="Q1784" s="23" t="e">
        <f>_xlfn.XLOOKUP(Tabla1[[#This Row],[Ean Normalizado]],Consumos!A:A,Consumos!E:E)</f>
        <v>#VALUE!</v>
      </c>
      <c r="R1784" s="22" t="e">
        <f>_xlfn.XLOOKUP(Tabla1[[#This Row],[Ean Normalizado]],tabla_consumos[EAN],tabla_consumos[UM])</f>
        <v>#VALUE!</v>
      </c>
      <c r="S1784" s="22" t="e">
        <f>Tabla1[[#This Row],[StockDisp]]*Tabla1[[#This Row],[UM producto]]</f>
        <v>#VALUE!</v>
      </c>
    </row>
    <row r="1785" spans="1:19" x14ac:dyDescent="0.35">
      <c r="A1785" s="5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6"/>
      <c r="P1785" s="23" t="e">
        <f>TRIM(Tabla1[[#This Row],[Articulo]])</f>
        <v>#VALUE!</v>
      </c>
      <c r="Q1785" s="23" t="e">
        <f>_xlfn.XLOOKUP(Tabla1[[#This Row],[Ean Normalizado]],Consumos!A:A,Consumos!E:E)</f>
        <v>#VALUE!</v>
      </c>
      <c r="R1785" s="22" t="e">
        <f>_xlfn.XLOOKUP(Tabla1[[#This Row],[Ean Normalizado]],tabla_consumos[EAN],tabla_consumos[UM])</f>
        <v>#VALUE!</v>
      </c>
      <c r="S1785" s="22" t="e">
        <f>Tabla1[[#This Row],[StockDisp]]*Tabla1[[#This Row],[UM producto]]</f>
        <v>#VALUE!</v>
      </c>
    </row>
    <row r="1786" spans="1:19" x14ac:dyDescent="0.35">
      <c r="A1786" s="5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6"/>
      <c r="P1786" s="23" t="e">
        <f>TRIM(Tabla1[[#This Row],[Articulo]])</f>
        <v>#VALUE!</v>
      </c>
      <c r="Q1786" s="23" t="e">
        <f>_xlfn.XLOOKUP(Tabla1[[#This Row],[Ean Normalizado]],Consumos!A:A,Consumos!E:E)</f>
        <v>#VALUE!</v>
      </c>
      <c r="R1786" s="22" t="e">
        <f>_xlfn.XLOOKUP(Tabla1[[#This Row],[Ean Normalizado]],tabla_consumos[EAN],tabla_consumos[UM])</f>
        <v>#VALUE!</v>
      </c>
      <c r="S1786" s="22" t="e">
        <f>Tabla1[[#This Row],[StockDisp]]*Tabla1[[#This Row],[UM producto]]</f>
        <v>#VALUE!</v>
      </c>
    </row>
    <row r="1787" spans="1:19" x14ac:dyDescent="0.35">
      <c r="A1787" s="5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6"/>
      <c r="P1787" s="23" t="e">
        <f>TRIM(Tabla1[[#This Row],[Articulo]])</f>
        <v>#VALUE!</v>
      </c>
      <c r="Q1787" s="23" t="e">
        <f>_xlfn.XLOOKUP(Tabla1[[#This Row],[Ean Normalizado]],Consumos!A:A,Consumos!E:E)</f>
        <v>#VALUE!</v>
      </c>
      <c r="R1787" s="22" t="e">
        <f>_xlfn.XLOOKUP(Tabla1[[#This Row],[Ean Normalizado]],tabla_consumos[EAN],tabla_consumos[UM])</f>
        <v>#VALUE!</v>
      </c>
      <c r="S1787" s="22" t="e">
        <f>Tabla1[[#This Row],[StockDisp]]*Tabla1[[#This Row],[UM producto]]</f>
        <v>#VALUE!</v>
      </c>
    </row>
    <row r="1788" spans="1:19" x14ac:dyDescent="0.35">
      <c r="A1788" s="5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6"/>
      <c r="P1788" s="23" t="e">
        <f>TRIM(Tabla1[[#This Row],[Articulo]])</f>
        <v>#VALUE!</v>
      </c>
      <c r="Q1788" s="23" t="e">
        <f>_xlfn.XLOOKUP(Tabla1[[#This Row],[Ean Normalizado]],Consumos!A:A,Consumos!E:E)</f>
        <v>#VALUE!</v>
      </c>
      <c r="R1788" s="22" t="e">
        <f>_xlfn.XLOOKUP(Tabla1[[#This Row],[Ean Normalizado]],tabla_consumos[EAN],tabla_consumos[UM])</f>
        <v>#VALUE!</v>
      </c>
      <c r="S1788" s="22" t="e">
        <f>Tabla1[[#This Row],[StockDisp]]*Tabla1[[#This Row],[UM producto]]</f>
        <v>#VALUE!</v>
      </c>
    </row>
    <row r="1789" spans="1:19" x14ac:dyDescent="0.35">
      <c r="A1789" s="5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6"/>
      <c r="P1789" s="23" t="e">
        <f>TRIM(Tabla1[[#This Row],[Articulo]])</f>
        <v>#VALUE!</v>
      </c>
      <c r="Q1789" s="23" t="e">
        <f>_xlfn.XLOOKUP(Tabla1[[#This Row],[Ean Normalizado]],Consumos!A:A,Consumos!E:E)</f>
        <v>#VALUE!</v>
      </c>
      <c r="R1789" s="22" t="e">
        <f>_xlfn.XLOOKUP(Tabla1[[#This Row],[Ean Normalizado]],tabla_consumos[EAN],tabla_consumos[UM])</f>
        <v>#VALUE!</v>
      </c>
      <c r="S1789" s="22" t="e">
        <f>Tabla1[[#This Row],[StockDisp]]*Tabla1[[#This Row],[UM producto]]</f>
        <v>#VALUE!</v>
      </c>
    </row>
    <row r="1790" spans="1:19" x14ac:dyDescent="0.35">
      <c r="A1790" s="5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6"/>
      <c r="P1790" s="23" t="e">
        <f>TRIM(Tabla1[[#This Row],[Articulo]])</f>
        <v>#VALUE!</v>
      </c>
      <c r="Q1790" s="23" t="e">
        <f>_xlfn.XLOOKUP(Tabla1[[#This Row],[Ean Normalizado]],Consumos!A:A,Consumos!E:E)</f>
        <v>#VALUE!</v>
      </c>
      <c r="R1790" s="22" t="e">
        <f>_xlfn.XLOOKUP(Tabla1[[#This Row],[Ean Normalizado]],tabla_consumos[EAN],tabla_consumos[UM])</f>
        <v>#VALUE!</v>
      </c>
      <c r="S1790" s="22" t="e">
        <f>Tabla1[[#This Row],[StockDisp]]*Tabla1[[#This Row],[UM producto]]</f>
        <v>#VALUE!</v>
      </c>
    </row>
    <row r="1791" spans="1:19" x14ac:dyDescent="0.35">
      <c r="A1791" s="5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6"/>
      <c r="P1791" s="23" t="e">
        <f>TRIM(Tabla1[[#This Row],[Articulo]])</f>
        <v>#VALUE!</v>
      </c>
      <c r="Q1791" s="23" t="e">
        <f>_xlfn.XLOOKUP(Tabla1[[#This Row],[Ean Normalizado]],Consumos!A:A,Consumos!E:E)</f>
        <v>#VALUE!</v>
      </c>
      <c r="R1791" s="22" t="e">
        <f>_xlfn.XLOOKUP(Tabla1[[#This Row],[Ean Normalizado]],tabla_consumos[EAN],tabla_consumos[UM])</f>
        <v>#VALUE!</v>
      </c>
      <c r="S1791" s="22" t="e">
        <f>Tabla1[[#This Row],[StockDisp]]*Tabla1[[#This Row],[UM producto]]</f>
        <v>#VALUE!</v>
      </c>
    </row>
    <row r="1792" spans="1:19" x14ac:dyDescent="0.35">
      <c r="A1792" s="5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6"/>
      <c r="P1792" s="23" t="e">
        <f>TRIM(Tabla1[[#This Row],[Articulo]])</f>
        <v>#VALUE!</v>
      </c>
      <c r="Q1792" s="23" t="e">
        <f>_xlfn.XLOOKUP(Tabla1[[#This Row],[Ean Normalizado]],Consumos!A:A,Consumos!E:E)</f>
        <v>#VALUE!</v>
      </c>
      <c r="R1792" s="22" t="e">
        <f>_xlfn.XLOOKUP(Tabla1[[#This Row],[Ean Normalizado]],tabla_consumos[EAN],tabla_consumos[UM])</f>
        <v>#VALUE!</v>
      </c>
      <c r="S1792" s="22" t="e">
        <f>Tabla1[[#This Row],[StockDisp]]*Tabla1[[#This Row],[UM producto]]</f>
        <v>#VALUE!</v>
      </c>
    </row>
    <row r="1793" spans="1:19" x14ac:dyDescent="0.35">
      <c r="A1793" s="5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6"/>
      <c r="P1793" s="23" t="e">
        <f>TRIM(Tabla1[[#This Row],[Articulo]])</f>
        <v>#VALUE!</v>
      </c>
      <c r="Q1793" s="23" t="e">
        <f>_xlfn.XLOOKUP(Tabla1[[#This Row],[Ean Normalizado]],Consumos!A:A,Consumos!E:E)</f>
        <v>#VALUE!</v>
      </c>
      <c r="R1793" s="22" t="e">
        <f>_xlfn.XLOOKUP(Tabla1[[#This Row],[Ean Normalizado]],tabla_consumos[EAN],tabla_consumos[UM])</f>
        <v>#VALUE!</v>
      </c>
      <c r="S1793" s="22" t="e">
        <f>Tabla1[[#This Row],[StockDisp]]*Tabla1[[#This Row],[UM producto]]</f>
        <v>#VALUE!</v>
      </c>
    </row>
    <row r="1794" spans="1:19" x14ac:dyDescent="0.35">
      <c r="A1794" s="5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6"/>
      <c r="P1794" s="23" t="e">
        <f>TRIM(Tabla1[[#This Row],[Articulo]])</f>
        <v>#VALUE!</v>
      </c>
      <c r="Q1794" s="23" t="e">
        <f>_xlfn.XLOOKUP(Tabla1[[#This Row],[Ean Normalizado]],Consumos!A:A,Consumos!E:E)</f>
        <v>#VALUE!</v>
      </c>
      <c r="R1794" s="22" t="e">
        <f>_xlfn.XLOOKUP(Tabla1[[#This Row],[Ean Normalizado]],tabla_consumos[EAN],tabla_consumos[UM])</f>
        <v>#VALUE!</v>
      </c>
      <c r="S1794" s="22" t="e">
        <f>Tabla1[[#This Row],[StockDisp]]*Tabla1[[#This Row],[UM producto]]</f>
        <v>#VALUE!</v>
      </c>
    </row>
    <row r="1795" spans="1:19" x14ac:dyDescent="0.35">
      <c r="A1795" s="5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6"/>
      <c r="P1795" s="23" t="e">
        <f>TRIM(Tabla1[[#This Row],[Articulo]])</f>
        <v>#VALUE!</v>
      </c>
      <c r="Q1795" s="23" t="e">
        <f>_xlfn.XLOOKUP(Tabla1[[#This Row],[Ean Normalizado]],Consumos!A:A,Consumos!E:E)</f>
        <v>#VALUE!</v>
      </c>
      <c r="R1795" s="22" t="e">
        <f>_xlfn.XLOOKUP(Tabla1[[#This Row],[Ean Normalizado]],tabla_consumos[EAN],tabla_consumos[UM])</f>
        <v>#VALUE!</v>
      </c>
      <c r="S1795" s="22" t="e">
        <f>Tabla1[[#This Row],[StockDisp]]*Tabla1[[#This Row],[UM producto]]</f>
        <v>#VALUE!</v>
      </c>
    </row>
    <row r="1796" spans="1:19" x14ac:dyDescent="0.35">
      <c r="A1796" s="5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6"/>
      <c r="P1796" s="23" t="e">
        <f>TRIM(Tabla1[[#This Row],[Articulo]])</f>
        <v>#VALUE!</v>
      </c>
      <c r="Q1796" s="23" t="e">
        <f>_xlfn.XLOOKUP(Tabla1[[#This Row],[Ean Normalizado]],Consumos!A:A,Consumos!E:E)</f>
        <v>#VALUE!</v>
      </c>
      <c r="R1796" s="22" t="e">
        <f>_xlfn.XLOOKUP(Tabla1[[#This Row],[Ean Normalizado]],tabla_consumos[EAN],tabla_consumos[UM])</f>
        <v>#VALUE!</v>
      </c>
      <c r="S1796" s="22" t="e">
        <f>Tabla1[[#This Row],[StockDisp]]*Tabla1[[#This Row],[UM producto]]</f>
        <v>#VALUE!</v>
      </c>
    </row>
    <row r="1797" spans="1:19" x14ac:dyDescent="0.35">
      <c r="A1797" s="5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6"/>
      <c r="P1797" s="23" t="e">
        <f>TRIM(Tabla1[[#This Row],[Articulo]])</f>
        <v>#VALUE!</v>
      </c>
      <c r="Q1797" s="23" t="e">
        <f>_xlfn.XLOOKUP(Tabla1[[#This Row],[Ean Normalizado]],Consumos!A:A,Consumos!E:E)</f>
        <v>#VALUE!</v>
      </c>
      <c r="R1797" s="22" t="e">
        <f>_xlfn.XLOOKUP(Tabla1[[#This Row],[Ean Normalizado]],tabla_consumos[EAN],tabla_consumos[UM])</f>
        <v>#VALUE!</v>
      </c>
      <c r="S1797" s="22" t="e">
        <f>Tabla1[[#This Row],[StockDisp]]*Tabla1[[#This Row],[UM producto]]</f>
        <v>#VALUE!</v>
      </c>
    </row>
    <row r="1798" spans="1:19" x14ac:dyDescent="0.35">
      <c r="A1798" s="5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6"/>
      <c r="P1798" s="23" t="e">
        <f>TRIM(Tabla1[[#This Row],[Articulo]])</f>
        <v>#VALUE!</v>
      </c>
      <c r="Q1798" s="23" t="e">
        <f>_xlfn.XLOOKUP(Tabla1[[#This Row],[Ean Normalizado]],Consumos!A:A,Consumos!E:E)</f>
        <v>#VALUE!</v>
      </c>
      <c r="R1798" s="22" t="e">
        <f>_xlfn.XLOOKUP(Tabla1[[#This Row],[Ean Normalizado]],tabla_consumos[EAN],tabla_consumos[UM])</f>
        <v>#VALUE!</v>
      </c>
      <c r="S1798" s="22" t="e">
        <f>Tabla1[[#This Row],[StockDisp]]*Tabla1[[#This Row],[UM producto]]</f>
        <v>#VALUE!</v>
      </c>
    </row>
    <row r="1799" spans="1:19" x14ac:dyDescent="0.35">
      <c r="A1799" s="5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6"/>
      <c r="P1799" s="23" t="e">
        <f>TRIM(Tabla1[[#This Row],[Articulo]])</f>
        <v>#VALUE!</v>
      </c>
      <c r="Q1799" s="23" t="e">
        <f>_xlfn.XLOOKUP(Tabla1[[#This Row],[Ean Normalizado]],Consumos!A:A,Consumos!E:E)</f>
        <v>#VALUE!</v>
      </c>
      <c r="R1799" s="22" t="e">
        <f>_xlfn.XLOOKUP(Tabla1[[#This Row],[Ean Normalizado]],tabla_consumos[EAN],tabla_consumos[UM])</f>
        <v>#VALUE!</v>
      </c>
      <c r="S1799" s="22" t="e">
        <f>Tabla1[[#This Row],[StockDisp]]*Tabla1[[#This Row],[UM producto]]</f>
        <v>#VALUE!</v>
      </c>
    </row>
    <row r="1800" spans="1:19" x14ac:dyDescent="0.35">
      <c r="A1800" s="5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6"/>
      <c r="P1800" s="23" t="e">
        <f>TRIM(Tabla1[[#This Row],[Articulo]])</f>
        <v>#VALUE!</v>
      </c>
      <c r="Q1800" s="23" t="e">
        <f>_xlfn.XLOOKUP(Tabla1[[#This Row],[Ean Normalizado]],Consumos!A:A,Consumos!E:E)</f>
        <v>#VALUE!</v>
      </c>
      <c r="R1800" s="22" t="e">
        <f>_xlfn.XLOOKUP(Tabla1[[#This Row],[Ean Normalizado]],tabla_consumos[EAN],tabla_consumos[UM])</f>
        <v>#VALUE!</v>
      </c>
      <c r="S1800" s="22" t="e">
        <f>Tabla1[[#This Row],[StockDisp]]*Tabla1[[#This Row],[UM producto]]</f>
        <v>#VALUE!</v>
      </c>
    </row>
    <row r="1801" spans="1:19" x14ac:dyDescent="0.35">
      <c r="A1801" s="5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6"/>
      <c r="P1801" s="23" t="e">
        <f>TRIM(Tabla1[[#This Row],[Articulo]])</f>
        <v>#VALUE!</v>
      </c>
      <c r="Q1801" s="23" t="e">
        <f>_xlfn.XLOOKUP(Tabla1[[#This Row],[Ean Normalizado]],Consumos!A:A,Consumos!E:E)</f>
        <v>#VALUE!</v>
      </c>
      <c r="R1801" s="22" t="e">
        <f>_xlfn.XLOOKUP(Tabla1[[#This Row],[Ean Normalizado]],tabla_consumos[EAN],tabla_consumos[UM])</f>
        <v>#VALUE!</v>
      </c>
      <c r="S1801" s="22" t="e">
        <f>Tabla1[[#This Row],[StockDisp]]*Tabla1[[#This Row],[UM producto]]</f>
        <v>#VALUE!</v>
      </c>
    </row>
    <row r="1802" spans="1:19" x14ac:dyDescent="0.35">
      <c r="A1802" s="5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6"/>
      <c r="P1802" s="23" t="e">
        <f>TRIM(Tabla1[[#This Row],[Articulo]])</f>
        <v>#VALUE!</v>
      </c>
      <c r="Q1802" s="23" t="e">
        <f>_xlfn.XLOOKUP(Tabla1[[#This Row],[Ean Normalizado]],Consumos!A:A,Consumos!E:E)</f>
        <v>#VALUE!</v>
      </c>
      <c r="R1802" s="22" t="e">
        <f>_xlfn.XLOOKUP(Tabla1[[#This Row],[Ean Normalizado]],tabla_consumos[EAN],tabla_consumos[UM])</f>
        <v>#VALUE!</v>
      </c>
      <c r="S1802" s="22" t="e">
        <f>Tabla1[[#This Row],[StockDisp]]*Tabla1[[#This Row],[UM producto]]</f>
        <v>#VALUE!</v>
      </c>
    </row>
    <row r="1803" spans="1:19" x14ac:dyDescent="0.35">
      <c r="A1803" s="5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6"/>
      <c r="P1803" s="23" t="e">
        <f>TRIM(Tabla1[[#This Row],[Articulo]])</f>
        <v>#VALUE!</v>
      </c>
      <c r="Q1803" s="23" t="e">
        <f>_xlfn.XLOOKUP(Tabla1[[#This Row],[Ean Normalizado]],Consumos!A:A,Consumos!E:E)</f>
        <v>#VALUE!</v>
      </c>
      <c r="R1803" s="22" t="e">
        <f>_xlfn.XLOOKUP(Tabla1[[#This Row],[Ean Normalizado]],tabla_consumos[EAN],tabla_consumos[UM])</f>
        <v>#VALUE!</v>
      </c>
      <c r="S1803" s="22" t="e">
        <f>Tabla1[[#This Row],[StockDisp]]*Tabla1[[#This Row],[UM producto]]</f>
        <v>#VALUE!</v>
      </c>
    </row>
    <row r="1804" spans="1:19" x14ac:dyDescent="0.35">
      <c r="A1804" s="5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6"/>
      <c r="P1804" s="23" t="e">
        <f>TRIM(Tabla1[[#This Row],[Articulo]])</f>
        <v>#VALUE!</v>
      </c>
      <c r="Q1804" s="23" t="e">
        <f>_xlfn.XLOOKUP(Tabla1[[#This Row],[Ean Normalizado]],Consumos!A:A,Consumos!E:E)</f>
        <v>#VALUE!</v>
      </c>
      <c r="R1804" s="22" t="e">
        <f>_xlfn.XLOOKUP(Tabla1[[#This Row],[Ean Normalizado]],tabla_consumos[EAN],tabla_consumos[UM])</f>
        <v>#VALUE!</v>
      </c>
      <c r="S1804" s="22" t="e">
        <f>Tabla1[[#This Row],[StockDisp]]*Tabla1[[#This Row],[UM producto]]</f>
        <v>#VALUE!</v>
      </c>
    </row>
    <row r="1805" spans="1:19" x14ac:dyDescent="0.35">
      <c r="A1805" s="5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6"/>
      <c r="P1805" s="23" t="e">
        <f>TRIM(Tabla1[[#This Row],[Articulo]])</f>
        <v>#VALUE!</v>
      </c>
      <c r="Q1805" s="23" t="e">
        <f>_xlfn.XLOOKUP(Tabla1[[#This Row],[Ean Normalizado]],Consumos!A:A,Consumos!E:E)</f>
        <v>#VALUE!</v>
      </c>
      <c r="R1805" s="22" t="e">
        <f>_xlfn.XLOOKUP(Tabla1[[#This Row],[Ean Normalizado]],tabla_consumos[EAN],tabla_consumos[UM])</f>
        <v>#VALUE!</v>
      </c>
      <c r="S1805" s="22" t="e">
        <f>Tabla1[[#This Row],[StockDisp]]*Tabla1[[#This Row],[UM producto]]</f>
        <v>#VALUE!</v>
      </c>
    </row>
    <row r="1806" spans="1:19" x14ac:dyDescent="0.35">
      <c r="A1806" s="5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6"/>
      <c r="P1806" s="23" t="e">
        <f>TRIM(Tabla1[[#This Row],[Articulo]])</f>
        <v>#VALUE!</v>
      </c>
      <c r="Q1806" s="23" t="e">
        <f>_xlfn.XLOOKUP(Tabla1[[#This Row],[Ean Normalizado]],Consumos!A:A,Consumos!E:E)</f>
        <v>#VALUE!</v>
      </c>
      <c r="R1806" s="22" t="e">
        <f>_xlfn.XLOOKUP(Tabla1[[#This Row],[Ean Normalizado]],tabla_consumos[EAN],tabla_consumos[UM])</f>
        <v>#VALUE!</v>
      </c>
      <c r="S1806" s="22" t="e">
        <f>Tabla1[[#This Row],[StockDisp]]*Tabla1[[#This Row],[UM producto]]</f>
        <v>#VALUE!</v>
      </c>
    </row>
    <row r="1807" spans="1:19" x14ac:dyDescent="0.35">
      <c r="A1807" s="5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6"/>
      <c r="P1807" s="23" t="e">
        <f>TRIM(Tabla1[[#This Row],[Articulo]])</f>
        <v>#VALUE!</v>
      </c>
      <c r="Q1807" s="23" t="e">
        <f>_xlfn.XLOOKUP(Tabla1[[#This Row],[Ean Normalizado]],Consumos!A:A,Consumos!E:E)</f>
        <v>#VALUE!</v>
      </c>
      <c r="R1807" s="22" t="e">
        <f>_xlfn.XLOOKUP(Tabla1[[#This Row],[Ean Normalizado]],tabla_consumos[EAN],tabla_consumos[UM])</f>
        <v>#VALUE!</v>
      </c>
      <c r="S1807" s="22" t="e">
        <f>Tabla1[[#This Row],[StockDisp]]*Tabla1[[#This Row],[UM producto]]</f>
        <v>#VALUE!</v>
      </c>
    </row>
    <row r="1808" spans="1:19" x14ac:dyDescent="0.35">
      <c r="A1808" s="5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6"/>
      <c r="P1808" s="23" t="e">
        <f>TRIM(Tabla1[[#This Row],[Articulo]])</f>
        <v>#VALUE!</v>
      </c>
      <c r="Q1808" s="23" t="e">
        <f>_xlfn.XLOOKUP(Tabla1[[#This Row],[Ean Normalizado]],Consumos!A:A,Consumos!E:E)</f>
        <v>#VALUE!</v>
      </c>
      <c r="R1808" s="22" t="e">
        <f>_xlfn.XLOOKUP(Tabla1[[#This Row],[Ean Normalizado]],tabla_consumos[EAN],tabla_consumos[UM])</f>
        <v>#VALUE!</v>
      </c>
      <c r="S1808" s="22" t="e">
        <f>Tabla1[[#This Row],[StockDisp]]*Tabla1[[#This Row],[UM producto]]</f>
        <v>#VALUE!</v>
      </c>
    </row>
    <row r="1809" spans="1:19" x14ac:dyDescent="0.35">
      <c r="A1809" s="5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6"/>
      <c r="P1809" s="23" t="e">
        <f>TRIM(Tabla1[[#This Row],[Articulo]])</f>
        <v>#VALUE!</v>
      </c>
      <c r="Q1809" s="23" t="e">
        <f>_xlfn.XLOOKUP(Tabla1[[#This Row],[Ean Normalizado]],Consumos!A:A,Consumos!E:E)</f>
        <v>#VALUE!</v>
      </c>
      <c r="R1809" s="22" t="e">
        <f>_xlfn.XLOOKUP(Tabla1[[#This Row],[Ean Normalizado]],tabla_consumos[EAN],tabla_consumos[UM])</f>
        <v>#VALUE!</v>
      </c>
      <c r="S1809" s="22" t="e">
        <f>Tabla1[[#This Row],[StockDisp]]*Tabla1[[#This Row],[UM producto]]</f>
        <v>#VALUE!</v>
      </c>
    </row>
    <row r="1810" spans="1:19" x14ac:dyDescent="0.35">
      <c r="A1810" s="5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6"/>
      <c r="P1810" s="23" t="e">
        <f>TRIM(Tabla1[[#This Row],[Articulo]])</f>
        <v>#VALUE!</v>
      </c>
      <c r="Q1810" s="23" t="e">
        <f>_xlfn.XLOOKUP(Tabla1[[#This Row],[Ean Normalizado]],Consumos!A:A,Consumos!E:E)</f>
        <v>#VALUE!</v>
      </c>
      <c r="R1810" s="22" t="e">
        <f>_xlfn.XLOOKUP(Tabla1[[#This Row],[Ean Normalizado]],tabla_consumos[EAN],tabla_consumos[UM])</f>
        <v>#VALUE!</v>
      </c>
      <c r="S1810" s="22" t="e">
        <f>Tabla1[[#This Row],[StockDisp]]*Tabla1[[#This Row],[UM producto]]</f>
        <v>#VALUE!</v>
      </c>
    </row>
    <row r="1811" spans="1:19" x14ac:dyDescent="0.35">
      <c r="A1811" s="5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6"/>
      <c r="P1811" s="23" t="e">
        <f>TRIM(Tabla1[[#This Row],[Articulo]])</f>
        <v>#VALUE!</v>
      </c>
      <c r="Q1811" s="23" t="e">
        <f>_xlfn.XLOOKUP(Tabla1[[#This Row],[Ean Normalizado]],Consumos!A:A,Consumos!E:E)</f>
        <v>#VALUE!</v>
      </c>
      <c r="R1811" s="22" t="e">
        <f>_xlfn.XLOOKUP(Tabla1[[#This Row],[Ean Normalizado]],tabla_consumos[EAN],tabla_consumos[UM])</f>
        <v>#VALUE!</v>
      </c>
      <c r="S1811" s="22" t="e">
        <f>Tabla1[[#This Row],[StockDisp]]*Tabla1[[#This Row],[UM producto]]</f>
        <v>#VALUE!</v>
      </c>
    </row>
    <row r="1812" spans="1:19" x14ac:dyDescent="0.35">
      <c r="A1812" s="5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6"/>
      <c r="P1812" s="23" t="e">
        <f>TRIM(Tabla1[[#This Row],[Articulo]])</f>
        <v>#VALUE!</v>
      </c>
      <c r="Q1812" s="23" t="e">
        <f>_xlfn.XLOOKUP(Tabla1[[#This Row],[Ean Normalizado]],Consumos!A:A,Consumos!E:E)</f>
        <v>#VALUE!</v>
      </c>
      <c r="R1812" s="22" t="e">
        <f>_xlfn.XLOOKUP(Tabla1[[#This Row],[Ean Normalizado]],tabla_consumos[EAN],tabla_consumos[UM])</f>
        <v>#VALUE!</v>
      </c>
      <c r="S1812" s="22" t="e">
        <f>Tabla1[[#This Row],[StockDisp]]*Tabla1[[#This Row],[UM producto]]</f>
        <v>#VALUE!</v>
      </c>
    </row>
    <row r="1813" spans="1:19" x14ac:dyDescent="0.35">
      <c r="A1813" s="5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6"/>
      <c r="P1813" s="23" t="e">
        <f>TRIM(Tabla1[[#This Row],[Articulo]])</f>
        <v>#VALUE!</v>
      </c>
      <c r="Q1813" s="23" t="e">
        <f>_xlfn.XLOOKUP(Tabla1[[#This Row],[Ean Normalizado]],Consumos!A:A,Consumos!E:E)</f>
        <v>#VALUE!</v>
      </c>
      <c r="R1813" s="22" t="e">
        <f>_xlfn.XLOOKUP(Tabla1[[#This Row],[Ean Normalizado]],tabla_consumos[EAN],tabla_consumos[UM])</f>
        <v>#VALUE!</v>
      </c>
      <c r="S1813" s="22" t="e">
        <f>Tabla1[[#This Row],[StockDisp]]*Tabla1[[#This Row],[UM producto]]</f>
        <v>#VALUE!</v>
      </c>
    </row>
    <row r="1814" spans="1:19" x14ac:dyDescent="0.35">
      <c r="A1814" s="5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6"/>
      <c r="P1814" s="23" t="e">
        <f>TRIM(Tabla1[[#This Row],[Articulo]])</f>
        <v>#VALUE!</v>
      </c>
      <c r="Q1814" s="23" t="e">
        <f>_xlfn.XLOOKUP(Tabla1[[#This Row],[Ean Normalizado]],Consumos!A:A,Consumos!E:E)</f>
        <v>#VALUE!</v>
      </c>
      <c r="R1814" s="22" t="e">
        <f>_xlfn.XLOOKUP(Tabla1[[#This Row],[Ean Normalizado]],tabla_consumos[EAN],tabla_consumos[UM])</f>
        <v>#VALUE!</v>
      </c>
      <c r="S1814" s="22" t="e">
        <f>Tabla1[[#This Row],[StockDisp]]*Tabla1[[#This Row],[UM producto]]</f>
        <v>#VALUE!</v>
      </c>
    </row>
    <row r="1815" spans="1:19" x14ac:dyDescent="0.35">
      <c r="A1815" s="5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6"/>
      <c r="P1815" s="23" t="e">
        <f>TRIM(Tabla1[[#This Row],[Articulo]])</f>
        <v>#VALUE!</v>
      </c>
      <c r="Q1815" s="23" t="e">
        <f>_xlfn.XLOOKUP(Tabla1[[#This Row],[Ean Normalizado]],Consumos!A:A,Consumos!E:E)</f>
        <v>#VALUE!</v>
      </c>
      <c r="R1815" s="22" t="e">
        <f>_xlfn.XLOOKUP(Tabla1[[#This Row],[Ean Normalizado]],tabla_consumos[EAN],tabla_consumos[UM])</f>
        <v>#VALUE!</v>
      </c>
      <c r="S1815" s="22" t="e">
        <f>Tabla1[[#This Row],[StockDisp]]*Tabla1[[#This Row],[UM producto]]</f>
        <v>#VALUE!</v>
      </c>
    </row>
    <row r="1816" spans="1:19" x14ac:dyDescent="0.35">
      <c r="A1816" s="5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6"/>
      <c r="P1816" s="23" t="e">
        <f>TRIM(Tabla1[[#This Row],[Articulo]])</f>
        <v>#VALUE!</v>
      </c>
      <c r="Q1816" s="23" t="e">
        <f>_xlfn.XLOOKUP(Tabla1[[#This Row],[Ean Normalizado]],Consumos!A:A,Consumos!E:E)</f>
        <v>#VALUE!</v>
      </c>
      <c r="R1816" s="22" t="e">
        <f>_xlfn.XLOOKUP(Tabla1[[#This Row],[Ean Normalizado]],tabla_consumos[EAN],tabla_consumos[UM])</f>
        <v>#VALUE!</v>
      </c>
      <c r="S1816" s="22" t="e">
        <f>Tabla1[[#This Row],[StockDisp]]*Tabla1[[#This Row],[UM producto]]</f>
        <v>#VALUE!</v>
      </c>
    </row>
    <row r="1817" spans="1:19" x14ac:dyDescent="0.35">
      <c r="A1817" s="5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6"/>
      <c r="P1817" s="23" t="e">
        <f>TRIM(Tabla1[[#This Row],[Articulo]])</f>
        <v>#VALUE!</v>
      </c>
      <c r="Q1817" s="23" t="e">
        <f>_xlfn.XLOOKUP(Tabla1[[#This Row],[Ean Normalizado]],Consumos!A:A,Consumos!E:E)</f>
        <v>#VALUE!</v>
      </c>
      <c r="R1817" s="22" t="e">
        <f>_xlfn.XLOOKUP(Tabla1[[#This Row],[Ean Normalizado]],tabla_consumos[EAN],tabla_consumos[UM])</f>
        <v>#VALUE!</v>
      </c>
      <c r="S1817" s="22" t="e">
        <f>Tabla1[[#This Row],[StockDisp]]*Tabla1[[#This Row],[UM producto]]</f>
        <v>#VALUE!</v>
      </c>
    </row>
    <row r="1818" spans="1:19" x14ac:dyDescent="0.35">
      <c r="A1818" s="5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6"/>
      <c r="P1818" s="23" t="e">
        <f>TRIM(Tabla1[[#This Row],[Articulo]])</f>
        <v>#VALUE!</v>
      </c>
      <c r="Q1818" s="23" t="e">
        <f>_xlfn.XLOOKUP(Tabla1[[#This Row],[Ean Normalizado]],Consumos!A:A,Consumos!E:E)</f>
        <v>#VALUE!</v>
      </c>
      <c r="R1818" s="22" t="e">
        <f>_xlfn.XLOOKUP(Tabla1[[#This Row],[Ean Normalizado]],tabla_consumos[EAN],tabla_consumos[UM])</f>
        <v>#VALUE!</v>
      </c>
      <c r="S1818" s="22" t="e">
        <f>Tabla1[[#This Row],[StockDisp]]*Tabla1[[#This Row],[UM producto]]</f>
        <v>#VALUE!</v>
      </c>
    </row>
    <row r="1819" spans="1:19" x14ac:dyDescent="0.35">
      <c r="A1819" s="5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6"/>
      <c r="P1819" s="23" t="e">
        <f>TRIM(Tabla1[[#This Row],[Articulo]])</f>
        <v>#VALUE!</v>
      </c>
      <c r="Q1819" s="23" t="e">
        <f>_xlfn.XLOOKUP(Tabla1[[#This Row],[Ean Normalizado]],Consumos!A:A,Consumos!E:E)</f>
        <v>#VALUE!</v>
      </c>
      <c r="R1819" s="22" t="e">
        <f>_xlfn.XLOOKUP(Tabla1[[#This Row],[Ean Normalizado]],tabla_consumos[EAN],tabla_consumos[UM])</f>
        <v>#VALUE!</v>
      </c>
      <c r="S1819" s="22" t="e">
        <f>Tabla1[[#This Row],[StockDisp]]*Tabla1[[#This Row],[UM producto]]</f>
        <v>#VALUE!</v>
      </c>
    </row>
    <row r="1820" spans="1:19" x14ac:dyDescent="0.35">
      <c r="A1820" s="5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6"/>
      <c r="P1820" s="23" t="e">
        <f>TRIM(Tabla1[[#This Row],[Articulo]])</f>
        <v>#VALUE!</v>
      </c>
      <c r="Q1820" s="23" t="e">
        <f>_xlfn.XLOOKUP(Tabla1[[#This Row],[Ean Normalizado]],Consumos!A:A,Consumos!E:E)</f>
        <v>#VALUE!</v>
      </c>
      <c r="R1820" s="22" t="e">
        <f>_xlfn.XLOOKUP(Tabla1[[#This Row],[Ean Normalizado]],tabla_consumos[EAN],tabla_consumos[UM])</f>
        <v>#VALUE!</v>
      </c>
      <c r="S1820" s="22" t="e">
        <f>Tabla1[[#This Row],[StockDisp]]*Tabla1[[#This Row],[UM producto]]</f>
        <v>#VALUE!</v>
      </c>
    </row>
    <row r="1821" spans="1:19" x14ac:dyDescent="0.35">
      <c r="A1821" s="5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6"/>
      <c r="P1821" s="23" t="e">
        <f>TRIM(Tabla1[[#This Row],[Articulo]])</f>
        <v>#VALUE!</v>
      </c>
      <c r="Q1821" s="23" t="e">
        <f>_xlfn.XLOOKUP(Tabla1[[#This Row],[Ean Normalizado]],Consumos!A:A,Consumos!E:E)</f>
        <v>#VALUE!</v>
      </c>
      <c r="R1821" s="22" t="e">
        <f>_xlfn.XLOOKUP(Tabla1[[#This Row],[Ean Normalizado]],tabla_consumos[EAN],tabla_consumos[UM])</f>
        <v>#VALUE!</v>
      </c>
      <c r="S1821" s="22" t="e">
        <f>Tabla1[[#This Row],[StockDisp]]*Tabla1[[#This Row],[UM producto]]</f>
        <v>#VALUE!</v>
      </c>
    </row>
    <row r="1822" spans="1:19" x14ac:dyDescent="0.35">
      <c r="A1822" s="5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6"/>
      <c r="P1822" s="23" t="e">
        <f>TRIM(Tabla1[[#This Row],[Articulo]])</f>
        <v>#VALUE!</v>
      </c>
      <c r="Q1822" s="23" t="e">
        <f>_xlfn.XLOOKUP(Tabla1[[#This Row],[Ean Normalizado]],Consumos!A:A,Consumos!E:E)</f>
        <v>#VALUE!</v>
      </c>
      <c r="R1822" s="22" t="e">
        <f>_xlfn.XLOOKUP(Tabla1[[#This Row],[Ean Normalizado]],tabla_consumos[EAN],tabla_consumos[UM])</f>
        <v>#VALUE!</v>
      </c>
      <c r="S1822" s="22" t="e">
        <f>Tabla1[[#This Row],[StockDisp]]*Tabla1[[#This Row],[UM producto]]</f>
        <v>#VALUE!</v>
      </c>
    </row>
    <row r="1823" spans="1:19" x14ac:dyDescent="0.35">
      <c r="A1823" s="5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6"/>
      <c r="P1823" s="23" t="e">
        <f>TRIM(Tabla1[[#This Row],[Articulo]])</f>
        <v>#VALUE!</v>
      </c>
      <c r="Q1823" s="23" t="e">
        <f>_xlfn.XLOOKUP(Tabla1[[#This Row],[Ean Normalizado]],Consumos!A:A,Consumos!E:E)</f>
        <v>#VALUE!</v>
      </c>
      <c r="R1823" s="22" t="e">
        <f>_xlfn.XLOOKUP(Tabla1[[#This Row],[Ean Normalizado]],tabla_consumos[EAN],tabla_consumos[UM])</f>
        <v>#VALUE!</v>
      </c>
      <c r="S1823" s="22" t="e">
        <f>Tabla1[[#This Row],[StockDisp]]*Tabla1[[#This Row],[UM producto]]</f>
        <v>#VALUE!</v>
      </c>
    </row>
    <row r="1824" spans="1:19" x14ac:dyDescent="0.35">
      <c r="A1824" s="5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6"/>
      <c r="P1824" s="23" t="e">
        <f>TRIM(Tabla1[[#This Row],[Articulo]])</f>
        <v>#VALUE!</v>
      </c>
      <c r="Q1824" s="23" t="e">
        <f>_xlfn.XLOOKUP(Tabla1[[#This Row],[Ean Normalizado]],Consumos!A:A,Consumos!E:E)</f>
        <v>#VALUE!</v>
      </c>
      <c r="R1824" s="22" t="e">
        <f>_xlfn.XLOOKUP(Tabla1[[#This Row],[Ean Normalizado]],tabla_consumos[EAN],tabla_consumos[UM])</f>
        <v>#VALUE!</v>
      </c>
      <c r="S1824" s="22" t="e">
        <f>Tabla1[[#This Row],[StockDisp]]*Tabla1[[#This Row],[UM producto]]</f>
        <v>#VALUE!</v>
      </c>
    </row>
    <row r="1825" spans="1:19" x14ac:dyDescent="0.35">
      <c r="A1825" s="5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6"/>
      <c r="P1825" s="23" t="e">
        <f>TRIM(Tabla1[[#This Row],[Articulo]])</f>
        <v>#VALUE!</v>
      </c>
      <c r="Q1825" s="23" t="e">
        <f>_xlfn.XLOOKUP(Tabla1[[#This Row],[Ean Normalizado]],Consumos!A:A,Consumos!E:E)</f>
        <v>#VALUE!</v>
      </c>
      <c r="R1825" s="22" t="e">
        <f>_xlfn.XLOOKUP(Tabla1[[#This Row],[Ean Normalizado]],tabla_consumos[EAN],tabla_consumos[UM])</f>
        <v>#VALUE!</v>
      </c>
      <c r="S1825" s="22" t="e">
        <f>Tabla1[[#This Row],[StockDisp]]*Tabla1[[#This Row],[UM producto]]</f>
        <v>#VALUE!</v>
      </c>
    </row>
    <row r="1826" spans="1:19" x14ac:dyDescent="0.35">
      <c r="A1826" s="5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6"/>
      <c r="P1826" s="23" t="e">
        <f>TRIM(Tabla1[[#This Row],[Articulo]])</f>
        <v>#VALUE!</v>
      </c>
      <c r="Q1826" s="23" t="e">
        <f>_xlfn.XLOOKUP(Tabla1[[#This Row],[Ean Normalizado]],Consumos!A:A,Consumos!E:E)</f>
        <v>#VALUE!</v>
      </c>
      <c r="R1826" s="22" t="e">
        <f>_xlfn.XLOOKUP(Tabla1[[#This Row],[Ean Normalizado]],tabla_consumos[EAN],tabla_consumos[UM])</f>
        <v>#VALUE!</v>
      </c>
      <c r="S1826" s="22" t="e">
        <f>Tabla1[[#This Row],[StockDisp]]*Tabla1[[#This Row],[UM producto]]</f>
        <v>#VALUE!</v>
      </c>
    </row>
    <row r="1827" spans="1:19" x14ac:dyDescent="0.35">
      <c r="A1827" s="5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6"/>
      <c r="P1827" s="23" t="e">
        <f>TRIM(Tabla1[[#This Row],[Articulo]])</f>
        <v>#VALUE!</v>
      </c>
      <c r="Q1827" s="23" t="e">
        <f>_xlfn.XLOOKUP(Tabla1[[#This Row],[Ean Normalizado]],Consumos!A:A,Consumos!E:E)</f>
        <v>#VALUE!</v>
      </c>
      <c r="R1827" s="22" t="e">
        <f>_xlfn.XLOOKUP(Tabla1[[#This Row],[Ean Normalizado]],tabla_consumos[EAN],tabla_consumos[UM])</f>
        <v>#VALUE!</v>
      </c>
      <c r="S1827" s="22" t="e">
        <f>Tabla1[[#This Row],[StockDisp]]*Tabla1[[#This Row],[UM producto]]</f>
        <v>#VALUE!</v>
      </c>
    </row>
    <row r="1828" spans="1:19" x14ac:dyDescent="0.35">
      <c r="A1828" s="5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6"/>
      <c r="P1828" s="23" t="e">
        <f>TRIM(Tabla1[[#This Row],[Articulo]])</f>
        <v>#VALUE!</v>
      </c>
      <c r="Q1828" s="23" t="e">
        <f>_xlfn.XLOOKUP(Tabla1[[#This Row],[Ean Normalizado]],Consumos!A:A,Consumos!E:E)</f>
        <v>#VALUE!</v>
      </c>
      <c r="R1828" s="22" t="e">
        <f>_xlfn.XLOOKUP(Tabla1[[#This Row],[Ean Normalizado]],tabla_consumos[EAN],tabla_consumos[UM])</f>
        <v>#VALUE!</v>
      </c>
      <c r="S1828" s="22" t="e">
        <f>Tabla1[[#This Row],[StockDisp]]*Tabla1[[#This Row],[UM producto]]</f>
        <v>#VALUE!</v>
      </c>
    </row>
    <row r="1829" spans="1:19" x14ac:dyDescent="0.35">
      <c r="A1829" s="5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6"/>
      <c r="P1829" s="23" t="e">
        <f>TRIM(Tabla1[[#This Row],[Articulo]])</f>
        <v>#VALUE!</v>
      </c>
      <c r="Q1829" s="23" t="e">
        <f>_xlfn.XLOOKUP(Tabla1[[#This Row],[Ean Normalizado]],Consumos!A:A,Consumos!E:E)</f>
        <v>#VALUE!</v>
      </c>
      <c r="R1829" s="22" t="e">
        <f>_xlfn.XLOOKUP(Tabla1[[#This Row],[Ean Normalizado]],tabla_consumos[EAN],tabla_consumos[UM])</f>
        <v>#VALUE!</v>
      </c>
      <c r="S1829" s="22" t="e">
        <f>Tabla1[[#This Row],[StockDisp]]*Tabla1[[#This Row],[UM producto]]</f>
        <v>#VALUE!</v>
      </c>
    </row>
    <row r="1830" spans="1:19" x14ac:dyDescent="0.35">
      <c r="A1830" s="5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6"/>
      <c r="P1830" s="23" t="e">
        <f>TRIM(Tabla1[[#This Row],[Articulo]])</f>
        <v>#VALUE!</v>
      </c>
      <c r="Q1830" s="23" t="e">
        <f>_xlfn.XLOOKUP(Tabla1[[#This Row],[Ean Normalizado]],Consumos!A:A,Consumos!E:E)</f>
        <v>#VALUE!</v>
      </c>
      <c r="R1830" s="22" t="e">
        <f>_xlfn.XLOOKUP(Tabla1[[#This Row],[Ean Normalizado]],tabla_consumos[EAN],tabla_consumos[UM])</f>
        <v>#VALUE!</v>
      </c>
      <c r="S1830" s="22" t="e">
        <f>Tabla1[[#This Row],[StockDisp]]*Tabla1[[#This Row],[UM producto]]</f>
        <v>#VALUE!</v>
      </c>
    </row>
    <row r="1831" spans="1:19" x14ac:dyDescent="0.35">
      <c r="A1831" s="5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6"/>
      <c r="P1831" s="23" t="e">
        <f>TRIM(Tabla1[[#This Row],[Articulo]])</f>
        <v>#VALUE!</v>
      </c>
      <c r="Q1831" s="23" t="e">
        <f>_xlfn.XLOOKUP(Tabla1[[#This Row],[Ean Normalizado]],Consumos!A:A,Consumos!E:E)</f>
        <v>#VALUE!</v>
      </c>
      <c r="R1831" s="22" t="e">
        <f>_xlfn.XLOOKUP(Tabla1[[#This Row],[Ean Normalizado]],tabla_consumos[EAN],tabla_consumos[UM])</f>
        <v>#VALUE!</v>
      </c>
      <c r="S1831" s="22" t="e">
        <f>Tabla1[[#This Row],[StockDisp]]*Tabla1[[#This Row],[UM producto]]</f>
        <v>#VALUE!</v>
      </c>
    </row>
    <row r="1832" spans="1:19" x14ac:dyDescent="0.35">
      <c r="A1832" s="5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6"/>
      <c r="P1832" s="23" t="e">
        <f>TRIM(Tabla1[[#This Row],[Articulo]])</f>
        <v>#VALUE!</v>
      </c>
      <c r="Q1832" s="23" t="e">
        <f>_xlfn.XLOOKUP(Tabla1[[#This Row],[Ean Normalizado]],Consumos!A:A,Consumos!E:E)</f>
        <v>#VALUE!</v>
      </c>
      <c r="R1832" s="22" t="e">
        <f>_xlfn.XLOOKUP(Tabla1[[#This Row],[Ean Normalizado]],tabla_consumos[EAN],tabla_consumos[UM])</f>
        <v>#VALUE!</v>
      </c>
      <c r="S1832" s="22" t="e">
        <f>Tabla1[[#This Row],[StockDisp]]*Tabla1[[#This Row],[UM producto]]</f>
        <v>#VALUE!</v>
      </c>
    </row>
    <row r="1833" spans="1:19" x14ac:dyDescent="0.35">
      <c r="A1833" s="5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6"/>
      <c r="P1833" s="23" t="e">
        <f>TRIM(Tabla1[[#This Row],[Articulo]])</f>
        <v>#VALUE!</v>
      </c>
      <c r="Q1833" s="23" t="e">
        <f>_xlfn.XLOOKUP(Tabla1[[#This Row],[Ean Normalizado]],Consumos!A:A,Consumos!E:E)</f>
        <v>#VALUE!</v>
      </c>
      <c r="R1833" s="22" t="e">
        <f>_xlfn.XLOOKUP(Tabla1[[#This Row],[Ean Normalizado]],tabla_consumos[EAN],tabla_consumos[UM])</f>
        <v>#VALUE!</v>
      </c>
      <c r="S1833" s="22" t="e">
        <f>Tabla1[[#This Row],[StockDisp]]*Tabla1[[#This Row],[UM producto]]</f>
        <v>#VALUE!</v>
      </c>
    </row>
    <row r="1834" spans="1:19" x14ac:dyDescent="0.35">
      <c r="A1834" s="5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6"/>
      <c r="P1834" s="23" t="e">
        <f>TRIM(Tabla1[[#This Row],[Articulo]])</f>
        <v>#VALUE!</v>
      </c>
      <c r="Q1834" s="23" t="e">
        <f>_xlfn.XLOOKUP(Tabla1[[#This Row],[Ean Normalizado]],Consumos!A:A,Consumos!E:E)</f>
        <v>#VALUE!</v>
      </c>
      <c r="R1834" s="22" t="e">
        <f>_xlfn.XLOOKUP(Tabla1[[#This Row],[Ean Normalizado]],tabla_consumos[EAN],tabla_consumos[UM])</f>
        <v>#VALUE!</v>
      </c>
      <c r="S1834" s="22" t="e">
        <f>Tabla1[[#This Row],[StockDisp]]*Tabla1[[#This Row],[UM producto]]</f>
        <v>#VALUE!</v>
      </c>
    </row>
    <row r="1835" spans="1:19" x14ac:dyDescent="0.35">
      <c r="A1835" s="5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6"/>
      <c r="P1835" s="23" t="e">
        <f>TRIM(Tabla1[[#This Row],[Articulo]])</f>
        <v>#VALUE!</v>
      </c>
      <c r="Q1835" s="23" t="e">
        <f>_xlfn.XLOOKUP(Tabla1[[#This Row],[Ean Normalizado]],Consumos!A:A,Consumos!E:E)</f>
        <v>#VALUE!</v>
      </c>
      <c r="R1835" s="22" t="e">
        <f>_xlfn.XLOOKUP(Tabla1[[#This Row],[Ean Normalizado]],tabla_consumos[EAN],tabla_consumos[UM])</f>
        <v>#VALUE!</v>
      </c>
      <c r="S1835" s="22" t="e">
        <f>Tabla1[[#This Row],[StockDisp]]*Tabla1[[#This Row],[UM producto]]</f>
        <v>#VALUE!</v>
      </c>
    </row>
    <row r="1836" spans="1:19" x14ac:dyDescent="0.35">
      <c r="A1836" s="5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6"/>
      <c r="P1836" s="23" t="e">
        <f>TRIM(Tabla1[[#This Row],[Articulo]])</f>
        <v>#VALUE!</v>
      </c>
      <c r="Q1836" s="23" t="e">
        <f>_xlfn.XLOOKUP(Tabla1[[#This Row],[Ean Normalizado]],Consumos!A:A,Consumos!E:E)</f>
        <v>#VALUE!</v>
      </c>
      <c r="R1836" s="22" t="e">
        <f>_xlfn.XLOOKUP(Tabla1[[#This Row],[Ean Normalizado]],tabla_consumos[EAN],tabla_consumos[UM])</f>
        <v>#VALUE!</v>
      </c>
      <c r="S1836" s="22" t="e">
        <f>Tabla1[[#This Row],[StockDisp]]*Tabla1[[#This Row],[UM producto]]</f>
        <v>#VALUE!</v>
      </c>
    </row>
    <row r="1837" spans="1:19" x14ac:dyDescent="0.35">
      <c r="A1837" s="5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6"/>
      <c r="P1837" s="23" t="e">
        <f>TRIM(Tabla1[[#This Row],[Articulo]])</f>
        <v>#VALUE!</v>
      </c>
      <c r="Q1837" s="23" t="e">
        <f>_xlfn.XLOOKUP(Tabla1[[#This Row],[Ean Normalizado]],Consumos!A:A,Consumos!E:E)</f>
        <v>#VALUE!</v>
      </c>
      <c r="R1837" s="22" t="e">
        <f>_xlfn.XLOOKUP(Tabla1[[#This Row],[Ean Normalizado]],tabla_consumos[EAN],tabla_consumos[UM])</f>
        <v>#VALUE!</v>
      </c>
      <c r="S1837" s="22" t="e">
        <f>Tabla1[[#This Row],[StockDisp]]*Tabla1[[#This Row],[UM producto]]</f>
        <v>#VALUE!</v>
      </c>
    </row>
    <row r="1838" spans="1:19" x14ac:dyDescent="0.35">
      <c r="A1838" s="5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6"/>
      <c r="P1838" s="23" t="e">
        <f>TRIM(Tabla1[[#This Row],[Articulo]])</f>
        <v>#VALUE!</v>
      </c>
      <c r="Q1838" s="23" t="e">
        <f>_xlfn.XLOOKUP(Tabla1[[#This Row],[Ean Normalizado]],Consumos!A:A,Consumos!E:E)</f>
        <v>#VALUE!</v>
      </c>
      <c r="R1838" s="22" t="e">
        <f>_xlfn.XLOOKUP(Tabla1[[#This Row],[Ean Normalizado]],tabla_consumos[EAN],tabla_consumos[UM])</f>
        <v>#VALUE!</v>
      </c>
      <c r="S1838" s="22" t="e">
        <f>Tabla1[[#This Row],[StockDisp]]*Tabla1[[#This Row],[UM producto]]</f>
        <v>#VALUE!</v>
      </c>
    </row>
    <row r="1839" spans="1:19" x14ac:dyDescent="0.35">
      <c r="A1839" s="5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6"/>
      <c r="P1839" s="23" t="e">
        <f>TRIM(Tabla1[[#This Row],[Articulo]])</f>
        <v>#VALUE!</v>
      </c>
      <c r="Q1839" s="23" t="e">
        <f>_xlfn.XLOOKUP(Tabla1[[#This Row],[Ean Normalizado]],Consumos!A:A,Consumos!E:E)</f>
        <v>#VALUE!</v>
      </c>
      <c r="R1839" s="22" t="e">
        <f>_xlfn.XLOOKUP(Tabla1[[#This Row],[Ean Normalizado]],tabla_consumos[EAN],tabla_consumos[UM])</f>
        <v>#VALUE!</v>
      </c>
      <c r="S1839" s="22" t="e">
        <f>Tabla1[[#This Row],[StockDisp]]*Tabla1[[#This Row],[UM producto]]</f>
        <v>#VALUE!</v>
      </c>
    </row>
    <row r="1840" spans="1:19" x14ac:dyDescent="0.35">
      <c r="A1840" s="5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6"/>
      <c r="P1840" s="23" t="e">
        <f>TRIM(Tabla1[[#This Row],[Articulo]])</f>
        <v>#VALUE!</v>
      </c>
      <c r="Q1840" s="23" t="e">
        <f>_xlfn.XLOOKUP(Tabla1[[#This Row],[Ean Normalizado]],Consumos!A:A,Consumos!E:E)</f>
        <v>#VALUE!</v>
      </c>
      <c r="R1840" s="22" t="e">
        <f>_xlfn.XLOOKUP(Tabla1[[#This Row],[Ean Normalizado]],tabla_consumos[EAN],tabla_consumos[UM])</f>
        <v>#VALUE!</v>
      </c>
      <c r="S1840" s="22" t="e">
        <f>Tabla1[[#This Row],[StockDisp]]*Tabla1[[#This Row],[UM producto]]</f>
        <v>#VALUE!</v>
      </c>
    </row>
    <row r="1841" spans="1:19" x14ac:dyDescent="0.35">
      <c r="A1841" s="5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6"/>
      <c r="P1841" s="23" t="e">
        <f>TRIM(Tabla1[[#This Row],[Articulo]])</f>
        <v>#VALUE!</v>
      </c>
      <c r="Q1841" s="23" t="e">
        <f>_xlfn.XLOOKUP(Tabla1[[#This Row],[Ean Normalizado]],Consumos!A:A,Consumos!E:E)</f>
        <v>#VALUE!</v>
      </c>
      <c r="R1841" s="22" t="e">
        <f>_xlfn.XLOOKUP(Tabla1[[#This Row],[Ean Normalizado]],tabla_consumos[EAN],tabla_consumos[UM])</f>
        <v>#VALUE!</v>
      </c>
      <c r="S1841" s="22" t="e">
        <f>Tabla1[[#This Row],[StockDisp]]*Tabla1[[#This Row],[UM producto]]</f>
        <v>#VALUE!</v>
      </c>
    </row>
    <row r="1842" spans="1:19" x14ac:dyDescent="0.35">
      <c r="A1842" s="5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6"/>
      <c r="P1842" s="23" t="e">
        <f>TRIM(Tabla1[[#This Row],[Articulo]])</f>
        <v>#VALUE!</v>
      </c>
      <c r="Q1842" s="23" t="e">
        <f>_xlfn.XLOOKUP(Tabla1[[#This Row],[Ean Normalizado]],Consumos!A:A,Consumos!E:E)</f>
        <v>#VALUE!</v>
      </c>
      <c r="R1842" s="22" t="e">
        <f>_xlfn.XLOOKUP(Tabla1[[#This Row],[Ean Normalizado]],tabla_consumos[EAN],tabla_consumos[UM])</f>
        <v>#VALUE!</v>
      </c>
      <c r="S1842" s="22" t="e">
        <f>Tabla1[[#This Row],[StockDisp]]*Tabla1[[#This Row],[UM producto]]</f>
        <v>#VALUE!</v>
      </c>
    </row>
    <row r="1843" spans="1:19" x14ac:dyDescent="0.35">
      <c r="A1843" s="5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6"/>
      <c r="P1843" s="23" t="e">
        <f>TRIM(Tabla1[[#This Row],[Articulo]])</f>
        <v>#VALUE!</v>
      </c>
      <c r="Q1843" s="23" t="e">
        <f>_xlfn.XLOOKUP(Tabla1[[#This Row],[Ean Normalizado]],Consumos!A:A,Consumos!E:E)</f>
        <v>#VALUE!</v>
      </c>
      <c r="R1843" s="22" t="e">
        <f>_xlfn.XLOOKUP(Tabla1[[#This Row],[Ean Normalizado]],tabla_consumos[EAN],tabla_consumos[UM])</f>
        <v>#VALUE!</v>
      </c>
      <c r="S1843" s="22" t="e">
        <f>Tabla1[[#This Row],[StockDisp]]*Tabla1[[#This Row],[UM producto]]</f>
        <v>#VALUE!</v>
      </c>
    </row>
    <row r="1844" spans="1:19" x14ac:dyDescent="0.35">
      <c r="A1844" s="5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6"/>
      <c r="P1844" s="23" t="e">
        <f>TRIM(Tabla1[[#This Row],[Articulo]])</f>
        <v>#VALUE!</v>
      </c>
      <c r="Q1844" s="23" t="e">
        <f>_xlfn.XLOOKUP(Tabla1[[#This Row],[Ean Normalizado]],Consumos!A:A,Consumos!E:E)</f>
        <v>#VALUE!</v>
      </c>
      <c r="R1844" s="22" t="e">
        <f>_xlfn.XLOOKUP(Tabla1[[#This Row],[Ean Normalizado]],tabla_consumos[EAN],tabla_consumos[UM])</f>
        <v>#VALUE!</v>
      </c>
      <c r="S1844" s="22" t="e">
        <f>Tabla1[[#This Row],[StockDisp]]*Tabla1[[#This Row],[UM producto]]</f>
        <v>#VALUE!</v>
      </c>
    </row>
    <row r="1845" spans="1:19" x14ac:dyDescent="0.35">
      <c r="A1845" s="5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6"/>
      <c r="P1845" s="23" t="e">
        <f>TRIM(Tabla1[[#This Row],[Articulo]])</f>
        <v>#VALUE!</v>
      </c>
      <c r="Q1845" s="23" t="e">
        <f>_xlfn.XLOOKUP(Tabla1[[#This Row],[Ean Normalizado]],Consumos!A:A,Consumos!E:E)</f>
        <v>#VALUE!</v>
      </c>
      <c r="R1845" s="22" t="e">
        <f>_xlfn.XLOOKUP(Tabla1[[#This Row],[Ean Normalizado]],tabla_consumos[EAN],tabla_consumos[UM])</f>
        <v>#VALUE!</v>
      </c>
      <c r="S1845" s="22" t="e">
        <f>Tabla1[[#This Row],[StockDisp]]*Tabla1[[#This Row],[UM producto]]</f>
        <v>#VALUE!</v>
      </c>
    </row>
    <row r="1846" spans="1:19" x14ac:dyDescent="0.35">
      <c r="A1846" s="5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6"/>
      <c r="P1846" s="23" t="e">
        <f>TRIM(Tabla1[[#This Row],[Articulo]])</f>
        <v>#VALUE!</v>
      </c>
      <c r="Q1846" s="23" t="e">
        <f>_xlfn.XLOOKUP(Tabla1[[#This Row],[Ean Normalizado]],Consumos!A:A,Consumos!E:E)</f>
        <v>#VALUE!</v>
      </c>
      <c r="R1846" s="22" t="e">
        <f>_xlfn.XLOOKUP(Tabla1[[#This Row],[Ean Normalizado]],tabla_consumos[EAN],tabla_consumos[UM])</f>
        <v>#VALUE!</v>
      </c>
      <c r="S1846" s="22" t="e">
        <f>Tabla1[[#This Row],[StockDisp]]*Tabla1[[#This Row],[UM producto]]</f>
        <v>#VALUE!</v>
      </c>
    </row>
    <row r="1847" spans="1:19" x14ac:dyDescent="0.35">
      <c r="A1847" s="5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6"/>
      <c r="P1847" s="23" t="e">
        <f>TRIM(Tabla1[[#This Row],[Articulo]])</f>
        <v>#VALUE!</v>
      </c>
      <c r="Q1847" s="23" t="e">
        <f>_xlfn.XLOOKUP(Tabla1[[#This Row],[Ean Normalizado]],Consumos!A:A,Consumos!E:E)</f>
        <v>#VALUE!</v>
      </c>
      <c r="R1847" s="22" t="e">
        <f>_xlfn.XLOOKUP(Tabla1[[#This Row],[Ean Normalizado]],tabla_consumos[EAN],tabla_consumos[UM])</f>
        <v>#VALUE!</v>
      </c>
      <c r="S1847" s="22" t="e">
        <f>Tabla1[[#This Row],[StockDisp]]*Tabla1[[#This Row],[UM producto]]</f>
        <v>#VALUE!</v>
      </c>
    </row>
    <row r="1848" spans="1:19" x14ac:dyDescent="0.35">
      <c r="A1848" s="5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6"/>
      <c r="P1848" s="23" t="e">
        <f>TRIM(Tabla1[[#This Row],[Articulo]])</f>
        <v>#VALUE!</v>
      </c>
      <c r="Q1848" s="23" t="e">
        <f>_xlfn.XLOOKUP(Tabla1[[#This Row],[Ean Normalizado]],Consumos!A:A,Consumos!E:E)</f>
        <v>#VALUE!</v>
      </c>
      <c r="R1848" s="22" t="e">
        <f>_xlfn.XLOOKUP(Tabla1[[#This Row],[Ean Normalizado]],tabla_consumos[EAN],tabla_consumos[UM])</f>
        <v>#VALUE!</v>
      </c>
      <c r="S1848" s="22" t="e">
        <f>Tabla1[[#This Row],[StockDisp]]*Tabla1[[#This Row],[UM producto]]</f>
        <v>#VALUE!</v>
      </c>
    </row>
    <row r="1849" spans="1:19" x14ac:dyDescent="0.35">
      <c r="A1849" s="5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6"/>
      <c r="P1849" s="23" t="e">
        <f>TRIM(Tabla1[[#This Row],[Articulo]])</f>
        <v>#VALUE!</v>
      </c>
      <c r="Q1849" s="23" t="e">
        <f>_xlfn.XLOOKUP(Tabla1[[#This Row],[Ean Normalizado]],Consumos!A:A,Consumos!E:E)</f>
        <v>#VALUE!</v>
      </c>
      <c r="R1849" s="22" t="e">
        <f>_xlfn.XLOOKUP(Tabla1[[#This Row],[Ean Normalizado]],tabla_consumos[EAN],tabla_consumos[UM])</f>
        <v>#VALUE!</v>
      </c>
      <c r="S1849" s="22" t="e">
        <f>Tabla1[[#This Row],[StockDisp]]*Tabla1[[#This Row],[UM producto]]</f>
        <v>#VALUE!</v>
      </c>
    </row>
    <row r="1850" spans="1:19" x14ac:dyDescent="0.35">
      <c r="A1850" s="5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6"/>
      <c r="P1850" s="23" t="e">
        <f>TRIM(Tabla1[[#This Row],[Articulo]])</f>
        <v>#VALUE!</v>
      </c>
      <c r="Q1850" s="23" t="e">
        <f>_xlfn.XLOOKUP(Tabla1[[#This Row],[Ean Normalizado]],Consumos!A:A,Consumos!E:E)</f>
        <v>#VALUE!</v>
      </c>
      <c r="R1850" s="22" t="e">
        <f>_xlfn.XLOOKUP(Tabla1[[#This Row],[Ean Normalizado]],tabla_consumos[EAN],tabla_consumos[UM])</f>
        <v>#VALUE!</v>
      </c>
      <c r="S1850" s="22" t="e">
        <f>Tabla1[[#This Row],[StockDisp]]*Tabla1[[#This Row],[UM producto]]</f>
        <v>#VALUE!</v>
      </c>
    </row>
    <row r="1851" spans="1:19" x14ac:dyDescent="0.35">
      <c r="A1851" s="5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6"/>
      <c r="P1851" s="23" t="e">
        <f>TRIM(Tabla1[[#This Row],[Articulo]])</f>
        <v>#VALUE!</v>
      </c>
      <c r="Q1851" s="23" t="e">
        <f>_xlfn.XLOOKUP(Tabla1[[#This Row],[Ean Normalizado]],Consumos!A:A,Consumos!E:E)</f>
        <v>#VALUE!</v>
      </c>
      <c r="R1851" s="22" t="e">
        <f>_xlfn.XLOOKUP(Tabla1[[#This Row],[Ean Normalizado]],tabla_consumos[EAN],tabla_consumos[UM])</f>
        <v>#VALUE!</v>
      </c>
      <c r="S1851" s="22" t="e">
        <f>Tabla1[[#This Row],[StockDisp]]*Tabla1[[#This Row],[UM producto]]</f>
        <v>#VALUE!</v>
      </c>
    </row>
    <row r="1852" spans="1:19" x14ac:dyDescent="0.35">
      <c r="A1852" s="5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6"/>
      <c r="P1852" s="23" t="e">
        <f>TRIM(Tabla1[[#This Row],[Articulo]])</f>
        <v>#VALUE!</v>
      </c>
      <c r="Q1852" s="23" t="e">
        <f>_xlfn.XLOOKUP(Tabla1[[#This Row],[Ean Normalizado]],Consumos!A:A,Consumos!E:E)</f>
        <v>#VALUE!</v>
      </c>
      <c r="R1852" s="22" t="e">
        <f>_xlfn.XLOOKUP(Tabla1[[#This Row],[Ean Normalizado]],tabla_consumos[EAN],tabla_consumos[UM])</f>
        <v>#VALUE!</v>
      </c>
      <c r="S1852" s="22" t="e">
        <f>Tabla1[[#This Row],[StockDisp]]*Tabla1[[#This Row],[UM producto]]</f>
        <v>#VALUE!</v>
      </c>
    </row>
    <row r="1853" spans="1:19" x14ac:dyDescent="0.35">
      <c r="A1853" s="5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6"/>
      <c r="P1853" s="23" t="e">
        <f>TRIM(Tabla1[[#This Row],[Articulo]])</f>
        <v>#VALUE!</v>
      </c>
      <c r="Q1853" s="23" t="e">
        <f>_xlfn.XLOOKUP(Tabla1[[#This Row],[Ean Normalizado]],Consumos!A:A,Consumos!E:E)</f>
        <v>#VALUE!</v>
      </c>
      <c r="R1853" s="22" t="e">
        <f>_xlfn.XLOOKUP(Tabla1[[#This Row],[Ean Normalizado]],tabla_consumos[EAN],tabla_consumos[UM])</f>
        <v>#VALUE!</v>
      </c>
      <c r="S1853" s="22" t="e">
        <f>Tabla1[[#This Row],[StockDisp]]*Tabla1[[#This Row],[UM producto]]</f>
        <v>#VALUE!</v>
      </c>
    </row>
    <row r="1854" spans="1:19" x14ac:dyDescent="0.35">
      <c r="A1854" s="5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6"/>
      <c r="P1854" s="23" t="e">
        <f>TRIM(Tabla1[[#This Row],[Articulo]])</f>
        <v>#VALUE!</v>
      </c>
      <c r="Q1854" s="23" t="e">
        <f>_xlfn.XLOOKUP(Tabla1[[#This Row],[Ean Normalizado]],Consumos!A:A,Consumos!E:E)</f>
        <v>#VALUE!</v>
      </c>
      <c r="R1854" s="22" t="e">
        <f>_xlfn.XLOOKUP(Tabla1[[#This Row],[Ean Normalizado]],tabla_consumos[EAN],tabla_consumos[UM])</f>
        <v>#VALUE!</v>
      </c>
      <c r="S1854" s="22" t="e">
        <f>Tabla1[[#This Row],[StockDisp]]*Tabla1[[#This Row],[UM producto]]</f>
        <v>#VALUE!</v>
      </c>
    </row>
    <row r="1855" spans="1:19" x14ac:dyDescent="0.35">
      <c r="A1855" s="5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6"/>
      <c r="P1855" s="23" t="e">
        <f>TRIM(Tabla1[[#This Row],[Articulo]])</f>
        <v>#VALUE!</v>
      </c>
      <c r="Q1855" s="23" t="e">
        <f>_xlfn.XLOOKUP(Tabla1[[#This Row],[Ean Normalizado]],Consumos!A:A,Consumos!E:E)</f>
        <v>#VALUE!</v>
      </c>
      <c r="R1855" s="22" t="e">
        <f>_xlfn.XLOOKUP(Tabla1[[#This Row],[Ean Normalizado]],tabla_consumos[EAN],tabla_consumos[UM])</f>
        <v>#VALUE!</v>
      </c>
      <c r="S1855" s="22" t="e">
        <f>Tabla1[[#This Row],[StockDisp]]*Tabla1[[#This Row],[UM producto]]</f>
        <v>#VALUE!</v>
      </c>
    </row>
    <row r="1856" spans="1:19" x14ac:dyDescent="0.35">
      <c r="A1856" s="5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6"/>
      <c r="P1856" s="23" t="e">
        <f>TRIM(Tabla1[[#This Row],[Articulo]])</f>
        <v>#VALUE!</v>
      </c>
      <c r="Q1856" s="23" t="e">
        <f>_xlfn.XLOOKUP(Tabla1[[#This Row],[Ean Normalizado]],Consumos!A:A,Consumos!E:E)</f>
        <v>#VALUE!</v>
      </c>
      <c r="R1856" s="22" t="e">
        <f>_xlfn.XLOOKUP(Tabla1[[#This Row],[Ean Normalizado]],tabla_consumos[EAN],tabla_consumos[UM])</f>
        <v>#VALUE!</v>
      </c>
      <c r="S1856" s="22" t="e">
        <f>Tabla1[[#This Row],[StockDisp]]*Tabla1[[#This Row],[UM producto]]</f>
        <v>#VALUE!</v>
      </c>
    </row>
    <row r="1857" spans="1:19" x14ac:dyDescent="0.35">
      <c r="A1857" s="5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6"/>
      <c r="P1857" s="23" t="e">
        <f>TRIM(Tabla1[[#This Row],[Articulo]])</f>
        <v>#VALUE!</v>
      </c>
      <c r="Q1857" s="23" t="e">
        <f>_xlfn.XLOOKUP(Tabla1[[#This Row],[Ean Normalizado]],Consumos!A:A,Consumos!E:E)</f>
        <v>#VALUE!</v>
      </c>
      <c r="R1857" s="22" t="e">
        <f>_xlfn.XLOOKUP(Tabla1[[#This Row],[Ean Normalizado]],tabla_consumos[EAN],tabla_consumos[UM])</f>
        <v>#VALUE!</v>
      </c>
      <c r="S1857" s="22" t="e">
        <f>Tabla1[[#This Row],[StockDisp]]*Tabla1[[#This Row],[UM producto]]</f>
        <v>#VALUE!</v>
      </c>
    </row>
    <row r="1858" spans="1:19" x14ac:dyDescent="0.35">
      <c r="A1858" s="5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6"/>
      <c r="P1858" s="23" t="e">
        <f>TRIM(Tabla1[[#This Row],[Articulo]])</f>
        <v>#VALUE!</v>
      </c>
      <c r="Q1858" s="23" t="e">
        <f>_xlfn.XLOOKUP(Tabla1[[#This Row],[Ean Normalizado]],Consumos!A:A,Consumos!E:E)</f>
        <v>#VALUE!</v>
      </c>
      <c r="R1858" s="22" t="e">
        <f>_xlfn.XLOOKUP(Tabla1[[#This Row],[Ean Normalizado]],tabla_consumos[EAN],tabla_consumos[UM])</f>
        <v>#VALUE!</v>
      </c>
      <c r="S1858" s="22" t="e">
        <f>Tabla1[[#This Row],[StockDisp]]*Tabla1[[#This Row],[UM producto]]</f>
        <v>#VALUE!</v>
      </c>
    </row>
    <row r="1859" spans="1:19" x14ac:dyDescent="0.35">
      <c r="A1859" s="5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6"/>
      <c r="P1859" s="23" t="e">
        <f>TRIM(Tabla1[[#This Row],[Articulo]])</f>
        <v>#VALUE!</v>
      </c>
      <c r="Q1859" s="23" t="e">
        <f>_xlfn.XLOOKUP(Tabla1[[#This Row],[Ean Normalizado]],Consumos!A:A,Consumos!E:E)</f>
        <v>#VALUE!</v>
      </c>
      <c r="R1859" s="22" t="e">
        <f>_xlfn.XLOOKUP(Tabla1[[#This Row],[Ean Normalizado]],tabla_consumos[EAN],tabla_consumos[UM])</f>
        <v>#VALUE!</v>
      </c>
      <c r="S1859" s="22" t="e">
        <f>Tabla1[[#This Row],[StockDisp]]*Tabla1[[#This Row],[UM producto]]</f>
        <v>#VALUE!</v>
      </c>
    </row>
    <row r="1860" spans="1:19" x14ac:dyDescent="0.35">
      <c r="A1860" s="5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6"/>
      <c r="P1860" s="23" t="e">
        <f>TRIM(Tabla1[[#This Row],[Articulo]])</f>
        <v>#VALUE!</v>
      </c>
      <c r="Q1860" s="23" t="e">
        <f>_xlfn.XLOOKUP(Tabla1[[#This Row],[Ean Normalizado]],Consumos!A:A,Consumos!E:E)</f>
        <v>#VALUE!</v>
      </c>
      <c r="R1860" s="22" t="e">
        <f>_xlfn.XLOOKUP(Tabla1[[#This Row],[Ean Normalizado]],tabla_consumos[EAN],tabla_consumos[UM])</f>
        <v>#VALUE!</v>
      </c>
      <c r="S1860" s="22" t="e">
        <f>Tabla1[[#This Row],[StockDisp]]*Tabla1[[#This Row],[UM producto]]</f>
        <v>#VALUE!</v>
      </c>
    </row>
    <row r="1861" spans="1:19" x14ac:dyDescent="0.35">
      <c r="A1861" s="5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6"/>
      <c r="P1861" s="23" t="e">
        <f>TRIM(Tabla1[[#This Row],[Articulo]])</f>
        <v>#VALUE!</v>
      </c>
      <c r="Q1861" s="23" t="e">
        <f>_xlfn.XLOOKUP(Tabla1[[#This Row],[Ean Normalizado]],Consumos!A:A,Consumos!E:E)</f>
        <v>#VALUE!</v>
      </c>
      <c r="R1861" s="22" t="e">
        <f>_xlfn.XLOOKUP(Tabla1[[#This Row],[Ean Normalizado]],tabla_consumos[EAN],tabla_consumos[UM])</f>
        <v>#VALUE!</v>
      </c>
      <c r="S1861" s="22" t="e">
        <f>Tabla1[[#This Row],[StockDisp]]*Tabla1[[#This Row],[UM producto]]</f>
        <v>#VALUE!</v>
      </c>
    </row>
    <row r="1862" spans="1:19" x14ac:dyDescent="0.35">
      <c r="A1862" s="5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6"/>
      <c r="P1862" s="23" t="e">
        <f>TRIM(Tabla1[[#This Row],[Articulo]])</f>
        <v>#VALUE!</v>
      </c>
      <c r="Q1862" s="23" t="e">
        <f>_xlfn.XLOOKUP(Tabla1[[#This Row],[Ean Normalizado]],Consumos!A:A,Consumos!E:E)</f>
        <v>#VALUE!</v>
      </c>
      <c r="R1862" s="22" t="e">
        <f>_xlfn.XLOOKUP(Tabla1[[#This Row],[Ean Normalizado]],tabla_consumos[EAN],tabla_consumos[UM])</f>
        <v>#VALUE!</v>
      </c>
      <c r="S1862" s="22" t="e">
        <f>Tabla1[[#This Row],[StockDisp]]*Tabla1[[#This Row],[UM producto]]</f>
        <v>#VALUE!</v>
      </c>
    </row>
    <row r="1863" spans="1:19" x14ac:dyDescent="0.35">
      <c r="A1863" s="5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6"/>
      <c r="P1863" s="23" t="e">
        <f>TRIM(Tabla1[[#This Row],[Articulo]])</f>
        <v>#VALUE!</v>
      </c>
      <c r="Q1863" s="23" t="e">
        <f>_xlfn.XLOOKUP(Tabla1[[#This Row],[Ean Normalizado]],Consumos!A:A,Consumos!E:E)</f>
        <v>#VALUE!</v>
      </c>
      <c r="R1863" s="22" t="e">
        <f>_xlfn.XLOOKUP(Tabla1[[#This Row],[Ean Normalizado]],tabla_consumos[EAN],tabla_consumos[UM])</f>
        <v>#VALUE!</v>
      </c>
      <c r="S1863" s="22" t="e">
        <f>Tabla1[[#This Row],[StockDisp]]*Tabla1[[#This Row],[UM producto]]</f>
        <v>#VALUE!</v>
      </c>
    </row>
    <row r="1864" spans="1:19" x14ac:dyDescent="0.35">
      <c r="A1864" s="5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6"/>
      <c r="P1864" s="23" t="e">
        <f>TRIM(Tabla1[[#This Row],[Articulo]])</f>
        <v>#VALUE!</v>
      </c>
      <c r="Q1864" s="23" t="e">
        <f>_xlfn.XLOOKUP(Tabla1[[#This Row],[Ean Normalizado]],Consumos!A:A,Consumos!E:E)</f>
        <v>#VALUE!</v>
      </c>
      <c r="R1864" s="22" t="e">
        <f>_xlfn.XLOOKUP(Tabla1[[#This Row],[Ean Normalizado]],tabla_consumos[EAN],tabla_consumos[UM])</f>
        <v>#VALUE!</v>
      </c>
      <c r="S1864" s="22" t="e">
        <f>Tabla1[[#This Row],[StockDisp]]*Tabla1[[#This Row],[UM producto]]</f>
        <v>#VALUE!</v>
      </c>
    </row>
    <row r="1865" spans="1:19" x14ac:dyDescent="0.35">
      <c r="A1865" s="5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6"/>
      <c r="P1865" s="23" t="e">
        <f>TRIM(Tabla1[[#This Row],[Articulo]])</f>
        <v>#VALUE!</v>
      </c>
      <c r="Q1865" s="23" t="e">
        <f>_xlfn.XLOOKUP(Tabla1[[#This Row],[Ean Normalizado]],Consumos!A:A,Consumos!E:E)</f>
        <v>#VALUE!</v>
      </c>
      <c r="R1865" s="22" t="e">
        <f>_xlfn.XLOOKUP(Tabla1[[#This Row],[Ean Normalizado]],tabla_consumos[EAN],tabla_consumos[UM])</f>
        <v>#VALUE!</v>
      </c>
      <c r="S1865" s="22" t="e">
        <f>Tabla1[[#This Row],[StockDisp]]*Tabla1[[#This Row],[UM producto]]</f>
        <v>#VALUE!</v>
      </c>
    </row>
    <row r="1866" spans="1:19" x14ac:dyDescent="0.35">
      <c r="A1866" s="5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6"/>
      <c r="P1866" s="23" t="e">
        <f>TRIM(Tabla1[[#This Row],[Articulo]])</f>
        <v>#VALUE!</v>
      </c>
      <c r="Q1866" s="23" t="e">
        <f>_xlfn.XLOOKUP(Tabla1[[#This Row],[Ean Normalizado]],Consumos!A:A,Consumos!E:E)</f>
        <v>#VALUE!</v>
      </c>
      <c r="R1866" s="22" t="e">
        <f>_xlfn.XLOOKUP(Tabla1[[#This Row],[Ean Normalizado]],tabla_consumos[EAN],tabla_consumos[UM])</f>
        <v>#VALUE!</v>
      </c>
      <c r="S1866" s="22" t="e">
        <f>Tabla1[[#This Row],[StockDisp]]*Tabla1[[#This Row],[UM producto]]</f>
        <v>#VALUE!</v>
      </c>
    </row>
    <row r="1867" spans="1:19" x14ac:dyDescent="0.35">
      <c r="A1867" s="5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6"/>
      <c r="P1867" s="23" t="e">
        <f>TRIM(Tabla1[[#This Row],[Articulo]])</f>
        <v>#VALUE!</v>
      </c>
      <c r="Q1867" s="23" t="e">
        <f>_xlfn.XLOOKUP(Tabla1[[#This Row],[Ean Normalizado]],Consumos!A:A,Consumos!E:E)</f>
        <v>#VALUE!</v>
      </c>
      <c r="R1867" s="22" t="e">
        <f>_xlfn.XLOOKUP(Tabla1[[#This Row],[Ean Normalizado]],tabla_consumos[EAN],tabla_consumos[UM])</f>
        <v>#VALUE!</v>
      </c>
      <c r="S1867" s="22" t="e">
        <f>Tabla1[[#This Row],[StockDisp]]*Tabla1[[#This Row],[UM producto]]</f>
        <v>#VALUE!</v>
      </c>
    </row>
    <row r="1868" spans="1:19" x14ac:dyDescent="0.35">
      <c r="A1868" s="5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6"/>
      <c r="P1868" s="23" t="e">
        <f>TRIM(Tabla1[[#This Row],[Articulo]])</f>
        <v>#VALUE!</v>
      </c>
      <c r="Q1868" s="23" t="e">
        <f>_xlfn.XLOOKUP(Tabla1[[#This Row],[Ean Normalizado]],Consumos!A:A,Consumos!E:E)</f>
        <v>#VALUE!</v>
      </c>
      <c r="R1868" s="22" t="e">
        <f>_xlfn.XLOOKUP(Tabla1[[#This Row],[Ean Normalizado]],tabla_consumos[EAN],tabla_consumos[UM])</f>
        <v>#VALUE!</v>
      </c>
      <c r="S1868" s="22" t="e">
        <f>Tabla1[[#This Row],[StockDisp]]*Tabla1[[#This Row],[UM producto]]</f>
        <v>#VALUE!</v>
      </c>
    </row>
    <row r="1869" spans="1:19" x14ac:dyDescent="0.35">
      <c r="A1869" s="5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6"/>
      <c r="P1869" s="23" t="e">
        <f>TRIM(Tabla1[[#This Row],[Articulo]])</f>
        <v>#VALUE!</v>
      </c>
      <c r="Q1869" s="23" t="e">
        <f>_xlfn.XLOOKUP(Tabla1[[#This Row],[Ean Normalizado]],Consumos!A:A,Consumos!E:E)</f>
        <v>#VALUE!</v>
      </c>
      <c r="R1869" s="22" t="e">
        <f>_xlfn.XLOOKUP(Tabla1[[#This Row],[Ean Normalizado]],tabla_consumos[EAN],tabla_consumos[UM])</f>
        <v>#VALUE!</v>
      </c>
      <c r="S1869" s="22" t="e">
        <f>Tabla1[[#This Row],[StockDisp]]*Tabla1[[#This Row],[UM producto]]</f>
        <v>#VALUE!</v>
      </c>
    </row>
    <row r="1870" spans="1:19" x14ac:dyDescent="0.35">
      <c r="A1870" s="5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6"/>
      <c r="P1870" s="23" t="e">
        <f>TRIM(Tabla1[[#This Row],[Articulo]])</f>
        <v>#VALUE!</v>
      </c>
      <c r="Q1870" s="23" t="e">
        <f>_xlfn.XLOOKUP(Tabla1[[#This Row],[Ean Normalizado]],Consumos!A:A,Consumos!E:E)</f>
        <v>#VALUE!</v>
      </c>
      <c r="R1870" s="22" t="e">
        <f>_xlfn.XLOOKUP(Tabla1[[#This Row],[Ean Normalizado]],tabla_consumos[EAN],tabla_consumos[UM])</f>
        <v>#VALUE!</v>
      </c>
      <c r="S1870" s="22" t="e">
        <f>Tabla1[[#This Row],[StockDisp]]*Tabla1[[#This Row],[UM producto]]</f>
        <v>#VALUE!</v>
      </c>
    </row>
    <row r="1871" spans="1:19" x14ac:dyDescent="0.35">
      <c r="A1871" s="5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6"/>
      <c r="P1871" s="23" t="e">
        <f>TRIM(Tabla1[[#This Row],[Articulo]])</f>
        <v>#VALUE!</v>
      </c>
      <c r="Q1871" s="23" t="e">
        <f>_xlfn.XLOOKUP(Tabla1[[#This Row],[Ean Normalizado]],Consumos!A:A,Consumos!E:E)</f>
        <v>#VALUE!</v>
      </c>
      <c r="R1871" s="22" t="e">
        <f>_xlfn.XLOOKUP(Tabla1[[#This Row],[Ean Normalizado]],tabla_consumos[EAN],tabla_consumos[UM])</f>
        <v>#VALUE!</v>
      </c>
      <c r="S1871" s="22" t="e">
        <f>Tabla1[[#This Row],[StockDisp]]*Tabla1[[#This Row],[UM producto]]</f>
        <v>#VALUE!</v>
      </c>
    </row>
    <row r="1872" spans="1:19" x14ac:dyDescent="0.35">
      <c r="A1872" s="5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6"/>
      <c r="P1872" s="23" t="e">
        <f>TRIM(Tabla1[[#This Row],[Articulo]])</f>
        <v>#VALUE!</v>
      </c>
      <c r="Q1872" s="23" t="e">
        <f>_xlfn.XLOOKUP(Tabla1[[#This Row],[Ean Normalizado]],Consumos!A:A,Consumos!E:E)</f>
        <v>#VALUE!</v>
      </c>
      <c r="R1872" s="22" t="e">
        <f>_xlfn.XLOOKUP(Tabla1[[#This Row],[Ean Normalizado]],tabla_consumos[EAN],tabla_consumos[UM])</f>
        <v>#VALUE!</v>
      </c>
      <c r="S1872" s="22" t="e">
        <f>Tabla1[[#This Row],[StockDisp]]*Tabla1[[#This Row],[UM producto]]</f>
        <v>#VALUE!</v>
      </c>
    </row>
    <row r="1873" spans="1:19" x14ac:dyDescent="0.35">
      <c r="A1873" s="5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6"/>
      <c r="P1873" s="23" t="e">
        <f>TRIM(Tabla1[[#This Row],[Articulo]])</f>
        <v>#VALUE!</v>
      </c>
      <c r="Q1873" s="23" t="e">
        <f>_xlfn.XLOOKUP(Tabla1[[#This Row],[Ean Normalizado]],Consumos!A:A,Consumos!E:E)</f>
        <v>#VALUE!</v>
      </c>
      <c r="R1873" s="22" t="e">
        <f>_xlfn.XLOOKUP(Tabla1[[#This Row],[Ean Normalizado]],tabla_consumos[EAN],tabla_consumos[UM])</f>
        <v>#VALUE!</v>
      </c>
      <c r="S1873" s="22" t="e">
        <f>Tabla1[[#This Row],[StockDisp]]*Tabla1[[#This Row],[UM producto]]</f>
        <v>#VALUE!</v>
      </c>
    </row>
    <row r="1874" spans="1:19" x14ac:dyDescent="0.35">
      <c r="A1874" s="5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6"/>
      <c r="P1874" s="23" t="e">
        <f>TRIM(Tabla1[[#This Row],[Articulo]])</f>
        <v>#VALUE!</v>
      </c>
      <c r="Q1874" s="23" t="e">
        <f>_xlfn.XLOOKUP(Tabla1[[#This Row],[Ean Normalizado]],Consumos!A:A,Consumos!E:E)</f>
        <v>#VALUE!</v>
      </c>
      <c r="R1874" s="22" t="e">
        <f>_xlfn.XLOOKUP(Tabla1[[#This Row],[Ean Normalizado]],tabla_consumos[EAN],tabla_consumos[UM])</f>
        <v>#VALUE!</v>
      </c>
      <c r="S1874" s="22" t="e">
        <f>Tabla1[[#This Row],[StockDisp]]*Tabla1[[#This Row],[UM producto]]</f>
        <v>#VALUE!</v>
      </c>
    </row>
    <row r="1875" spans="1:19" x14ac:dyDescent="0.35">
      <c r="A1875" s="5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6"/>
      <c r="P1875" s="23" t="e">
        <f>TRIM(Tabla1[[#This Row],[Articulo]])</f>
        <v>#VALUE!</v>
      </c>
      <c r="Q1875" s="23" t="e">
        <f>_xlfn.XLOOKUP(Tabla1[[#This Row],[Ean Normalizado]],Consumos!A:A,Consumos!E:E)</f>
        <v>#VALUE!</v>
      </c>
      <c r="R1875" s="22" t="e">
        <f>_xlfn.XLOOKUP(Tabla1[[#This Row],[Ean Normalizado]],tabla_consumos[EAN],tabla_consumos[UM])</f>
        <v>#VALUE!</v>
      </c>
      <c r="S1875" s="22" t="e">
        <f>Tabla1[[#This Row],[StockDisp]]*Tabla1[[#This Row],[UM producto]]</f>
        <v>#VALUE!</v>
      </c>
    </row>
    <row r="1876" spans="1:19" x14ac:dyDescent="0.35">
      <c r="A1876" s="5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6"/>
      <c r="P1876" s="23" t="e">
        <f>TRIM(Tabla1[[#This Row],[Articulo]])</f>
        <v>#VALUE!</v>
      </c>
      <c r="Q1876" s="23" t="e">
        <f>_xlfn.XLOOKUP(Tabla1[[#This Row],[Ean Normalizado]],Consumos!A:A,Consumos!E:E)</f>
        <v>#VALUE!</v>
      </c>
      <c r="R1876" s="22" t="e">
        <f>_xlfn.XLOOKUP(Tabla1[[#This Row],[Ean Normalizado]],tabla_consumos[EAN],tabla_consumos[UM])</f>
        <v>#VALUE!</v>
      </c>
      <c r="S1876" s="22" t="e">
        <f>Tabla1[[#This Row],[StockDisp]]*Tabla1[[#This Row],[UM producto]]</f>
        <v>#VALUE!</v>
      </c>
    </row>
    <row r="1877" spans="1:19" x14ac:dyDescent="0.35">
      <c r="A1877" s="5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6"/>
      <c r="P1877" s="23" t="e">
        <f>TRIM(Tabla1[[#This Row],[Articulo]])</f>
        <v>#VALUE!</v>
      </c>
      <c r="Q1877" s="23" t="e">
        <f>_xlfn.XLOOKUP(Tabla1[[#This Row],[Ean Normalizado]],Consumos!A:A,Consumos!E:E)</f>
        <v>#VALUE!</v>
      </c>
      <c r="R1877" s="22" t="e">
        <f>_xlfn.XLOOKUP(Tabla1[[#This Row],[Ean Normalizado]],tabla_consumos[EAN],tabla_consumos[UM])</f>
        <v>#VALUE!</v>
      </c>
      <c r="S1877" s="22" t="e">
        <f>Tabla1[[#This Row],[StockDisp]]*Tabla1[[#This Row],[UM producto]]</f>
        <v>#VALUE!</v>
      </c>
    </row>
    <row r="1878" spans="1:19" x14ac:dyDescent="0.35">
      <c r="A1878" s="5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6"/>
      <c r="P1878" s="23" t="e">
        <f>TRIM(Tabla1[[#This Row],[Articulo]])</f>
        <v>#VALUE!</v>
      </c>
      <c r="Q1878" s="23" t="e">
        <f>_xlfn.XLOOKUP(Tabla1[[#This Row],[Ean Normalizado]],Consumos!A:A,Consumos!E:E)</f>
        <v>#VALUE!</v>
      </c>
      <c r="R1878" s="22" t="e">
        <f>_xlfn.XLOOKUP(Tabla1[[#This Row],[Ean Normalizado]],tabla_consumos[EAN],tabla_consumos[UM])</f>
        <v>#VALUE!</v>
      </c>
      <c r="S1878" s="22" t="e">
        <f>Tabla1[[#This Row],[StockDisp]]*Tabla1[[#This Row],[UM producto]]</f>
        <v>#VALUE!</v>
      </c>
    </row>
    <row r="1879" spans="1:19" x14ac:dyDescent="0.35">
      <c r="A1879" s="5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6"/>
      <c r="P1879" s="23" t="e">
        <f>TRIM(Tabla1[[#This Row],[Articulo]])</f>
        <v>#VALUE!</v>
      </c>
      <c r="Q1879" s="23" t="e">
        <f>_xlfn.XLOOKUP(Tabla1[[#This Row],[Ean Normalizado]],Consumos!A:A,Consumos!E:E)</f>
        <v>#VALUE!</v>
      </c>
      <c r="R1879" s="22" t="e">
        <f>_xlfn.XLOOKUP(Tabla1[[#This Row],[Ean Normalizado]],tabla_consumos[EAN],tabla_consumos[UM])</f>
        <v>#VALUE!</v>
      </c>
      <c r="S1879" s="22" t="e">
        <f>Tabla1[[#This Row],[StockDisp]]*Tabla1[[#This Row],[UM producto]]</f>
        <v>#VALUE!</v>
      </c>
    </row>
    <row r="1880" spans="1:19" x14ac:dyDescent="0.35">
      <c r="A1880" s="5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6"/>
      <c r="P1880" s="23" t="e">
        <f>TRIM(Tabla1[[#This Row],[Articulo]])</f>
        <v>#VALUE!</v>
      </c>
      <c r="Q1880" s="23" t="e">
        <f>_xlfn.XLOOKUP(Tabla1[[#This Row],[Ean Normalizado]],Consumos!A:A,Consumos!E:E)</f>
        <v>#VALUE!</v>
      </c>
      <c r="R1880" s="22" t="e">
        <f>_xlfn.XLOOKUP(Tabla1[[#This Row],[Ean Normalizado]],tabla_consumos[EAN],tabla_consumos[UM])</f>
        <v>#VALUE!</v>
      </c>
      <c r="S1880" s="22" t="e">
        <f>Tabla1[[#This Row],[StockDisp]]*Tabla1[[#This Row],[UM producto]]</f>
        <v>#VALUE!</v>
      </c>
    </row>
    <row r="1881" spans="1:19" x14ac:dyDescent="0.35">
      <c r="A1881" s="5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6"/>
      <c r="P1881" s="23" t="e">
        <f>TRIM(Tabla1[[#This Row],[Articulo]])</f>
        <v>#VALUE!</v>
      </c>
      <c r="Q1881" s="23" t="e">
        <f>_xlfn.XLOOKUP(Tabla1[[#This Row],[Ean Normalizado]],Consumos!A:A,Consumos!E:E)</f>
        <v>#VALUE!</v>
      </c>
      <c r="R1881" s="22" t="e">
        <f>_xlfn.XLOOKUP(Tabla1[[#This Row],[Ean Normalizado]],tabla_consumos[EAN],tabla_consumos[UM])</f>
        <v>#VALUE!</v>
      </c>
      <c r="S1881" s="22" t="e">
        <f>Tabla1[[#This Row],[StockDisp]]*Tabla1[[#This Row],[UM producto]]</f>
        <v>#VALUE!</v>
      </c>
    </row>
    <row r="1882" spans="1:19" x14ac:dyDescent="0.35">
      <c r="A1882" s="5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6"/>
      <c r="P1882" s="23" t="e">
        <f>TRIM(Tabla1[[#This Row],[Articulo]])</f>
        <v>#VALUE!</v>
      </c>
      <c r="Q1882" s="23" t="e">
        <f>_xlfn.XLOOKUP(Tabla1[[#This Row],[Ean Normalizado]],Consumos!A:A,Consumos!E:E)</f>
        <v>#VALUE!</v>
      </c>
      <c r="R1882" s="22" t="e">
        <f>_xlfn.XLOOKUP(Tabla1[[#This Row],[Ean Normalizado]],tabla_consumos[EAN],tabla_consumos[UM])</f>
        <v>#VALUE!</v>
      </c>
      <c r="S1882" s="22" t="e">
        <f>Tabla1[[#This Row],[StockDisp]]*Tabla1[[#This Row],[UM producto]]</f>
        <v>#VALUE!</v>
      </c>
    </row>
    <row r="1883" spans="1:19" x14ac:dyDescent="0.35">
      <c r="A1883" s="5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6"/>
      <c r="P1883" s="23" t="e">
        <f>TRIM(Tabla1[[#This Row],[Articulo]])</f>
        <v>#VALUE!</v>
      </c>
      <c r="Q1883" s="23" t="e">
        <f>_xlfn.XLOOKUP(Tabla1[[#This Row],[Ean Normalizado]],Consumos!A:A,Consumos!E:E)</f>
        <v>#VALUE!</v>
      </c>
      <c r="R1883" s="22" t="e">
        <f>_xlfn.XLOOKUP(Tabla1[[#This Row],[Ean Normalizado]],tabla_consumos[EAN],tabla_consumos[UM])</f>
        <v>#VALUE!</v>
      </c>
      <c r="S1883" s="22" t="e">
        <f>Tabla1[[#This Row],[StockDisp]]*Tabla1[[#This Row],[UM producto]]</f>
        <v>#VALUE!</v>
      </c>
    </row>
    <row r="1884" spans="1:19" x14ac:dyDescent="0.35">
      <c r="A1884" s="5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6"/>
      <c r="P1884" s="23" t="e">
        <f>TRIM(Tabla1[[#This Row],[Articulo]])</f>
        <v>#VALUE!</v>
      </c>
      <c r="Q1884" s="23" t="e">
        <f>_xlfn.XLOOKUP(Tabla1[[#This Row],[Ean Normalizado]],Consumos!A:A,Consumos!E:E)</f>
        <v>#VALUE!</v>
      </c>
      <c r="R1884" s="22" t="e">
        <f>_xlfn.XLOOKUP(Tabla1[[#This Row],[Ean Normalizado]],tabla_consumos[EAN],tabla_consumos[UM])</f>
        <v>#VALUE!</v>
      </c>
      <c r="S1884" s="22" t="e">
        <f>Tabla1[[#This Row],[StockDisp]]*Tabla1[[#This Row],[UM producto]]</f>
        <v>#VALUE!</v>
      </c>
    </row>
    <row r="1885" spans="1:19" x14ac:dyDescent="0.35">
      <c r="A1885" s="5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6"/>
      <c r="P1885" s="23" t="e">
        <f>TRIM(Tabla1[[#This Row],[Articulo]])</f>
        <v>#VALUE!</v>
      </c>
      <c r="Q1885" s="23" t="e">
        <f>_xlfn.XLOOKUP(Tabla1[[#This Row],[Ean Normalizado]],Consumos!A:A,Consumos!E:E)</f>
        <v>#VALUE!</v>
      </c>
      <c r="R1885" s="22" t="e">
        <f>_xlfn.XLOOKUP(Tabla1[[#This Row],[Ean Normalizado]],tabla_consumos[EAN],tabla_consumos[UM])</f>
        <v>#VALUE!</v>
      </c>
      <c r="S1885" s="22" t="e">
        <f>Tabla1[[#This Row],[StockDisp]]*Tabla1[[#This Row],[UM producto]]</f>
        <v>#VALUE!</v>
      </c>
    </row>
    <row r="1886" spans="1:19" x14ac:dyDescent="0.35">
      <c r="A1886" s="5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6"/>
      <c r="P1886" s="23" t="e">
        <f>TRIM(Tabla1[[#This Row],[Articulo]])</f>
        <v>#VALUE!</v>
      </c>
      <c r="Q1886" s="23" t="e">
        <f>_xlfn.XLOOKUP(Tabla1[[#This Row],[Ean Normalizado]],Consumos!A:A,Consumos!E:E)</f>
        <v>#VALUE!</v>
      </c>
      <c r="R1886" s="22" t="e">
        <f>_xlfn.XLOOKUP(Tabla1[[#This Row],[Ean Normalizado]],tabla_consumos[EAN],tabla_consumos[UM])</f>
        <v>#VALUE!</v>
      </c>
      <c r="S1886" s="22" t="e">
        <f>Tabla1[[#This Row],[StockDisp]]*Tabla1[[#This Row],[UM producto]]</f>
        <v>#VALUE!</v>
      </c>
    </row>
    <row r="1887" spans="1:19" x14ac:dyDescent="0.35">
      <c r="A1887" s="5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6"/>
      <c r="P1887" s="23" t="e">
        <f>TRIM(Tabla1[[#This Row],[Articulo]])</f>
        <v>#VALUE!</v>
      </c>
      <c r="Q1887" s="23" t="e">
        <f>_xlfn.XLOOKUP(Tabla1[[#This Row],[Ean Normalizado]],Consumos!A:A,Consumos!E:E)</f>
        <v>#VALUE!</v>
      </c>
      <c r="R1887" s="22" t="e">
        <f>_xlfn.XLOOKUP(Tabla1[[#This Row],[Ean Normalizado]],tabla_consumos[EAN],tabla_consumos[UM])</f>
        <v>#VALUE!</v>
      </c>
      <c r="S1887" s="22" t="e">
        <f>Tabla1[[#This Row],[StockDisp]]*Tabla1[[#This Row],[UM producto]]</f>
        <v>#VALUE!</v>
      </c>
    </row>
    <row r="1888" spans="1:19" x14ac:dyDescent="0.35">
      <c r="A1888" s="5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6"/>
      <c r="P1888" s="23" t="e">
        <f>TRIM(Tabla1[[#This Row],[Articulo]])</f>
        <v>#VALUE!</v>
      </c>
      <c r="Q1888" s="23" t="e">
        <f>_xlfn.XLOOKUP(Tabla1[[#This Row],[Ean Normalizado]],Consumos!A:A,Consumos!E:E)</f>
        <v>#VALUE!</v>
      </c>
      <c r="R1888" s="22" t="e">
        <f>_xlfn.XLOOKUP(Tabla1[[#This Row],[Ean Normalizado]],tabla_consumos[EAN],tabla_consumos[UM])</f>
        <v>#VALUE!</v>
      </c>
      <c r="S1888" s="22" t="e">
        <f>Tabla1[[#This Row],[StockDisp]]*Tabla1[[#This Row],[UM producto]]</f>
        <v>#VALUE!</v>
      </c>
    </row>
    <row r="1889" spans="1:19" x14ac:dyDescent="0.35">
      <c r="A1889" s="5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6"/>
      <c r="P1889" s="23" t="e">
        <f>TRIM(Tabla1[[#This Row],[Articulo]])</f>
        <v>#VALUE!</v>
      </c>
      <c r="Q1889" s="23" t="e">
        <f>_xlfn.XLOOKUP(Tabla1[[#This Row],[Ean Normalizado]],Consumos!A:A,Consumos!E:E)</f>
        <v>#VALUE!</v>
      </c>
      <c r="R1889" s="22" t="e">
        <f>_xlfn.XLOOKUP(Tabla1[[#This Row],[Ean Normalizado]],tabla_consumos[EAN],tabla_consumos[UM])</f>
        <v>#VALUE!</v>
      </c>
      <c r="S1889" s="22" t="e">
        <f>Tabla1[[#This Row],[StockDisp]]*Tabla1[[#This Row],[UM producto]]</f>
        <v>#VALUE!</v>
      </c>
    </row>
    <row r="1890" spans="1:19" x14ac:dyDescent="0.35">
      <c r="A1890" s="5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6"/>
      <c r="P1890" s="23" t="e">
        <f>TRIM(Tabla1[[#This Row],[Articulo]])</f>
        <v>#VALUE!</v>
      </c>
      <c r="Q1890" s="23" t="e">
        <f>_xlfn.XLOOKUP(Tabla1[[#This Row],[Ean Normalizado]],Consumos!A:A,Consumos!E:E)</f>
        <v>#VALUE!</v>
      </c>
      <c r="R1890" s="22" t="e">
        <f>_xlfn.XLOOKUP(Tabla1[[#This Row],[Ean Normalizado]],tabla_consumos[EAN],tabla_consumos[UM])</f>
        <v>#VALUE!</v>
      </c>
      <c r="S1890" s="22" t="e">
        <f>Tabla1[[#This Row],[StockDisp]]*Tabla1[[#This Row],[UM producto]]</f>
        <v>#VALUE!</v>
      </c>
    </row>
    <row r="1891" spans="1:19" x14ac:dyDescent="0.35">
      <c r="A1891" s="5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6"/>
      <c r="P1891" s="23" t="e">
        <f>TRIM(Tabla1[[#This Row],[Articulo]])</f>
        <v>#VALUE!</v>
      </c>
      <c r="Q1891" s="23" t="e">
        <f>_xlfn.XLOOKUP(Tabla1[[#This Row],[Ean Normalizado]],Consumos!A:A,Consumos!E:E)</f>
        <v>#VALUE!</v>
      </c>
      <c r="R1891" s="22" t="e">
        <f>_xlfn.XLOOKUP(Tabla1[[#This Row],[Ean Normalizado]],tabla_consumos[EAN],tabla_consumos[UM])</f>
        <v>#VALUE!</v>
      </c>
      <c r="S1891" s="22" t="e">
        <f>Tabla1[[#This Row],[StockDisp]]*Tabla1[[#This Row],[UM producto]]</f>
        <v>#VALUE!</v>
      </c>
    </row>
    <row r="1892" spans="1:19" x14ac:dyDescent="0.35">
      <c r="A1892" s="5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6"/>
      <c r="P1892" s="23" t="e">
        <f>TRIM(Tabla1[[#This Row],[Articulo]])</f>
        <v>#VALUE!</v>
      </c>
      <c r="Q1892" s="23" t="e">
        <f>_xlfn.XLOOKUP(Tabla1[[#This Row],[Ean Normalizado]],Consumos!A:A,Consumos!E:E)</f>
        <v>#VALUE!</v>
      </c>
      <c r="R1892" s="22" t="e">
        <f>_xlfn.XLOOKUP(Tabla1[[#This Row],[Ean Normalizado]],tabla_consumos[EAN],tabla_consumos[UM])</f>
        <v>#VALUE!</v>
      </c>
      <c r="S1892" s="22" t="e">
        <f>Tabla1[[#This Row],[StockDisp]]*Tabla1[[#This Row],[UM producto]]</f>
        <v>#VALUE!</v>
      </c>
    </row>
    <row r="1893" spans="1:19" x14ac:dyDescent="0.35">
      <c r="A1893" s="5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6"/>
      <c r="P1893" s="23" t="e">
        <f>TRIM(Tabla1[[#This Row],[Articulo]])</f>
        <v>#VALUE!</v>
      </c>
      <c r="Q1893" s="23" t="e">
        <f>_xlfn.XLOOKUP(Tabla1[[#This Row],[Ean Normalizado]],Consumos!A:A,Consumos!E:E)</f>
        <v>#VALUE!</v>
      </c>
      <c r="R1893" s="22" t="e">
        <f>_xlfn.XLOOKUP(Tabla1[[#This Row],[Ean Normalizado]],tabla_consumos[EAN],tabla_consumos[UM])</f>
        <v>#VALUE!</v>
      </c>
      <c r="S1893" s="22" t="e">
        <f>Tabla1[[#This Row],[StockDisp]]*Tabla1[[#This Row],[UM producto]]</f>
        <v>#VALUE!</v>
      </c>
    </row>
    <row r="1894" spans="1:19" x14ac:dyDescent="0.35">
      <c r="A1894" s="5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6"/>
      <c r="P1894" s="23" t="e">
        <f>TRIM(Tabla1[[#This Row],[Articulo]])</f>
        <v>#VALUE!</v>
      </c>
      <c r="Q1894" s="23" t="e">
        <f>_xlfn.XLOOKUP(Tabla1[[#This Row],[Ean Normalizado]],Consumos!A:A,Consumos!E:E)</f>
        <v>#VALUE!</v>
      </c>
      <c r="R1894" s="22" t="e">
        <f>_xlfn.XLOOKUP(Tabla1[[#This Row],[Ean Normalizado]],tabla_consumos[EAN],tabla_consumos[UM])</f>
        <v>#VALUE!</v>
      </c>
      <c r="S1894" s="22" t="e">
        <f>Tabla1[[#This Row],[StockDisp]]*Tabla1[[#This Row],[UM producto]]</f>
        <v>#VALUE!</v>
      </c>
    </row>
    <row r="1895" spans="1:19" x14ac:dyDescent="0.35">
      <c r="A1895" s="5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6"/>
      <c r="P1895" s="23" t="e">
        <f>TRIM(Tabla1[[#This Row],[Articulo]])</f>
        <v>#VALUE!</v>
      </c>
      <c r="Q1895" s="23" t="e">
        <f>_xlfn.XLOOKUP(Tabla1[[#This Row],[Ean Normalizado]],Consumos!A:A,Consumos!E:E)</f>
        <v>#VALUE!</v>
      </c>
      <c r="R1895" s="22" t="e">
        <f>_xlfn.XLOOKUP(Tabla1[[#This Row],[Ean Normalizado]],tabla_consumos[EAN],tabla_consumos[UM])</f>
        <v>#VALUE!</v>
      </c>
      <c r="S1895" s="22" t="e">
        <f>Tabla1[[#This Row],[StockDisp]]*Tabla1[[#This Row],[UM producto]]</f>
        <v>#VALUE!</v>
      </c>
    </row>
    <row r="1896" spans="1:19" x14ac:dyDescent="0.35">
      <c r="A1896" s="5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6"/>
      <c r="P1896" s="23" t="e">
        <f>TRIM(Tabla1[[#This Row],[Articulo]])</f>
        <v>#VALUE!</v>
      </c>
      <c r="Q1896" s="23" t="e">
        <f>_xlfn.XLOOKUP(Tabla1[[#This Row],[Ean Normalizado]],Consumos!A:A,Consumos!E:E)</f>
        <v>#VALUE!</v>
      </c>
      <c r="R1896" s="22" t="e">
        <f>_xlfn.XLOOKUP(Tabla1[[#This Row],[Ean Normalizado]],tabla_consumos[EAN],tabla_consumos[UM])</f>
        <v>#VALUE!</v>
      </c>
      <c r="S1896" s="22" t="e">
        <f>Tabla1[[#This Row],[StockDisp]]*Tabla1[[#This Row],[UM producto]]</f>
        <v>#VALUE!</v>
      </c>
    </row>
    <row r="1897" spans="1:19" x14ac:dyDescent="0.35">
      <c r="A1897" s="5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6"/>
      <c r="P1897" s="23" t="e">
        <f>TRIM(Tabla1[[#This Row],[Articulo]])</f>
        <v>#VALUE!</v>
      </c>
      <c r="Q1897" s="23" t="e">
        <f>_xlfn.XLOOKUP(Tabla1[[#This Row],[Ean Normalizado]],Consumos!A:A,Consumos!E:E)</f>
        <v>#VALUE!</v>
      </c>
      <c r="R1897" s="22" t="e">
        <f>_xlfn.XLOOKUP(Tabla1[[#This Row],[Ean Normalizado]],tabla_consumos[EAN],tabla_consumos[UM])</f>
        <v>#VALUE!</v>
      </c>
      <c r="S1897" s="22" t="e">
        <f>Tabla1[[#This Row],[StockDisp]]*Tabla1[[#This Row],[UM producto]]</f>
        <v>#VALUE!</v>
      </c>
    </row>
    <row r="1898" spans="1:19" x14ac:dyDescent="0.35">
      <c r="A1898" s="5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6"/>
      <c r="P1898" s="23" t="e">
        <f>TRIM(Tabla1[[#This Row],[Articulo]])</f>
        <v>#VALUE!</v>
      </c>
      <c r="Q1898" s="23" t="e">
        <f>_xlfn.XLOOKUP(Tabla1[[#This Row],[Ean Normalizado]],Consumos!A:A,Consumos!E:E)</f>
        <v>#VALUE!</v>
      </c>
      <c r="R1898" s="22" t="e">
        <f>_xlfn.XLOOKUP(Tabla1[[#This Row],[Ean Normalizado]],tabla_consumos[EAN],tabla_consumos[UM])</f>
        <v>#VALUE!</v>
      </c>
      <c r="S1898" s="22" t="e">
        <f>Tabla1[[#This Row],[StockDisp]]*Tabla1[[#This Row],[UM producto]]</f>
        <v>#VALUE!</v>
      </c>
    </row>
    <row r="1899" spans="1:19" x14ac:dyDescent="0.35">
      <c r="A1899" s="5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6"/>
      <c r="P1899" s="23" t="e">
        <f>TRIM(Tabla1[[#This Row],[Articulo]])</f>
        <v>#VALUE!</v>
      </c>
      <c r="Q1899" s="23" t="e">
        <f>_xlfn.XLOOKUP(Tabla1[[#This Row],[Ean Normalizado]],Consumos!A:A,Consumos!E:E)</f>
        <v>#VALUE!</v>
      </c>
      <c r="R1899" s="22" t="e">
        <f>_xlfn.XLOOKUP(Tabla1[[#This Row],[Ean Normalizado]],tabla_consumos[EAN],tabla_consumos[UM])</f>
        <v>#VALUE!</v>
      </c>
      <c r="S1899" s="22" t="e">
        <f>Tabla1[[#This Row],[StockDisp]]*Tabla1[[#This Row],[UM producto]]</f>
        <v>#VALUE!</v>
      </c>
    </row>
    <row r="1900" spans="1:19" x14ac:dyDescent="0.35">
      <c r="A1900" s="5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6"/>
      <c r="P1900" s="23" t="e">
        <f>TRIM(Tabla1[[#This Row],[Articulo]])</f>
        <v>#VALUE!</v>
      </c>
      <c r="Q1900" s="23" t="e">
        <f>_xlfn.XLOOKUP(Tabla1[[#This Row],[Ean Normalizado]],Consumos!A:A,Consumos!E:E)</f>
        <v>#VALUE!</v>
      </c>
      <c r="R1900" s="22" t="e">
        <f>_xlfn.XLOOKUP(Tabla1[[#This Row],[Ean Normalizado]],tabla_consumos[EAN],tabla_consumos[UM])</f>
        <v>#VALUE!</v>
      </c>
      <c r="S1900" s="22" t="e">
        <f>Tabla1[[#This Row],[StockDisp]]*Tabla1[[#This Row],[UM producto]]</f>
        <v>#VALUE!</v>
      </c>
    </row>
    <row r="1901" spans="1:19" x14ac:dyDescent="0.35">
      <c r="A1901" s="5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6"/>
      <c r="P1901" s="23" t="e">
        <f>TRIM(Tabla1[[#This Row],[Articulo]])</f>
        <v>#VALUE!</v>
      </c>
      <c r="Q1901" s="23" t="e">
        <f>_xlfn.XLOOKUP(Tabla1[[#This Row],[Ean Normalizado]],Consumos!A:A,Consumos!E:E)</f>
        <v>#VALUE!</v>
      </c>
      <c r="R1901" s="22" t="e">
        <f>_xlfn.XLOOKUP(Tabla1[[#This Row],[Ean Normalizado]],tabla_consumos[EAN],tabla_consumos[UM])</f>
        <v>#VALUE!</v>
      </c>
      <c r="S1901" s="22" t="e">
        <f>Tabla1[[#This Row],[StockDisp]]*Tabla1[[#This Row],[UM producto]]</f>
        <v>#VALUE!</v>
      </c>
    </row>
    <row r="1902" spans="1:19" x14ac:dyDescent="0.35">
      <c r="A1902" s="5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6"/>
      <c r="P1902" s="23" t="e">
        <f>TRIM(Tabla1[[#This Row],[Articulo]])</f>
        <v>#VALUE!</v>
      </c>
      <c r="Q1902" s="23" t="e">
        <f>_xlfn.XLOOKUP(Tabla1[[#This Row],[Ean Normalizado]],Consumos!A:A,Consumos!E:E)</f>
        <v>#VALUE!</v>
      </c>
      <c r="R1902" s="22" t="e">
        <f>_xlfn.XLOOKUP(Tabla1[[#This Row],[Ean Normalizado]],tabla_consumos[EAN],tabla_consumos[UM])</f>
        <v>#VALUE!</v>
      </c>
      <c r="S1902" s="22" t="e">
        <f>Tabla1[[#This Row],[StockDisp]]*Tabla1[[#This Row],[UM producto]]</f>
        <v>#VALUE!</v>
      </c>
    </row>
    <row r="1903" spans="1:19" x14ac:dyDescent="0.35">
      <c r="A1903" s="5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6"/>
      <c r="P1903" s="23" t="e">
        <f>TRIM(Tabla1[[#This Row],[Articulo]])</f>
        <v>#VALUE!</v>
      </c>
      <c r="Q1903" s="23" t="e">
        <f>_xlfn.XLOOKUP(Tabla1[[#This Row],[Ean Normalizado]],Consumos!A:A,Consumos!E:E)</f>
        <v>#VALUE!</v>
      </c>
      <c r="R1903" s="22" t="e">
        <f>_xlfn.XLOOKUP(Tabla1[[#This Row],[Ean Normalizado]],tabla_consumos[EAN],tabla_consumos[UM])</f>
        <v>#VALUE!</v>
      </c>
      <c r="S1903" s="22" t="e">
        <f>Tabla1[[#This Row],[StockDisp]]*Tabla1[[#This Row],[UM producto]]</f>
        <v>#VALUE!</v>
      </c>
    </row>
    <row r="1904" spans="1:19" x14ac:dyDescent="0.35">
      <c r="A1904" s="5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6"/>
      <c r="P1904" s="23" t="e">
        <f>TRIM(Tabla1[[#This Row],[Articulo]])</f>
        <v>#VALUE!</v>
      </c>
      <c r="Q1904" s="23" t="e">
        <f>_xlfn.XLOOKUP(Tabla1[[#This Row],[Ean Normalizado]],Consumos!A:A,Consumos!E:E)</f>
        <v>#VALUE!</v>
      </c>
      <c r="R1904" s="22" t="e">
        <f>_xlfn.XLOOKUP(Tabla1[[#This Row],[Ean Normalizado]],tabla_consumos[EAN],tabla_consumos[UM])</f>
        <v>#VALUE!</v>
      </c>
      <c r="S1904" s="22" t="e">
        <f>Tabla1[[#This Row],[StockDisp]]*Tabla1[[#This Row],[UM producto]]</f>
        <v>#VALUE!</v>
      </c>
    </row>
    <row r="1905" spans="1:19" x14ac:dyDescent="0.35">
      <c r="A1905" s="5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6"/>
      <c r="P1905" s="23" t="e">
        <f>TRIM(Tabla1[[#This Row],[Articulo]])</f>
        <v>#VALUE!</v>
      </c>
      <c r="Q1905" s="23" t="e">
        <f>_xlfn.XLOOKUP(Tabla1[[#This Row],[Ean Normalizado]],Consumos!A:A,Consumos!E:E)</f>
        <v>#VALUE!</v>
      </c>
      <c r="R1905" s="22" t="e">
        <f>_xlfn.XLOOKUP(Tabla1[[#This Row],[Ean Normalizado]],tabla_consumos[EAN],tabla_consumos[UM])</f>
        <v>#VALUE!</v>
      </c>
      <c r="S1905" s="22" t="e">
        <f>Tabla1[[#This Row],[StockDisp]]*Tabla1[[#This Row],[UM producto]]</f>
        <v>#VALUE!</v>
      </c>
    </row>
    <row r="1906" spans="1:19" x14ac:dyDescent="0.35">
      <c r="A1906" s="5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6"/>
      <c r="P1906" s="23" t="e">
        <f>TRIM(Tabla1[[#This Row],[Articulo]])</f>
        <v>#VALUE!</v>
      </c>
      <c r="Q1906" s="23" t="e">
        <f>_xlfn.XLOOKUP(Tabla1[[#This Row],[Ean Normalizado]],Consumos!A:A,Consumos!E:E)</f>
        <v>#VALUE!</v>
      </c>
      <c r="R1906" s="22" t="e">
        <f>_xlfn.XLOOKUP(Tabla1[[#This Row],[Ean Normalizado]],tabla_consumos[EAN],tabla_consumos[UM])</f>
        <v>#VALUE!</v>
      </c>
      <c r="S1906" s="22" t="e">
        <f>Tabla1[[#This Row],[StockDisp]]*Tabla1[[#This Row],[UM producto]]</f>
        <v>#VALUE!</v>
      </c>
    </row>
    <row r="1907" spans="1:19" x14ac:dyDescent="0.35">
      <c r="A1907" s="5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6"/>
      <c r="P1907" s="23" t="e">
        <f>TRIM(Tabla1[[#This Row],[Articulo]])</f>
        <v>#VALUE!</v>
      </c>
      <c r="Q1907" s="23" t="e">
        <f>_xlfn.XLOOKUP(Tabla1[[#This Row],[Ean Normalizado]],Consumos!A:A,Consumos!E:E)</f>
        <v>#VALUE!</v>
      </c>
      <c r="R1907" s="22" t="e">
        <f>_xlfn.XLOOKUP(Tabla1[[#This Row],[Ean Normalizado]],tabla_consumos[EAN],tabla_consumos[UM])</f>
        <v>#VALUE!</v>
      </c>
      <c r="S1907" s="22" t="e">
        <f>Tabla1[[#This Row],[StockDisp]]*Tabla1[[#This Row],[UM producto]]</f>
        <v>#VALUE!</v>
      </c>
    </row>
    <row r="1908" spans="1:19" x14ac:dyDescent="0.35">
      <c r="A1908" s="5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6"/>
      <c r="P1908" s="23" t="e">
        <f>TRIM(Tabla1[[#This Row],[Articulo]])</f>
        <v>#VALUE!</v>
      </c>
      <c r="Q1908" s="23" t="e">
        <f>_xlfn.XLOOKUP(Tabla1[[#This Row],[Ean Normalizado]],Consumos!A:A,Consumos!E:E)</f>
        <v>#VALUE!</v>
      </c>
      <c r="R1908" s="22" t="e">
        <f>_xlfn.XLOOKUP(Tabla1[[#This Row],[Ean Normalizado]],tabla_consumos[EAN],tabla_consumos[UM])</f>
        <v>#VALUE!</v>
      </c>
      <c r="S1908" s="22" t="e">
        <f>Tabla1[[#This Row],[StockDisp]]*Tabla1[[#This Row],[UM producto]]</f>
        <v>#VALUE!</v>
      </c>
    </row>
    <row r="1909" spans="1:19" x14ac:dyDescent="0.35">
      <c r="A1909" s="5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6"/>
      <c r="P1909" s="23" t="e">
        <f>TRIM(Tabla1[[#This Row],[Articulo]])</f>
        <v>#VALUE!</v>
      </c>
      <c r="Q1909" s="23" t="e">
        <f>_xlfn.XLOOKUP(Tabla1[[#This Row],[Ean Normalizado]],Consumos!A:A,Consumos!E:E)</f>
        <v>#VALUE!</v>
      </c>
      <c r="R1909" s="22" t="e">
        <f>_xlfn.XLOOKUP(Tabla1[[#This Row],[Ean Normalizado]],tabla_consumos[EAN],tabla_consumos[UM])</f>
        <v>#VALUE!</v>
      </c>
      <c r="S1909" s="22" t="e">
        <f>Tabla1[[#This Row],[StockDisp]]*Tabla1[[#This Row],[UM producto]]</f>
        <v>#VALUE!</v>
      </c>
    </row>
    <row r="1910" spans="1:19" x14ac:dyDescent="0.35">
      <c r="A1910" s="5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6"/>
      <c r="P1910" s="23" t="e">
        <f>TRIM(Tabla1[[#This Row],[Articulo]])</f>
        <v>#VALUE!</v>
      </c>
      <c r="Q1910" s="23" t="e">
        <f>_xlfn.XLOOKUP(Tabla1[[#This Row],[Ean Normalizado]],Consumos!A:A,Consumos!E:E)</f>
        <v>#VALUE!</v>
      </c>
      <c r="R1910" s="22" t="e">
        <f>_xlfn.XLOOKUP(Tabla1[[#This Row],[Ean Normalizado]],tabla_consumos[EAN],tabla_consumos[UM])</f>
        <v>#VALUE!</v>
      </c>
      <c r="S1910" s="22" t="e">
        <f>Tabla1[[#This Row],[StockDisp]]*Tabla1[[#This Row],[UM producto]]</f>
        <v>#VALUE!</v>
      </c>
    </row>
    <row r="1911" spans="1:19" x14ac:dyDescent="0.35">
      <c r="A1911" s="5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6"/>
      <c r="P1911" s="23" t="e">
        <f>TRIM(Tabla1[[#This Row],[Articulo]])</f>
        <v>#VALUE!</v>
      </c>
      <c r="Q1911" s="23" t="e">
        <f>_xlfn.XLOOKUP(Tabla1[[#This Row],[Ean Normalizado]],Consumos!A:A,Consumos!E:E)</f>
        <v>#VALUE!</v>
      </c>
      <c r="R1911" s="22" t="e">
        <f>_xlfn.XLOOKUP(Tabla1[[#This Row],[Ean Normalizado]],tabla_consumos[EAN],tabla_consumos[UM])</f>
        <v>#VALUE!</v>
      </c>
      <c r="S1911" s="22" t="e">
        <f>Tabla1[[#This Row],[StockDisp]]*Tabla1[[#This Row],[UM producto]]</f>
        <v>#VALUE!</v>
      </c>
    </row>
    <row r="1912" spans="1:19" x14ac:dyDescent="0.35">
      <c r="A1912" s="5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6"/>
      <c r="P1912" s="23" t="e">
        <f>TRIM(Tabla1[[#This Row],[Articulo]])</f>
        <v>#VALUE!</v>
      </c>
      <c r="Q1912" s="23" t="e">
        <f>_xlfn.XLOOKUP(Tabla1[[#This Row],[Ean Normalizado]],Consumos!A:A,Consumos!E:E)</f>
        <v>#VALUE!</v>
      </c>
      <c r="R1912" s="22" t="e">
        <f>_xlfn.XLOOKUP(Tabla1[[#This Row],[Ean Normalizado]],tabla_consumos[EAN],tabla_consumos[UM])</f>
        <v>#VALUE!</v>
      </c>
      <c r="S1912" s="22" t="e">
        <f>Tabla1[[#This Row],[StockDisp]]*Tabla1[[#This Row],[UM producto]]</f>
        <v>#VALUE!</v>
      </c>
    </row>
    <row r="1913" spans="1:19" x14ac:dyDescent="0.35">
      <c r="A1913" s="5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6"/>
      <c r="P1913" s="23" t="e">
        <f>TRIM(Tabla1[[#This Row],[Articulo]])</f>
        <v>#VALUE!</v>
      </c>
      <c r="Q1913" s="23" t="e">
        <f>_xlfn.XLOOKUP(Tabla1[[#This Row],[Ean Normalizado]],Consumos!A:A,Consumos!E:E)</f>
        <v>#VALUE!</v>
      </c>
      <c r="R1913" s="22" t="e">
        <f>_xlfn.XLOOKUP(Tabla1[[#This Row],[Ean Normalizado]],tabla_consumos[EAN],tabla_consumos[UM])</f>
        <v>#VALUE!</v>
      </c>
      <c r="S1913" s="22" t="e">
        <f>Tabla1[[#This Row],[StockDisp]]*Tabla1[[#This Row],[UM producto]]</f>
        <v>#VALUE!</v>
      </c>
    </row>
    <row r="1914" spans="1:19" x14ac:dyDescent="0.35">
      <c r="A1914" s="5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6"/>
      <c r="P1914" s="23" t="e">
        <f>TRIM(Tabla1[[#This Row],[Articulo]])</f>
        <v>#VALUE!</v>
      </c>
      <c r="Q1914" s="23" t="e">
        <f>_xlfn.XLOOKUP(Tabla1[[#This Row],[Ean Normalizado]],Consumos!A:A,Consumos!E:E)</f>
        <v>#VALUE!</v>
      </c>
      <c r="R1914" s="22" t="e">
        <f>_xlfn.XLOOKUP(Tabla1[[#This Row],[Ean Normalizado]],tabla_consumos[EAN],tabla_consumos[UM])</f>
        <v>#VALUE!</v>
      </c>
      <c r="S1914" s="22" t="e">
        <f>Tabla1[[#This Row],[StockDisp]]*Tabla1[[#This Row],[UM producto]]</f>
        <v>#VALUE!</v>
      </c>
    </row>
    <row r="1915" spans="1:19" x14ac:dyDescent="0.35">
      <c r="A1915" s="5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6"/>
      <c r="P1915" s="23" t="e">
        <f>TRIM(Tabla1[[#This Row],[Articulo]])</f>
        <v>#VALUE!</v>
      </c>
      <c r="Q1915" s="23" t="e">
        <f>_xlfn.XLOOKUP(Tabla1[[#This Row],[Ean Normalizado]],Consumos!A:A,Consumos!E:E)</f>
        <v>#VALUE!</v>
      </c>
      <c r="R1915" s="22" t="e">
        <f>_xlfn.XLOOKUP(Tabla1[[#This Row],[Ean Normalizado]],tabla_consumos[EAN],tabla_consumos[UM])</f>
        <v>#VALUE!</v>
      </c>
      <c r="S1915" s="22" t="e">
        <f>Tabla1[[#This Row],[StockDisp]]*Tabla1[[#This Row],[UM producto]]</f>
        <v>#VALUE!</v>
      </c>
    </row>
    <row r="1916" spans="1:19" x14ac:dyDescent="0.35">
      <c r="A1916" s="5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6"/>
      <c r="P1916" s="23" t="e">
        <f>TRIM(Tabla1[[#This Row],[Articulo]])</f>
        <v>#VALUE!</v>
      </c>
      <c r="Q1916" s="23" t="e">
        <f>_xlfn.XLOOKUP(Tabla1[[#This Row],[Ean Normalizado]],Consumos!A:A,Consumos!E:E)</f>
        <v>#VALUE!</v>
      </c>
      <c r="R1916" s="22" t="e">
        <f>_xlfn.XLOOKUP(Tabla1[[#This Row],[Ean Normalizado]],tabla_consumos[EAN],tabla_consumos[UM])</f>
        <v>#VALUE!</v>
      </c>
      <c r="S1916" s="22" t="e">
        <f>Tabla1[[#This Row],[StockDisp]]*Tabla1[[#This Row],[UM producto]]</f>
        <v>#VALUE!</v>
      </c>
    </row>
    <row r="1917" spans="1:19" x14ac:dyDescent="0.35">
      <c r="A1917" s="5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6"/>
      <c r="P1917" s="23" t="e">
        <f>TRIM(Tabla1[[#This Row],[Articulo]])</f>
        <v>#VALUE!</v>
      </c>
      <c r="Q1917" s="23" t="e">
        <f>_xlfn.XLOOKUP(Tabla1[[#This Row],[Ean Normalizado]],Consumos!A:A,Consumos!E:E)</f>
        <v>#VALUE!</v>
      </c>
      <c r="R1917" s="22" t="e">
        <f>_xlfn.XLOOKUP(Tabla1[[#This Row],[Ean Normalizado]],tabla_consumos[EAN],tabla_consumos[UM])</f>
        <v>#VALUE!</v>
      </c>
      <c r="S1917" s="22" t="e">
        <f>Tabla1[[#This Row],[StockDisp]]*Tabla1[[#This Row],[UM producto]]</f>
        <v>#VALUE!</v>
      </c>
    </row>
    <row r="1918" spans="1:19" x14ac:dyDescent="0.35">
      <c r="A1918" s="5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6"/>
      <c r="P1918" s="23" t="e">
        <f>TRIM(Tabla1[[#This Row],[Articulo]])</f>
        <v>#VALUE!</v>
      </c>
      <c r="Q1918" s="23" t="e">
        <f>_xlfn.XLOOKUP(Tabla1[[#This Row],[Ean Normalizado]],Consumos!A:A,Consumos!E:E)</f>
        <v>#VALUE!</v>
      </c>
      <c r="R1918" s="22" t="e">
        <f>_xlfn.XLOOKUP(Tabla1[[#This Row],[Ean Normalizado]],tabla_consumos[EAN],tabla_consumos[UM])</f>
        <v>#VALUE!</v>
      </c>
      <c r="S1918" s="22" t="e">
        <f>Tabla1[[#This Row],[StockDisp]]*Tabla1[[#This Row],[UM producto]]</f>
        <v>#VALUE!</v>
      </c>
    </row>
    <row r="1919" spans="1:19" x14ac:dyDescent="0.35">
      <c r="A1919" s="5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6"/>
      <c r="P1919" s="23" t="e">
        <f>TRIM(Tabla1[[#This Row],[Articulo]])</f>
        <v>#VALUE!</v>
      </c>
      <c r="Q1919" s="23" t="e">
        <f>_xlfn.XLOOKUP(Tabla1[[#This Row],[Ean Normalizado]],Consumos!A:A,Consumos!E:E)</f>
        <v>#VALUE!</v>
      </c>
      <c r="R1919" s="22" t="e">
        <f>_xlfn.XLOOKUP(Tabla1[[#This Row],[Ean Normalizado]],tabla_consumos[EAN],tabla_consumos[UM])</f>
        <v>#VALUE!</v>
      </c>
      <c r="S1919" s="22" t="e">
        <f>Tabla1[[#This Row],[StockDisp]]*Tabla1[[#This Row],[UM producto]]</f>
        <v>#VALUE!</v>
      </c>
    </row>
    <row r="1920" spans="1:19" x14ac:dyDescent="0.35">
      <c r="A1920" s="5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6"/>
      <c r="P1920" s="23" t="e">
        <f>TRIM(Tabla1[[#This Row],[Articulo]])</f>
        <v>#VALUE!</v>
      </c>
      <c r="Q1920" s="23" t="e">
        <f>_xlfn.XLOOKUP(Tabla1[[#This Row],[Ean Normalizado]],Consumos!A:A,Consumos!E:E)</f>
        <v>#VALUE!</v>
      </c>
      <c r="R1920" s="22" t="e">
        <f>_xlfn.XLOOKUP(Tabla1[[#This Row],[Ean Normalizado]],tabla_consumos[EAN],tabla_consumos[UM])</f>
        <v>#VALUE!</v>
      </c>
      <c r="S1920" s="22" t="e">
        <f>Tabla1[[#This Row],[StockDisp]]*Tabla1[[#This Row],[UM producto]]</f>
        <v>#VALUE!</v>
      </c>
    </row>
    <row r="1921" spans="1:19" x14ac:dyDescent="0.35">
      <c r="A1921" s="5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6"/>
      <c r="P1921" s="23" t="e">
        <f>TRIM(Tabla1[[#This Row],[Articulo]])</f>
        <v>#VALUE!</v>
      </c>
      <c r="Q1921" s="23" t="e">
        <f>_xlfn.XLOOKUP(Tabla1[[#This Row],[Ean Normalizado]],Consumos!A:A,Consumos!E:E)</f>
        <v>#VALUE!</v>
      </c>
      <c r="R1921" s="22" t="e">
        <f>_xlfn.XLOOKUP(Tabla1[[#This Row],[Ean Normalizado]],tabla_consumos[EAN],tabla_consumos[UM])</f>
        <v>#VALUE!</v>
      </c>
      <c r="S1921" s="22" t="e">
        <f>Tabla1[[#This Row],[StockDisp]]*Tabla1[[#This Row],[UM producto]]</f>
        <v>#VALUE!</v>
      </c>
    </row>
    <row r="1922" spans="1:19" x14ac:dyDescent="0.35">
      <c r="A1922" s="5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6"/>
      <c r="P1922" s="23" t="e">
        <f>TRIM(Tabla1[[#This Row],[Articulo]])</f>
        <v>#VALUE!</v>
      </c>
      <c r="Q1922" s="23" t="e">
        <f>_xlfn.XLOOKUP(Tabla1[[#This Row],[Ean Normalizado]],Consumos!A:A,Consumos!E:E)</f>
        <v>#VALUE!</v>
      </c>
      <c r="R1922" s="22" t="e">
        <f>_xlfn.XLOOKUP(Tabla1[[#This Row],[Ean Normalizado]],tabla_consumos[EAN],tabla_consumos[UM])</f>
        <v>#VALUE!</v>
      </c>
      <c r="S1922" s="22" t="e">
        <f>Tabla1[[#This Row],[StockDisp]]*Tabla1[[#This Row],[UM producto]]</f>
        <v>#VALUE!</v>
      </c>
    </row>
    <row r="1923" spans="1:19" x14ac:dyDescent="0.35">
      <c r="A1923" s="5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6"/>
      <c r="P1923" s="23" t="e">
        <f>TRIM(Tabla1[[#This Row],[Articulo]])</f>
        <v>#VALUE!</v>
      </c>
      <c r="Q1923" s="23" t="e">
        <f>_xlfn.XLOOKUP(Tabla1[[#This Row],[Ean Normalizado]],Consumos!A:A,Consumos!E:E)</f>
        <v>#VALUE!</v>
      </c>
      <c r="R1923" s="22" t="e">
        <f>_xlfn.XLOOKUP(Tabla1[[#This Row],[Ean Normalizado]],tabla_consumos[EAN],tabla_consumos[UM])</f>
        <v>#VALUE!</v>
      </c>
      <c r="S1923" s="22" t="e">
        <f>Tabla1[[#This Row],[StockDisp]]*Tabla1[[#This Row],[UM producto]]</f>
        <v>#VALUE!</v>
      </c>
    </row>
    <row r="1924" spans="1:19" x14ac:dyDescent="0.35">
      <c r="A1924" s="5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6"/>
      <c r="P1924" s="23" t="e">
        <f>TRIM(Tabla1[[#This Row],[Articulo]])</f>
        <v>#VALUE!</v>
      </c>
      <c r="Q1924" s="23" t="e">
        <f>_xlfn.XLOOKUP(Tabla1[[#This Row],[Ean Normalizado]],Consumos!A:A,Consumos!E:E)</f>
        <v>#VALUE!</v>
      </c>
      <c r="R1924" s="22" t="e">
        <f>_xlfn.XLOOKUP(Tabla1[[#This Row],[Ean Normalizado]],tabla_consumos[EAN],tabla_consumos[UM])</f>
        <v>#VALUE!</v>
      </c>
      <c r="S1924" s="22" t="e">
        <f>Tabla1[[#This Row],[StockDisp]]*Tabla1[[#This Row],[UM producto]]</f>
        <v>#VALUE!</v>
      </c>
    </row>
    <row r="1925" spans="1:19" x14ac:dyDescent="0.35">
      <c r="A1925" s="5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6"/>
      <c r="P1925" s="23" t="e">
        <f>TRIM(Tabla1[[#This Row],[Articulo]])</f>
        <v>#VALUE!</v>
      </c>
      <c r="Q1925" s="23" t="e">
        <f>_xlfn.XLOOKUP(Tabla1[[#This Row],[Ean Normalizado]],Consumos!A:A,Consumos!E:E)</f>
        <v>#VALUE!</v>
      </c>
      <c r="R1925" s="22" t="e">
        <f>_xlfn.XLOOKUP(Tabla1[[#This Row],[Ean Normalizado]],tabla_consumos[EAN],tabla_consumos[UM])</f>
        <v>#VALUE!</v>
      </c>
      <c r="S1925" s="22" t="e">
        <f>Tabla1[[#This Row],[StockDisp]]*Tabla1[[#This Row],[UM producto]]</f>
        <v>#VALUE!</v>
      </c>
    </row>
    <row r="1926" spans="1:19" x14ac:dyDescent="0.35">
      <c r="A1926" s="5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6"/>
      <c r="P1926" s="23" t="e">
        <f>TRIM(Tabla1[[#This Row],[Articulo]])</f>
        <v>#VALUE!</v>
      </c>
      <c r="Q1926" s="23" t="e">
        <f>_xlfn.XLOOKUP(Tabla1[[#This Row],[Ean Normalizado]],Consumos!A:A,Consumos!E:E)</f>
        <v>#VALUE!</v>
      </c>
      <c r="R1926" s="22" t="e">
        <f>_xlfn.XLOOKUP(Tabla1[[#This Row],[Ean Normalizado]],tabla_consumos[EAN],tabla_consumos[UM])</f>
        <v>#VALUE!</v>
      </c>
      <c r="S1926" s="22" t="e">
        <f>Tabla1[[#This Row],[StockDisp]]*Tabla1[[#This Row],[UM producto]]</f>
        <v>#VALUE!</v>
      </c>
    </row>
    <row r="1927" spans="1:19" x14ac:dyDescent="0.35">
      <c r="A1927" s="5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6"/>
      <c r="P1927" s="23" t="e">
        <f>TRIM(Tabla1[[#This Row],[Articulo]])</f>
        <v>#VALUE!</v>
      </c>
      <c r="Q1927" s="23" t="e">
        <f>_xlfn.XLOOKUP(Tabla1[[#This Row],[Ean Normalizado]],Consumos!A:A,Consumos!E:E)</f>
        <v>#VALUE!</v>
      </c>
      <c r="R1927" s="22" t="e">
        <f>_xlfn.XLOOKUP(Tabla1[[#This Row],[Ean Normalizado]],tabla_consumos[EAN],tabla_consumos[UM])</f>
        <v>#VALUE!</v>
      </c>
      <c r="S1927" s="22" t="e">
        <f>Tabla1[[#This Row],[StockDisp]]*Tabla1[[#This Row],[UM producto]]</f>
        <v>#VALUE!</v>
      </c>
    </row>
    <row r="1928" spans="1:19" x14ac:dyDescent="0.35">
      <c r="A1928" s="5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6"/>
      <c r="P1928" s="23" t="e">
        <f>TRIM(Tabla1[[#This Row],[Articulo]])</f>
        <v>#VALUE!</v>
      </c>
      <c r="Q1928" s="23" t="e">
        <f>_xlfn.XLOOKUP(Tabla1[[#This Row],[Ean Normalizado]],Consumos!A:A,Consumos!E:E)</f>
        <v>#VALUE!</v>
      </c>
      <c r="R1928" s="22" t="e">
        <f>_xlfn.XLOOKUP(Tabla1[[#This Row],[Ean Normalizado]],tabla_consumos[EAN],tabla_consumos[UM])</f>
        <v>#VALUE!</v>
      </c>
      <c r="S1928" s="22" t="e">
        <f>Tabla1[[#This Row],[StockDisp]]*Tabla1[[#This Row],[UM producto]]</f>
        <v>#VALUE!</v>
      </c>
    </row>
    <row r="1929" spans="1:19" x14ac:dyDescent="0.35">
      <c r="A1929" s="5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6"/>
      <c r="P1929" s="23" t="e">
        <f>TRIM(Tabla1[[#This Row],[Articulo]])</f>
        <v>#VALUE!</v>
      </c>
      <c r="Q1929" s="23" t="e">
        <f>_xlfn.XLOOKUP(Tabla1[[#This Row],[Ean Normalizado]],Consumos!A:A,Consumos!E:E)</f>
        <v>#VALUE!</v>
      </c>
      <c r="R1929" s="22" t="e">
        <f>_xlfn.XLOOKUP(Tabla1[[#This Row],[Ean Normalizado]],tabla_consumos[EAN],tabla_consumos[UM])</f>
        <v>#VALUE!</v>
      </c>
      <c r="S1929" s="22" t="e">
        <f>Tabla1[[#This Row],[StockDisp]]*Tabla1[[#This Row],[UM producto]]</f>
        <v>#VALUE!</v>
      </c>
    </row>
    <row r="1930" spans="1:19" x14ac:dyDescent="0.35">
      <c r="A1930" s="5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6"/>
      <c r="P1930" s="23" t="e">
        <f>TRIM(Tabla1[[#This Row],[Articulo]])</f>
        <v>#VALUE!</v>
      </c>
      <c r="Q1930" s="23" t="e">
        <f>_xlfn.XLOOKUP(Tabla1[[#This Row],[Ean Normalizado]],Consumos!A:A,Consumos!E:E)</f>
        <v>#VALUE!</v>
      </c>
      <c r="R1930" s="22" t="e">
        <f>_xlfn.XLOOKUP(Tabla1[[#This Row],[Ean Normalizado]],tabla_consumos[EAN],tabla_consumos[UM])</f>
        <v>#VALUE!</v>
      </c>
      <c r="S1930" s="22" t="e">
        <f>Tabla1[[#This Row],[StockDisp]]*Tabla1[[#This Row],[UM producto]]</f>
        <v>#VALUE!</v>
      </c>
    </row>
    <row r="1931" spans="1:19" x14ac:dyDescent="0.35">
      <c r="A1931" s="5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6"/>
      <c r="P1931" s="23" t="e">
        <f>TRIM(Tabla1[[#This Row],[Articulo]])</f>
        <v>#VALUE!</v>
      </c>
      <c r="Q1931" s="23" t="e">
        <f>_xlfn.XLOOKUP(Tabla1[[#This Row],[Ean Normalizado]],Consumos!A:A,Consumos!E:E)</f>
        <v>#VALUE!</v>
      </c>
      <c r="R1931" s="22" t="e">
        <f>_xlfn.XLOOKUP(Tabla1[[#This Row],[Ean Normalizado]],tabla_consumos[EAN],tabla_consumos[UM])</f>
        <v>#VALUE!</v>
      </c>
      <c r="S1931" s="22" t="e">
        <f>Tabla1[[#This Row],[StockDisp]]*Tabla1[[#This Row],[UM producto]]</f>
        <v>#VALUE!</v>
      </c>
    </row>
    <row r="1932" spans="1:19" x14ac:dyDescent="0.35">
      <c r="A1932" s="5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6"/>
      <c r="P1932" s="23" t="e">
        <f>TRIM(Tabla1[[#This Row],[Articulo]])</f>
        <v>#VALUE!</v>
      </c>
      <c r="Q1932" s="23" t="e">
        <f>_xlfn.XLOOKUP(Tabla1[[#This Row],[Ean Normalizado]],Consumos!A:A,Consumos!E:E)</f>
        <v>#VALUE!</v>
      </c>
      <c r="R1932" s="22" t="e">
        <f>_xlfn.XLOOKUP(Tabla1[[#This Row],[Ean Normalizado]],tabla_consumos[EAN],tabla_consumos[UM])</f>
        <v>#VALUE!</v>
      </c>
      <c r="S1932" s="22" t="e">
        <f>Tabla1[[#This Row],[StockDisp]]*Tabla1[[#This Row],[UM producto]]</f>
        <v>#VALUE!</v>
      </c>
    </row>
    <row r="1933" spans="1:19" x14ac:dyDescent="0.35">
      <c r="A1933" s="5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6"/>
      <c r="P1933" s="23" t="e">
        <f>TRIM(Tabla1[[#This Row],[Articulo]])</f>
        <v>#VALUE!</v>
      </c>
      <c r="Q1933" s="23" t="e">
        <f>_xlfn.XLOOKUP(Tabla1[[#This Row],[Ean Normalizado]],Consumos!A:A,Consumos!E:E)</f>
        <v>#VALUE!</v>
      </c>
      <c r="R1933" s="22" t="e">
        <f>_xlfn.XLOOKUP(Tabla1[[#This Row],[Ean Normalizado]],tabla_consumos[EAN],tabla_consumos[UM])</f>
        <v>#VALUE!</v>
      </c>
      <c r="S1933" s="22" t="e">
        <f>Tabla1[[#This Row],[StockDisp]]*Tabla1[[#This Row],[UM producto]]</f>
        <v>#VALUE!</v>
      </c>
    </row>
    <row r="1934" spans="1:19" x14ac:dyDescent="0.35">
      <c r="A1934" s="5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6"/>
      <c r="P1934" s="23" t="e">
        <f>TRIM(Tabla1[[#This Row],[Articulo]])</f>
        <v>#VALUE!</v>
      </c>
      <c r="Q1934" s="23" t="e">
        <f>_xlfn.XLOOKUP(Tabla1[[#This Row],[Ean Normalizado]],Consumos!A:A,Consumos!E:E)</f>
        <v>#VALUE!</v>
      </c>
      <c r="R1934" s="22" t="e">
        <f>_xlfn.XLOOKUP(Tabla1[[#This Row],[Ean Normalizado]],tabla_consumos[EAN],tabla_consumos[UM])</f>
        <v>#VALUE!</v>
      </c>
      <c r="S1934" s="22" t="e">
        <f>Tabla1[[#This Row],[StockDisp]]*Tabla1[[#This Row],[UM producto]]</f>
        <v>#VALUE!</v>
      </c>
    </row>
    <row r="1935" spans="1:19" x14ac:dyDescent="0.35">
      <c r="A1935" s="5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6"/>
      <c r="P1935" s="23" t="e">
        <f>TRIM(Tabla1[[#This Row],[Articulo]])</f>
        <v>#VALUE!</v>
      </c>
      <c r="Q1935" s="23" t="e">
        <f>_xlfn.XLOOKUP(Tabla1[[#This Row],[Ean Normalizado]],Consumos!A:A,Consumos!E:E)</f>
        <v>#VALUE!</v>
      </c>
      <c r="R1935" s="22" t="e">
        <f>_xlfn.XLOOKUP(Tabla1[[#This Row],[Ean Normalizado]],tabla_consumos[EAN],tabla_consumos[UM])</f>
        <v>#VALUE!</v>
      </c>
      <c r="S1935" s="22" t="e">
        <f>Tabla1[[#This Row],[StockDisp]]*Tabla1[[#This Row],[UM producto]]</f>
        <v>#VALUE!</v>
      </c>
    </row>
    <row r="1936" spans="1:19" x14ac:dyDescent="0.35">
      <c r="A1936" s="5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6"/>
      <c r="P1936" s="23" t="e">
        <f>TRIM(Tabla1[[#This Row],[Articulo]])</f>
        <v>#VALUE!</v>
      </c>
      <c r="Q1936" s="23" t="e">
        <f>_xlfn.XLOOKUP(Tabla1[[#This Row],[Ean Normalizado]],Consumos!A:A,Consumos!E:E)</f>
        <v>#VALUE!</v>
      </c>
      <c r="R1936" s="22" t="e">
        <f>_xlfn.XLOOKUP(Tabla1[[#This Row],[Ean Normalizado]],tabla_consumos[EAN],tabla_consumos[UM])</f>
        <v>#VALUE!</v>
      </c>
      <c r="S1936" s="22" t="e">
        <f>Tabla1[[#This Row],[StockDisp]]*Tabla1[[#This Row],[UM producto]]</f>
        <v>#VALUE!</v>
      </c>
    </row>
    <row r="1937" spans="1:19" x14ac:dyDescent="0.35">
      <c r="A1937" s="5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6"/>
      <c r="P1937" s="23" t="e">
        <f>TRIM(Tabla1[[#This Row],[Articulo]])</f>
        <v>#VALUE!</v>
      </c>
      <c r="Q1937" s="23" t="e">
        <f>_xlfn.XLOOKUP(Tabla1[[#This Row],[Ean Normalizado]],Consumos!A:A,Consumos!E:E)</f>
        <v>#VALUE!</v>
      </c>
      <c r="R1937" s="22" t="e">
        <f>_xlfn.XLOOKUP(Tabla1[[#This Row],[Ean Normalizado]],tabla_consumos[EAN],tabla_consumos[UM])</f>
        <v>#VALUE!</v>
      </c>
      <c r="S1937" s="22" t="e">
        <f>Tabla1[[#This Row],[StockDisp]]*Tabla1[[#This Row],[UM producto]]</f>
        <v>#VALUE!</v>
      </c>
    </row>
    <row r="1938" spans="1:19" x14ac:dyDescent="0.35">
      <c r="A1938" s="5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6"/>
      <c r="P1938" s="23" t="e">
        <f>TRIM(Tabla1[[#This Row],[Articulo]])</f>
        <v>#VALUE!</v>
      </c>
      <c r="Q1938" s="23" t="e">
        <f>_xlfn.XLOOKUP(Tabla1[[#This Row],[Ean Normalizado]],Consumos!A:A,Consumos!E:E)</f>
        <v>#VALUE!</v>
      </c>
      <c r="R1938" s="22" t="e">
        <f>_xlfn.XLOOKUP(Tabla1[[#This Row],[Ean Normalizado]],tabla_consumos[EAN],tabla_consumos[UM])</f>
        <v>#VALUE!</v>
      </c>
      <c r="S1938" s="22" t="e">
        <f>Tabla1[[#This Row],[StockDisp]]*Tabla1[[#This Row],[UM producto]]</f>
        <v>#VALUE!</v>
      </c>
    </row>
    <row r="1939" spans="1:19" x14ac:dyDescent="0.35">
      <c r="A1939" s="5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6"/>
      <c r="P1939" s="23" t="e">
        <f>TRIM(Tabla1[[#This Row],[Articulo]])</f>
        <v>#VALUE!</v>
      </c>
      <c r="Q1939" s="23" t="e">
        <f>_xlfn.XLOOKUP(Tabla1[[#This Row],[Ean Normalizado]],Consumos!A:A,Consumos!E:E)</f>
        <v>#VALUE!</v>
      </c>
      <c r="R1939" s="22" t="e">
        <f>_xlfn.XLOOKUP(Tabla1[[#This Row],[Ean Normalizado]],tabla_consumos[EAN],tabla_consumos[UM])</f>
        <v>#VALUE!</v>
      </c>
      <c r="S1939" s="22" t="e">
        <f>Tabla1[[#This Row],[StockDisp]]*Tabla1[[#This Row],[UM producto]]</f>
        <v>#VALUE!</v>
      </c>
    </row>
    <row r="1940" spans="1:19" x14ac:dyDescent="0.35">
      <c r="A1940" s="5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6"/>
      <c r="P1940" s="23" t="e">
        <f>TRIM(Tabla1[[#This Row],[Articulo]])</f>
        <v>#VALUE!</v>
      </c>
      <c r="Q1940" s="23" t="e">
        <f>_xlfn.XLOOKUP(Tabla1[[#This Row],[Ean Normalizado]],Consumos!A:A,Consumos!E:E)</f>
        <v>#VALUE!</v>
      </c>
      <c r="R1940" s="22" t="e">
        <f>_xlfn.XLOOKUP(Tabla1[[#This Row],[Ean Normalizado]],tabla_consumos[EAN],tabla_consumos[UM])</f>
        <v>#VALUE!</v>
      </c>
      <c r="S1940" s="22" t="e">
        <f>Tabla1[[#This Row],[StockDisp]]*Tabla1[[#This Row],[UM producto]]</f>
        <v>#VALUE!</v>
      </c>
    </row>
    <row r="1941" spans="1:19" x14ac:dyDescent="0.35">
      <c r="A1941" s="5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6"/>
      <c r="P1941" s="23" t="e">
        <f>TRIM(Tabla1[[#This Row],[Articulo]])</f>
        <v>#VALUE!</v>
      </c>
      <c r="Q1941" s="23" t="e">
        <f>_xlfn.XLOOKUP(Tabla1[[#This Row],[Ean Normalizado]],Consumos!A:A,Consumos!E:E)</f>
        <v>#VALUE!</v>
      </c>
      <c r="R1941" s="22" t="e">
        <f>_xlfn.XLOOKUP(Tabla1[[#This Row],[Ean Normalizado]],tabla_consumos[EAN],tabla_consumos[UM])</f>
        <v>#VALUE!</v>
      </c>
      <c r="S1941" s="22" t="e">
        <f>Tabla1[[#This Row],[StockDisp]]*Tabla1[[#This Row],[UM producto]]</f>
        <v>#VALUE!</v>
      </c>
    </row>
    <row r="1942" spans="1:19" x14ac:dyDescent="0.35">
      <c r="A1942" s="5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6"/>
      <c r="P1942" s="23" t="e">
        <f>TRIM(Tabla1[[#This Row],[Articulo]])</f>
        <v>#VALUE!</v>
      </c>
      <c r="Q1942" s="23" t="e">
        <f>_xlfn.XLOOKUP(Tabla1[[#This Row],[Ean Normalizado]],Consumos!A:A,Consumos!E:E)</f>
        <v>#VALUE!</v>
      </c>
      <c r="R1942" s="22" t="e">
        <f>_xlfn.XLOOKUP(Tabla1[[#This Row],[Ean Normalizado]],tabla_consumos[EAN],tabla_consumos[UM])</f>
        <v>#VALUE!</v>
      </c>
      <c r="S1942" s="22" t="e">
        <f>Tabla1[[#This Row],[StockDisp]]*Tabla1[[#This Row],[UM producto]]</f>
        <v>#VALUE!</v>
      </c>
    </row>
    <row r="1943" spans="1:19" x14ac:dyDescent="0.35">
      <c r="A1943" s="5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6"/>
      <c r="P1943" s="23" t="e">
        <f>TRIM(Tabla1[[#This Row],[Articulo]])</f>
        <v>#VALUE!</v>
      </c>
      <c r="Q1943" s="23" t="e">
        <f>_xlfn.XLOOKUP(Tabla1[[#This Row],[Ean Normalizado]],Consumos!A:A,Consumos!E:E)</f>
        <v>#VALUE!</v>
      </c>
      <c r="R1943" s="22" t="e">
        <f>_xlfn.XLOOKUP(Tabla1[[#This Row],[Ean Normalizado]],tabla_consumos[EAN],tabla_consumos[UM])</f>
        <v>#VALUE!</v>
      </c>
      <c r="S1943" s="22" t="e">
        <f>Tabla1[[#This Row],[StockDisp]]*Tabla1[[#This Row],[UM producto]]</f>
        <v>#VALUE!</v>
      </c>
    </row>
    <row r="1944" spans="1:19" x14ac:dyDescent="0.35">
      <c r="A1944" s="5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6"/>
      <c r="P1944" s="23" t="e">
        <f>TRIM(Tabla1[[#This Row],[Articulo]])</f>
        <v>#VALUE!</v>
      </c>
      <c r="Q1944" s="23" t="e">
        <f>_xlfn.XLOOKUP(Tabla1[[#This Row],[Ean Normalizado]],Consumos!A:A,Consumos!E:E)</f>
        <v>#VALUE!</v>
      </c>
      <c r="R1944" s="22" t="e">
        <f>_xlfn.XLOOKUP(Tabla1[[#This Row],[Ean Normalizado]],tabla_consumos[EAN],tabla_consumos[UM])</f>
        <v>#VALUE!</v>
      </c>
      <c r="S1944" s="22" t="e">
        <f>Tabla1[[#This Row],[StockDisp]]*Tabla1[[#This Row],[UM producto]]</f>
        <v>#VALUE!</v>
      </c>
    </row>
    <row r="1945" spans="1:19" x14ac:dyDescent="0.35">
      <c r="A1945" s="5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6"/>
      <c r="P1945" s="23" t="e">
        <f>TRIM(Tabla1[[#This Row],[Articulo]])</f>
        <v>#VALUE!</v>
      </c>
      <c r="Q1945" s="23" t="e">
        <f>_xlfn.XLOOKUP(Tabla1[[#This Row],[Ean Normalizado]],Consumos!A:A,Consumos!E:E)</f>
        <v>#VALUE!</v>
      </c>
      <c r="R1945" s="22" t="e">
        <f>_xlfn.XLOOKUP(Tabla1[[#This Row],[Ean Normalizado]],tabla_consumos[EAN],tabla_consumos[UM])</f>
        <v>#VALUE!</v>
      </c>
      <c r="S1945" s="22" t="e">
        <f>Tabla1[[#This Row],[StockDisp]]*Tabla1[[#This Row],[UM producto]]</f>
        <v>#VALUE!</v>
      </c>
    </row>
    <row r="1946" spans="1:19" x14ac:dyDescent="0.35">
      <c r="A1946" s="5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6"/>
      <c r="P1946" s="23" t="e">
        <f>TRIM(Tabla1[[#This Row],[Articulo]])</f>
        <v>#VALUE!</v>
      </c>
      <c r="Q1946" s="23" t="e">
        <f>_xlfn.XLOOKUP(Tabla1[[#This Row],[Ean Normalizado]],Consumos!A:A,Consumos!E:E)</f>
        <v>#VALUE!</v>
      </c>
      <c r="R1946" s="22" t="e">
        <f>_xlfn.XLOOKUP(Tabla1[[#This Row],[Ean Normalizado]],tabla_consumos[EAN],tabla_consumos[UM])</f>
        <v>#VALUE!</v>
      </c>
      <c r="S1946" s="22" t="e">
        <f>Tabla1[[#This Row],[StockDisp]]*Tabla1[[#This Row],[UM producto]]</f>
        <v>#VALUE!</v>
      </c>
    </row>
    <row r="1947" spans="1:19" x14ac:dyDescent="0.35">
      <c r="A1947" s="5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6"/>
      <c r="P1947" s="23" t="e">
        <f>TRIM(Tabla1[[#This Row],[Articulo]])</f>
        <v>#VALUE!</v>
      </c>
      <c r="Q1947" s="23" t="e">
        <f>_xlfn.XLOOKUP(Tabla1[[#This Row],[Ean Normalizado]],Consumos!A:A,Consumos!E:E)</f>
        <v>#VALUE!</v>
      </c>
      <c r="R1947" s="22" t="e">
        <f>_xlfn.XLOOKUP(Tabla1[[#This Row],[Ean Normalizado]],tabla_consumos[EAN],tabla_consumos[UM])</f>
        <v>#VALUE!</v>
      </c>
      <c r="S1947" s="22" t="e">
        <f>Tabla1[[#This Row],[StockDisp]]*Tabla1[[#This Row],[UM producto]]</f>
        <v>#VALUE!</v>
      </c>
    </row>
    <row r="1948" spans="1:19" x14ac:dyDescent="0.35">
      <c r="A1948" s="5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6"/>
      <c r="P1948" s="23" t="e">
        <f>TRIM(Tabla1[[#This Row],[Articulo]])</f>
        <v>#VALUE!</v>
      </c>
      <c r="Q1948" s="23" t="e">
        <f>_xlfn.XLOOKUP(Tabla1[[#This Row],[Ean Normalizado]],Consumos!A:A,Consumos!E:E)</f>
        <v>#VALUE!</v>
      </c>
      <c r="R1948" s="22" t="e">
        <f>_xlfn.XLOOKUP(Tabla1[[#This Row],[Ean Normalizado]],tabla_consumos[EAN],tabla_consumos[UM])</f>
        <v>#VALUE!</v>
      </c>
      <c r="S1948" s="22" t="e">
        <f>Tabla1[[#This Row],[StockDisp]]*Tabla1[[#This Row],[UM producto]]</f>
        <v>#VALUE!</v>
      </c>
    </row>
    <row r="1949" spans="1:19" x14ac:dyDescent="0.35">
      <c r="A1949" s="5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6"/>
      <c r="P1949" s="23" t="e">
        <f>TRIM(Tabla1[[#This Row],[Articulo]])</f>
        <v>#VALUE!</v>
      </c>
      <c r="Q1949" s="23" t="e">
        <f>_xlfn.XLOOKUP(Tabla1[[#This Row],[Ean Normalizado]],Consumos!A:A,Consumos!E:E)</f>
        <v>#VALUE!</v>
      </c>
      <c r="R1949" s="22" t="e">
        <f>_xlfn.XLOOKUP(Tabla1[[#This Row],[Ean Normalizado]],tabla_consumos[EAN],tabla_consumos[UM])</f>
        <v>#VALUE!</v>
      </c>
      <c r="S1949" s="22" t="e">
        <f>Tabla1[[#This Row],[StockDisp]]*Tabla1[[#This Row],[UM producto]]</f>
        <v>#VALUE!</v>
      </c>
    </row>
    <row r="1950" spans="1:19" x14ac:dyDescent="0.35">
      <c r="A1950" s="5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6"/>
      <c r="P1950" s="23" t="e">
        <f>TRIM(Tabla1[[#This Row],[Articulo]])</f>
        <v>#VALUE!</v>
      </c>
      <c r="Q1950" s="23" t="e">
        <f>_xlfn.XLOOKUP(Tabla1[[#This Row],[Ean Normalizado]],Consumos!A:A,Consumos!E:E)</f>
        <v>#VALUE!</v>
      </c>
      <c r="R1950" s="22" t="e">
        <f>_xlfn.XLOOKUP(Tabla1[[#This Row],[Ean Normalizado]],tabla_consumos[EAN],tabla_consumos[UM])</f>
        <v>#VALUE!</v>
      </c>
      <c r="S1950" s="22" t="e">
        <f>Tabla1[[#This Row],[StockDisp]]*Tabla1[[#This Row],[UM producto]]</f>
        <v>#VALUE!</v>
      </c>
    </row>
    <row r="1951" spans="1:19" x14ac:dyDescent="0.35">
      <c r="A1951" s="5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6"/>
      <c r="P1951" s="23" t="e">
        <f>TRIM(Tabla1[[#This Row],[Articulo]])</f>
        <v>#VALUE!</v>
      </c>
      <c r="Q1951" s="23" t="e">
        <f>_xlfn.XLOOKUP(Tabla1[[#This Row],[Ean Normalizado]],Consumos!A:A,Consumos!E:E)</f>
        <v>#VALUE!</v>
      </c>
      <c r="R1951" s="22" t="e">
        <f>_xlfn.XLOOKUP(Tabla1[[#This Row],[Ean Normalizado]],tabla_consumos[EAN],tabla_consumos[UM])</f>
        <v>#VALUE!</v>
      </c>
      <c r="S1951" s="22" t="e">
        <f>Tabla1[[#This Row],[StockDisp]]*Tabla1[[#This Row],[UM producto]]</f>
        <v>#VALUE!</v>
      </c>
    </row>
    <row r="1952" spans="1:19" x14ac:dyDescent="0.35">
      <c r="A1952" s="5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6"/>
      <c r="P1952" s="23" t="e">
        <f>TRIM(Tabla1[[#This Row],[Articulo]])</f>
        <v>#VALUE!</v>
      </c>
      <c r="Q1952" s="23" t="e">
        <f>_xlfn.XLOOKUP(Tabla1[[#This Row],[Ean Normalizado]],Consumos!A:A,Consumos!E:E)</f>
        <v>#VALUE!</v>
      </c>
      <c r="R1952" s="22" t="e">
        <f>_xlfn.XLOOKUP(Tabla1[[#This Row],[Ean Normalizado]],tabla_consumos[EAN],tabla_consumos[UM])</f>
        <v>#VALUE!</v>
      </c>
      <c r="S1952" s="22" t="e">
        <f>Tabla1[[#This Row],[StockDisp]]*Tabla1[[#This Row],[UM producto]]</f>
        <v>#VALUE!</v>
      </c>
    </row>
    <row r="1953" spans="1:19" x14ac:dyDescent="0.35">
      <c r="A1953" s="5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6"/>
      <c r="P1953" s="23" t="e">
        <f>TRIM(Tabla1[[#This Row],[Articulo]])</f>
        <v>#VALUE!</v>
      </c>
      <c r="Q1953" s="23" t="e">
        <f>_xlfn.XLOOKUP(Tabla1[[#This Row],[Ean Normalizado]],Consumos!A:A,Consumos!E:E)</f>
        <v>#VALUE!</v>
      </c>
      <c r="R1953" s="22" t="e">
        <f>_xlfn.XLOOKUP(Tabla1[[#This Row],[Ean Normalizado]],tabla_consumos[EAN],tabla_consumos[UM])</f>
        <v>#VALUE!</v>
      </c>
      <c r="S1953" s="22" t="e">
        <f>Tabla1[[#This Row],[StockDisp]]*Tabla1[[#This Row],[UM producto]]</f>
        <v>#VALUE!</v>
      </c>
    </row>
    <row r="1954" spans="1:19" x14ac:dyDescent="0.35">
      <c r="A1954" s="5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6"/>
      <c r="P1954" s="23" t="e">
        <f>TRIM(Tabla1[[#This Row],[Articulo]])</f>
        <v>#VALUE!</v>
      </c>
      <c r="Q1954" s="23" t="e">
        <f>_xlfn.XLOOKUP(Tabla1[[#This Row],[Ean Normalizado]],Consumos!A:A,Consumos!E:E)</f>
        <v>#VALUE!</v>
      </c>
      <c r="R1954" s="22" t="e">
        <f>_xlfn.XLOOKUP(Tabla1[[#This Row],[Ean Normalizado]],tabla_consumos[EAN],tabla_consumos[UM])</f>
        <v>#VALUE!</v>
      </c>
      <c r="S1954" s="22" t="e">
        <f>Tabla1[[#This Row],[StockDisp]]*Tabla1[[#This Row],[UM producto]]</f>
        <v>#VALUE!</v>
      </c>
    </row>
    <row r="1955" spans="1:19" x14ac:dyDescent="0.35">
      <c r="A1955" s="5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6"/>
      <c r="P1955" s="23" t="e">
        <f>TRIM(Tabla1[[#This Row],[Articulo]])</f>
        <v>#VALUE!</v>
      </c>
      <c r="Q1955" s="23" t="e">
        <f>_xlfn.XLOOKUP(Tabla1[[#This Row],[Ean Normalizado]],Consumos!A:A,Consumos!E:E)</f>
        <v>#VALUE!</v>
      </c>
      <c r="R1955" s="22" t="e">
        <f>_xlfn.XLOOKUP(Tabla1[[#This Row],[Ean Normalizado]],tabla_consumos[EAN],tabla_consumos[UM])</f>
        <v>#VALUE!</v>
      </c>
      <c r="S1955" s="22" t="e">
        <f>Tabla1[[#This Row],[StockDisp]]*Tabla1[[#This Row],[UM producto]]</f>
        <v>#VALUE!</v>
      </c>
    </row>
    <row r="1956" spans="1:19" x14ac:dyDescent="0.35">
      <c r="A1956" s="5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6"/>
      <c r="P1956" s="23" t="e">
        <f>TRIM(Tabla1[[#This Row],[Articulo]])</f>
        <v>#VALUE!</v>
      </c>
      <c r="Q1956" s="23" t="e">
        <f>_xlfn.XLOOKUP(Tabla1[[#This Row],[Ean Normalizado]],Consumos!A:A,Consumos!E:E)</f>
        <v>#VALUE!</v>
      </c>
      <c r="R1956" s="22" t="e">
        <f>_xlfn.XLOOKUP(Tabla1[[#This Row],[Ean Normalizado]],tabla_consumos[EAN],tabla_consumos[UM])</f>
        <v>#VALUE!</v>
      </c>
      <c r="S1956" s="22" t="e">
        <f>Tabla1[[#This Row],[StockDisp]]*Tabla1[[#This Row],[UM producto]]</f>
        <v>#VALUE!</v>
      </c>
    </row>
    <row r="1957" spans="1:19" x14ac:dyDescent="0.35">
      <c r="A1957" s="5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6"/>
      <c r="P1957" s="23" t="e">
        <f>TRIM(Tabla1[[#This Row],[Articulo]])</f>
        <v>#VALUE!</v>
      </c>
      <c r="Q1957" s="23" t="e">
        <f>_xlfn.XLOOKUP(Tabla1[[#This Row],[Ean Normalizado]],Consumos!A:A,Consumos!E:E)</f>
        <v>#VALUE!</v>
      </c>
      <c r="R1957" s="22" t="e">
        <f>_xlfn.XLOOKUP(Tabla1[[#This Row],[Ean Normalizado]],tabla_consumos[EAN],tabla_consumos[UM])</f>
        <v>#VALUE!</v>
      </c>
      <c r="S1957" s="22" t="e">
        <f>Tabla1[[#This Row],[StockDisp]]*Tabla1[[#This Row],[UM producto]]</f>
        <v>#VALUE!</v>
      </c>
    </row>
    <row r="1958" spans="1:19" x14ac:dyDescent="0.35">
      <c r="A1958" s="5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6"/>
      <c r="P1958" s="23" t="e">
        <f>TRIM(Tabla1[[#This Row],[Articulo]])</f>
        <v>#VALUE!</v>
      </c>
      <c r="Q1958" s="23" t="e">
        <f>_xlfn.XLOOKUP(Tabla1[[#This Row],[Ean Normalizado]],Consumos!A:A,Consumos!E:E)</f>
        <v>#VALUE!</v>
      </c>
      <c r="R1958" s="22" t="e">
        <f>_xlfn.XLOOKUP(Tabla1[[#This Row],[Ean Normalizado]],tabla_consumos[EAN],tabla_consumos[UM])</f>
        <v>#VALUE!</v>
      </c>
      <c r="S1958" s="22" t="e">
        <f>Tabla1[[#This Row],[StockDisp]]*Tabla1[[#This Row],[UM producto]]</f>
        <v>#VALUE!</v>
      </c>
    </row>
    <row r="1959" spans="1:19" x14ac:dyDescent="0.35">
      <c r="A1959" s="5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6"/>
      <c r="P1959" s="23" t="e">
        <f>TRIM(Tabla1[[#This Row],[Articulo]])</f>
        <v>#VALUE!</v>
      </c>
      <c r="Q1959" s="23" t="e">
        <f>_xlfn.XLOOKUP(Tabla1[[#This Row],[Ean Normalizado]],Consumos!A:A,Consumos!E:E)</f>
        <v>#VALUE!</v>
      </c>
      <c r="R1959" s="22" t="e">
        <f>_xlfn.XLOOKUP(Tabla1[[#This Row],[Ean Normalizado]],tabla_consumos[EAN],tabla_consumos[UM])</f>
        <v>#VALUE!</v>
      </c>
      <c r="S1959" s="22" t="e">
        <f>Tabla1[[#This Row],[StockDisp]]*Tabla1[[#This Row],[UM producto]]</f>
        <v>#VALUE!</v>
      </c>
    </row>
    <row r="1960" spans="1:19" x14ac:dyDescent="0.35">
      <c r="A1960" s="5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6"/>
      <c r="P1960" s="23" t="e">
        <f>TRIM(Tabla1[[#This Row],[Articulo]])</f>
        <v>#VALUE!</v>
      </c>
      <c r="Q1960" s="23" t="e">
        <f>_xlfn.XLOOKUP(Tabla1[[#This Row],[Ean Normalizado]],Consumos!A:A,Consumos!E:E)</f>
        <v>#VALUE!</v>
      </c>
      <c r="R1960" s="22" t="e">
        <f>_xlfn.XLOOKUP(Tabla1[[#This Row],[Ean Normalizado]],tabla_consumos[EAN],tabla_consumos[UM])</f>
        <v>#VALUE!</v>
      </c>
      <c r="S1960" s="22" t="e">
        <f>Tabla1[[#This Row],[StockDisp]]*Tabla1[[#This Row],[UM producto]]</f>
        <v>#VALUE!</v>
      </c>
    </row>
    <row r="1961" spans="1:19" x14ac:dyDescent="0.35">
      <c r="A1961" s="5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6"/>
      <c r="P1961" s="23" t="e">
        <f>TRIM(Tabla1[[#This Row],[Articulo]])</f>
        <v>#VALUE!</v>
      </c>
      <c r="Q1961" s="23" t="e">
        <f>_xlfn.XLOOKUP(Tabla1[[#This Row],[Ean Normalizado]],Consumos!A:A,Consumos!E:E)</f>
        <v>#VALUE!</v>
      </c>
      <c r="R1961" s="22" t="e">
        <f>_xlfn.XLOOKUP(Tabla1[[#This Row],[Ean Normalizado]],tabla_consumos[EAN],tabla_consumos[UM])</f>
        <v>#VALUE!</v>
      </c>
      <c r="S1961" s="22" t="e">
        <f>Tabla1[[#This Row],[StockDisp]]*Tabla1[[#This Row],[UM producto]]</f>
        <v>#VALUE!</v>
      </c>
    </row>
    <row r="1962" spans="1:19" x14ac:dyDescent="0.35">
      <c r="A1962" s="5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6"/>
      <c r="P1962" s="23" t="e">
        <f>TRIM(Tabla1[[#This Row],[Articulo]])</f>
        <v>#VALUE!</v>
      </c>
      <c r="Q1962" s="23" t="e">
        <f>_xlfn.XLOOKUP(Tabla1[[#This Row],[Ean Normalizado]],Consumos!A:A,Consumos!E:E)</f>
        <v>#VALUE!</v>
      </c>
      <c r="R1962" s="22" t="e">
        <f>_xlfn.XLOOKUP(Tabla1[[#This Row],[Ean Normalizado]],tabla_consumos[EAN],tabla_consumos[UM])</f>
        <v>#VALUE!</v>
      </c>
      <c r="S1962" s="22" t="e">
        <f>Tabla1[[#This Row],[StockDisp]]*Tabla1[[#This Row],[UM producto]]</f>
        <v>#VALUE!</v>
      </c>
    </row>
    <row r="1963" spans="1:19" x14ac:dyDescent="0.35">
      <c r="A1963" s="5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6"/>
      <c r="P1963" s="23" t="e">
        <f>TRIM(Tabla1[[#This Row],[Articulo]])</f>
        <v>#VALUE!</v>
      </c>
      <c r="Q1963" s="23" t="e">
        <f>_xlfn.XLOOKUP(Tabla1[[#This Row],[Ean Normalizado]],Consumos!A:A,Consumos!E:E)</f>
        <v>#VALUE!</v>
      </c>
      <c r="R1963" s="22" t="e">
        <f>_xlfn.XLOOKUP(Tabla1[[#This Row],[Ean Normalizado]],tabla_consumos[EAN],tabla_consumos[UM])</f>
        <v>#VALUE!</v>
      </c>
      <c r="S1963" s="22" t="e">
        <f>Tabla1[[#This Row],[StockDisp]]*Tabla1[[#This Row],[UM producto]]</f>
        <v>#VALUE!</v>
      </c>
    </row>
    <row r="1964" spans="1:19" x14ac:dyDescent="0.35">
      <c r="A1964" s="5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6"/>
      <c r="P1964" s="23" t="e">
        <f>TRIM(Tabla1[[#This Row],[Articulo]])</f>
        <v>#VALUE!</v>
      </c>
      <c r="Q1964" s="23" t="e">
        <f>_xlfn.XLOOKUP(Tabla1[[#This Row],[Ean Normalizado]],Consumos!A:A,Consumos!E:E)</f>
        <v>#VALUE!</v>
      </c>
      <c r="R1964" s="22" t="e">
        <f>_xlfn.XLOOKUP(Tabla1[[#This Row],[Ean Normalizado]],tabla_consumos[EAN],tabla_consumos[UM])</f>
        <v>#VALUE!</v>
      </c>
      <c r="S1964" s="22" t="e">
        <f>Tabla1[[#This Row],[StockDisp]]*Tabla1[[#This Row],[UM producto]]</f>
        <v>#VALUE!</v>
      </c>
    </row>
    <row r="1965" spans="1:19" x14ac:dyDescent="0.35">
      <c r="A1965" s="5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6"/>
      <c r="P1965" s="23" t="e">
        <f>TRIM(Tabla1[[#This Row],[Articulo]])</f>
        <v>#VALUE!</v>
      </c>
      <c r="Q1965" s="23" t="e">
        <f>_xlfn.XLOOKUP(Tabla1[[#This Row],[Ean Normalizado]],Consumos!A:A,Consumos!E:E)</f>
        <v>#VALUE!</v>
      </c>
      <c r="R1965" s="22" t="e">
        <f>_xlfn.XLOOKUP(Tabla1[[#This Row],[Ean Normalizado]],tabla_consumos[EAN],tabla_consumos[UM])</f>
        <v>#VALUE!</v>
      </c>
      <c r="S1965" s="22" t="e">
        <f>Tabla1[[#This Row],[StockDisp]]*Tabla1[[#This Row],[UM producto]]</f>
        <v>#VALUE!</v>
      </c>
    </row>
    <row r="1966" spans="1:19" x14ac:dyDescent="0.35">
      <c r="A1966" s="5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6"/>
      <c r="P1966" s="23" t="e">
        <f>TRIM(Tabla1[[#This Row],[Articulo]])</f>
        <v>#VALUE!</v>
      </c>
      <c r="Q1966" s="23" t="e">
        <f>_xlfn.XLOOKUP(Tabla1[[#This Row],[Ean Normalizado]],Consumos!A:A,Consumos!E:E)</f>
        <v>#VALUE!</v>
      </c>
      <c r="R1966" s="22" t="e">
        <f>_xlfn.XLOOKUP(Tabla1[[#This Row],[Ean Normalizado]],tabla_consumos[EAN],tabla_consumos[UM])</f>
        <v>#VALUE!</v>
      </c>
      <c r="S1966" s="22" t="e">
        <f>Tabla1[[#This Row],[StockDisp]]*Tabla1[[#This Row],[UM producto]]</f>
        <v>#VALUE!</v>
      </c>
    </row>
    <row r="1967" spans="1:19" x14ac:dyDescent="0.35">
      <c r="A1967" s="5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6"/>
      <c r="P1967" s="23" t="e">
        <f>TRIM(Tabla1[[#This Row],[Articulo]])</f>
        <v>#VALUE!</v>
      </c>
      <c r="Q1967" s="23" t="e">
        <f>_xlfn.XLOOKUP(Tabla1[[#This Row],[Ean Normalizado]],Consumos!A:A,Consumos!E:E)</f>
        <v>#VALUE!</v>
      </c>
      <c r="R1967" s="22" t="e">
        <f>_xlfn.XLOOKUP(Tabla1[[#This Row],[Ean Normalizado]],tabla_consumos[EAN],tabla_consumos[UM])</f>
        <v>#VALUE!</v>
      </c>
      <c r="S1967" s="22" t="e">
        <f>Tabla1[[#This Row],[StockDisp]]*Tabla1[[#This Row],[UM producto]]</f>
        <v>#VALUE!</v>
      </c>
    </row>
    <row r="1968" spans="1:19" x14ac:dyDescent="0.35">
      <c r="A1968" s="5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6"/>
      <c r="P1968" s="23" t="e">
        <f>TRIM(Tabla1[[#This Row],[Articulo]])</f>
        <v>#VALUE!</v>
      </c>
      <c r="Q1968" s="23" t="e">
        <f>_xlfn.XLOOKUP(Tabla1[[#This Row],[Ean Normalizado]],Consumos!A:A,Consumos!E:E)</f>
        <v>#VALUE!</v>
      </c>
      <c r="R1968" s="22" t="e">
        <f>_xlfn.XLOOKUP(Tabla1[[#This Row],[Ean Normalizado]],tabla_consumos[EAN],tabla_consumos[UM])</f>
        <v>#VALUE!</v>
      </c>
      <c r="S1968" s="22" t="e">
        <f>Tabla1[[#This Row],[StockDisp]]*Tabla1[[#This Row],[UM producto]]</f>
        <v>#VALUE!</v>
      </c>
    </row>
    <row r="1969" spans="1:19" x14ac:dyDescent="0.35">
      <c r="A1969" s="5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6"/>
      <c r="P1969" s="23" t="e">
        <f>TRIM(Tabla1[[#This Row],[Articulo]])</f>
        <v>#VALUE!</v>
      </c>
      <c r="Q1969" s="23" t="e">
        <f>_xlfn.XLOOKUP(Tabla1[[#This Row],[Ean Normalizado]],Consumos!A:A,Consumos!E:E)</f>
        <v>#VALUE!</v>
      </c>
      <c r="R1969" s="22" t="e">
        <f>_xlfn.XLOOKUP(Tabla1[[#This Row],[Ean Normalizado]],tabla_consumos[EAN],tabla_consumos[UM])</f>
        <v>#VALUE!</v>
      </c>
      <c r="S1969" s="22" t="e">
        <f>Tabla1[[#This Row],[StockDisp]]*Tabla1[[#This Row],[UM producto]]</f>
        <v>#VALUE!</v>
      </c>
    </row>
    <row r="1970" spans="1:19" x14ac:dyDescent="0.35">
      <c r="A1970" s="5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6"/>
      <c r="P1970" s="23" t="e">
        <f>TRIM(Tabla1[[#This Row],[Articulo]])</f>
        <v>#VALUE!</v>
      </c>
      <c r="Q1970" s="23" t="e">
        <f>_xlfn.XLOOKUP(Tabla1[[#This Row],[Ean Normalizado]],Consumos!A:A,Consumos!E:E)</f>
        <v>#VALUE!</v>
      </c>
      <c r="R1970" s="22" t="e">
        <f>_xlfn.XLOOKUP(Tabla1[[#This Row],[Ean Normalizado]],tabla_consumos[EAN],tabla_consumos[UM])</f>
        <v>#VALUE!</v>
      </c>
      <c r="S1970" s="22" t="e">
        <f>Tabla1[[#This Row],[StockDisp]]*Tabla1[[#This Row],[UM producto]]</f>
        <v>#VALUE!</v>
      </c>
    </row>
    <row r="1971" spans="1:19" x14ac:dyDescent="0.35">
      <c r="A1971" s="5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6"/>
      <c r="P1971" s="23" t="e">
        <f>TRIM(Tabla1[[#This Row],[Articulo]])</f>
        <v>#VALUE!</v>
      </c>
      <c r="Q1971" s="23" t="e">
        <f>_xlfn.XLOOKUP(Tabla1[[#This Row],[Ean Normalizado]],Consumos!A:A,Consumos!E:E)</f>
        <v>#VALUE!</v>
      </c>
      <c r="R1971" s="22" t="e">
        <f>_xlfn.XLOOKUP(Tabla1[[#This Row],[Ean Normalizado]],tabla_consumos[EAN],tabla_consumos[UM])</f>
        <v>#VALUE!</v>
      </c>
      <c r="S1971" s="22" t="e">
        <f>Tabla1[[#This Row],[StockDisp]]*Tabla1[[#This Row],[UM producto]]</f>
        <v>#VALUE!</v>
      </c>
    </row>
    <row r="1972" spans="1:19" x14ac:dyDescent="0.35">
      <c r="A1972" s="5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6"/>
      <c r="P1972" s="23" t="e">
        <f>TRIM(Tabla1[[#This Row],[Articulo]])</f>
        <v>#VALUE!</v>
      </c>
      <c r="Q1972" s="23" t="e">
        <f>_xlfn.XLOOKUP(Tabla1[[#This Row],[Ean Normalizado]],Consumos!A:A,Consumos!E:E)</f>
        <v>#VALUE!</v>
      </c>
      <c r="R1972" s="22" t="e">
        <f>_xlfn.XLOOKUP(Tabla1[[#This Row],[Ean Normalizado]],tabla_consumos[EAN],tabla_consumos[UM])</f>
        <v>#VALUE!</v>
      </c>
      <c r="S1972" s="22" t="e">
        <f>Tabla1[[#This Row],[StockDisp]]*Tabla1[[#This Row],[UM producto]]</f>
        <v>#VALUE!</v>
      </c>
    </row>
    <row r="1973" spans="1:19" x14ac:dyDescent="0.35">
      <c r="A1973" s="5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6"/>
      <c r="P1973" s="23" t="e">
        <f>TRIM(Tabla1[[#This Row],[Articulo]])</f>
        <v>#VALUE!</v>
      </c>
      <c r="Q1973" s="23" t="e">
        <f>_xlfn.XLOOKUP(Tabla1[[#This Row],[Ean Normalizado]],Consumos!A:A,Consumos!E:E)</f>
        <v>#VALUE!</v>
      </c>
      <c r="R1973" s="22" t="e">
        <f>_xlfn.XLOOKUP(Tabla1[[#This Row],[Ean Normalizado]],tabla_consumos[EAN],tabla_consumos[UM])</f>
        <v>#VALUE!</v>
      </c>
      <c r="S1973" s="22" t="e">
        <f>Tabla1[[#This Row],[StockDisp]]*Tabla1[[#This Row],[UM producto]]</f>
        <v>#VALUE!</v>
      </c>
    </row>
    <row r="1974" spans="1:19" x14ac:dyDescent="0.35">
      <c r="A1974" s="5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6"/>
      <c r="P1974" s="23" t="e">
        <f>TRIM(Tabla1[[#This Row],[Articulo]])</f>
        <v>#VALUE!</v>
      </c>
      <c r="Q1974" s="23" t="e">
        <f>_xlfn.XLOOKUP(Tabla1[[#This Row],[Ean Normalizado]],Consumos!A:A,Consumos!E:E)</f>
        <v>#VALUE!</v>
      </c>
      <c r="R1974" s="22" t="e">
        <f>_xlfn.XLOOKUP(Tabla1[[#This Row],[Ean Normalizado]],tabla_consumos[EAN],tabla_consumos[UM])</f>
        <v>#VALUE!</v>
      </c>
      <c r="S1974" s="22" t="e">
        <f>Tabla1[[#This Row],[StockDisp]]*Tabla1[[#This Row],[UM producto]]</f>
        <v>#VALUE!</v>
      </c>
    </row>
    <row r="1975" spans="1:19" x14ac:dyDescent="0.35">
      <c r="A1975" s="5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6"/>
      <c r="P1975" s="23" t="e">
        <f>TRIM(Tabla1[[#This Row],[Articulo]])</f>
        <v>#VALUE!</v>
      </c>
      <c r="Q1975" s="23" t="e">
        <f>_xlfn.XLOOKUP(Tabla1[[#This Row],[Ean Normalizado]],Consumos!A:A,Consumos!E:E)</f>
        <v>#VALUE!</v>
      </c>
      <c r="R1975" s="22" t="e">
        <f>_xlfn.XLOOKUP(Tabla1[[#This Row],[Ean Normalizado]],tabla_consumos[EAN],tabla_consumos[UM])</f>
        <v>#VALUE!</v>
      </c>
      <c r="S1975" s="22" t="e">
        <f>Tabla1[[#This Row],[StockDisp]]*Tabla1[[#This Row],[UM producto]]</f>
        <v>#VALUE!</v>
      </c>
    </row>
    <row r="1976" spans="1:19" x14ac:dyDescent="0.35">
      <c r="A1976" s="5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6"/>
      <c r="P1976" s="23" t="e">
        <f>TRIM(Tabla1[[#This Row],[Articulo]])</f>
        <v>#VALUE!</v>
      </c>
      <c r="Q1976" s="23" t="e">
        <f>_xlfn.XLOOKUP(Tabla1[[#This Row],[Ean Normalizado]],Consumos!A:A,Consumos!E:E)</f>
        <v>#VALUE!</v>
      </c>
      <c r="R1976" s="22" t="e">
        <f>_xlfn.XLOOKUP(Tabla1[[#This Row],[Ean Normalizado]],tabla_consumos[EAN],tabla_consumos[UM])</f>
        <v>#VALUE!</v>
      </c>
      <c r="S1976" s="22" t="e">
        <f>Tabla1[[#This Row],[StockDisp]]*Tabla1[[#This Row],[UM producto]]</f>
        <v>#VALUE!</v>
      </c>
    </row>
    <row r="1977" spans="1:19" x14ac:dyDescent="0.35">
      <c r="A1977" s="5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6"/>
      <c r="P1977" s="23" t="e">
        <f>TRIM(Tabla1[[#This Row],[Articulo]])</f>
        <v>#VALUE!</v>
      </c>
      <c r="Q1977" s="23" t="e">
        <f>_xlfn.XLOOKUP(Tabla1[[#This Row],[Ean Normalizado]],Consumos!A:A,Consumos!E:E)</f>
        <v>#VALUE!</v>
      </c>
      <c r="R1977" s="22" t="e">
        <f>_xlfn.XLOOKUP(Tabla1[[#This Row],[Ean Normalizado]],tabla_consumos[EAN],tabla_consumos[UM])</f>
        <v>#VALUE!</v>
      </c>
      <c r="S1977" s="22" t="e">
        <f>Tabla1[[#This Row],[StockDisp]]*Tabla1[[#This Row],[UM producto]]</f>
        <v>#VALUE!</v>
      </c>
    </row>
    <row r="1978" spans="1:19" x14ac:dyDescent="0.35">
      <c r="A1978" s="5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6"/>
      <c r="P1978" s="23" t="e">
        <f>TRIM(Tabla1[[#This Row],[Articulo]])</f>
        <v>#VALUE!</v>
      </c>
      <c r="Q1978" s="23" t="e">
        <f>_xlfn.XLOOKUP(Tabla1[[#This Row],[Ean Normalizado]],Consumos!A:A,Consumos!E:E)</f>
        <v>#VALUE!</v>
      </c>
      <c r="R1978" s="22" t="e">
        <f>_xlfn.XLOOKUP(Tabla1[[#This Row],[Ean Normalizado]],tabla_consumos[EAN],tabla_consumos[UM])</f>
        <v>#VALUE!</v>
      </c>
      <c r="S1978" s="22" t="e">
        <f>Tabla1[[#This Row],[StockDisp]]*Tabla1[[#This Row],[UM producto]]</f>
        <v>#VALUE!</v>
      </c>
    </row>
    <row r="1979" spans="1:19" x14ac:dyDescent="0.35">
      <c r="A1979" s="5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6"/>
      <c r="P1979" s="23" t="e">
        <f>TRIM(Tabla1[[#This Row],[Articulo]])</f>
        <v>#VALUE!</v>
      </c>
      <c r="Q1979" s="23" t="e">
        <f>_xlfn.XLOOKUP(Tabla1[[#This Row],[Ean Normalizado]],Consumos!A:A,Consumos!E:E)</f>
        <v>#VALUE!</v>
      </c>
      <c r="R1979" s="22" t="e">
        <f>_xlfn.XLOOKUP(Tabla1[[#This Row],[Ean Normalizado]],tabla_consumos[EAN],tabla_consumos[UM])</f>
        <v>#VALUE!</v>
      </c>
      <c r="S1979" s="22" t="e">
        <f>Tabla1[[#This Row],[StockDisp]]*Tabla1[[#This Row],[UM producto]]</f>
        <v>#VALUE!</v>
      </c>
    </row>
    <row r="1980" spans="1:19" x14ac:dyDescent="0.35">
      <c r="A1980" s="5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6"/>
      <c r="P1980" s="23" t="e">
        <f>TRIM(Tabla1[[#This Row],[Articulo]])</f>
        <v>#VALUE!</v>
      </c>
      <c r="Q1980" s="23" t="e">
        <f>_xlfn.XLOOKUP(Tabla1[[#This Row],[Ean Normalizado]],Consumos!A:A,Consumos!E:E)</f>
        <v>#VALUE!</v>
      </c>
      <c r="R1980" s="22" t="e">
        <f>_xlfn.XLOOKUP(Tabla1[[#This Row],[Ean Normalizado]],tabla_consumos[EAN],tabla_consumos[UM])</f>
        <v>#VALUE!</v>
      </c>
      <c r="S1980" s="22" t="e">
        <f>Tabla1[[#This Row],[StockDisp]]*Tabla1[[#This Row],[UM producto]]</f>
        <v>#VALUE!</v>
      </c>
    </row>
    <row r="1981" spans="1:19" x14ac:dyDescent="0.35">
      <c r="A1981" s="5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6"/>
      <c r="P1981" s="23" t="e">
        <f>TRIM(Tabla1[[#This Row],[Articulo]])</f>
        <v>#VALUE!</v>
      </c>
      <c r="Q1981" s="23" t="e">
        <f>_xlfn.XLOOKUP(Tabla1[[#This Row],[Ean Normalizado]],Consumos!A:A,Consumos!E:E)</f>
        <v>#VALUE!</v>
      </c>
      <c r="R1981" s="22" t="e">
        <f>_xlfn.XLOOKUP(Tabla1[[#This Row],[Ean Normalizado]],tabla_consumos[EAN],tabla_consumos[UM])</f>
        <v>#VALUE!</v>
      </c>
      <c r="S1981" s="22" t="e">
        <f>Tabla1[[#This Row],[StockDisp]]*Tabla1[[#This Row],[UM producto]]</f>
        <v>#VALUE!</v>
      </c>
    </row>
    <row r="1982" spans="1:19" x14ac:dyDescent="0.35">
      <c r="A1982" s="5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6"/>
      <c r="P1982" s="23" t="e">
        <f>TRIM(Tabla1[[#This Row],[Articulo]])</f>
        <v>#VALUE!</v>
      </c>
      <c r="Q1982" s="23" t="e">
        <f>_xlfn.XLOOKUP(Tabla1[[#This Row],[Ean Normalizado]],Consumos!A:A,Consumos!E:E)</f>
        <v>#VALUE!</v>
      </c>
      <c r="R1982" s="22" t="e">
        <f>_xlfn.XLOOKUP(Tabla1[[#This Row],[Ean Normalizado]],tabla_consumos[EAN],tabla_consumos[UM])</f>
        <v>#VALUE!</v>
      </c>
      <c r="S1982" s="22" t="e">
        <f>Tabla1[[#This Row],[StockDisp]]*Tabla1[[#This Row],[UM producto]]</f>
        <v>#VALUE!</v>
      </c>
    </row>
    <row r="1983" spans="1:19" x14ac:dyDescent="0.35">
      <c r="A1983" s="5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6"/>
      <c r="P1983" s="23" t="e">
        <f>TRIM(Tabla1[[#This Row],[Articulo]])</f>
        <v>#VALUE!</v>
      </c>
      <c r="Q1983" s="23" t="e">
        <f>_xlfn.XLOOKUP(Tabla1[[#This Row],[Ean Normalizado]],Consumos!A:A,Consumos!E:E)</f>
        <v>#VALUE!</v>
      </c>
      <c r="R1983" s="22" t="e">
        <f>_xlfn.XLOOKUP(Tabla1[[#This Row],[Ean Normalizado]],tabla_consumos[EAN],tabla_consumos[UM])</f>
        <v>#VALUE!</v>
      </c>
      <c r="S1983" s="22" t="e">
        <f>Tabla1[[#This Row],[StockDisp]]*Tabla1[[#This Row],[UM producto]]</f>
        <v>#VALUE!</v>
      </c>
    </row>
    <row r="1984" spans="1:19" x14ac:dyDescent="0.35">
      <c r="A1984" s="5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6"/>
      <c r="P1984" s="23" t="e">
        <f>TRIM(Tabla1[[#This Row],[Articulo]])</f>
        <v>#VALUE!</v>
      </c>
      <c r="Q1984" s="23" t="e">
        <f>_xlfn.XLOOKUP(Tabla1[[#This Row],[Ean Normalizado]],Consumos!A:A,Consumos!E:E)</f>
        <v>#VALUE!</v>
      </c>
      <c r="R1984" s="22" t="e">
        <f>_xlfn.XLOOKUP(Tabla1[[#This Row],[Ean Normalizado]],tabla_consumos[EAN],tabla_consumos[UM])</f>
        <v>#VALUE!</v>
      </c>
      <c r="S1984" s="22" t="e">
        <f>Tabla1[[#This Row],[StockDisp]]*Tabla1[[#This Row],[UM producto]]</f>
        <v>#VALUE!</v>
      </c>
    </row>
    <row r="1985" spans="1:19" x14ac:dyDescent="0.35">
      <c r="A1985" s="5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6"/>
      <c r="P1985" s="23" t="e">
        <f>TRIM(Tabla1[[#This Row],[Articulo]])</f>
        <v>#VALUE!</v>
      </c>
      <c r="Q1985" s="23" t="e">
        <f>_xlfn.XLOOKUP(Tabla1[[#This Row],[Ean Normalizado]],Consumos!A:A,Consumos!E:E)</f>
        <v>#VALUE!</v>
      </c>
      <c r="R1985" s="22" t="e">
        <f>_xlfn.XLOOKUP(Tabla1[[#This Row],[Ean Normalizado]],tabla_consumos[EAN],tabla_consumos[UM])</f>
        <v>#VALUE!</v>
      </c>
      <c r="S1985" s="22" t="e">
        <f>Tabla1[[#This Row],[StockDisp]]*Tabla1[[#This Row],[UM producto]]</f>
        <v>#VALUE!</v>
      </c>
    </row>
    <row r="1986" spans="1:19" x14ac:dyDescent="0.35">
      <c r="A1986" s="5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6"/>
      <c r="P1986" s="23" t="e">
        <f>TRIM(Tabla1[[#This Row],[Articulo]])</f>
        <v>#VALUE!</v>
      </c>
      <c r="Q1986" s="23" t="e">
        <f>_xlfn.XLOOKUP(Tabla1[[#This Row],[Ean Normalizado]],Consumos!A:A,Consumos!E:E)</f>
        <v>#VALUE!</v>
      </c>
      <c r="R1986" s="22" t="e">
        <f>_xlfn.XLOOKUP(Tabla1[[#This Row],[Ean Normalizado]],tabla_consumos[EAN],tabla_consumos[UM])</f>
        <v>#VALUE!</v>
      </c>
      <c r="S1986" s="22" t="e">
        <f>Tabla1[[#This Row],[StockDisp]]*Tabla1[[#This Row],[UM producto]]</f>
        <v>#VALUE!</v>
      </c>
    </row>
    <row r="1987" spans="1:19" x14ac:dyDescent="0.35">
      <c r="A1987" s="5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6"/>
      <c r="P1987" s="23" t="e">
        <f>TRIM(Tabla1[[#This Row],[Articulo]])</f>
        <v>#VALUE!</v>
      </c>
      <c r="Q1987" s="23" t="e">
        <f>_xlfn.XLOOKUP(Tabla1[[#This Row],[Ean Normalizado]],Consumos!A:A,Consumos!E:E)</f>
        <v>#VALUE!</v>
      </c>
      <c r="R1987" s="22" t="e">
        <f>_xlfn.XLOOKUP(Tabla1[[#This Row],[Ean Normalizado]],tabla_consumos[EAN],tabla_consumos[UM])</f>
        <v>#VALUE!</v>
      </c>
      <c r="S1987" s="22" t="e">
        <f>Tabla1[[#This Row],[StockDisp]]*Tabla1[[#This Row],[UM producto]]</f>
        <v>#VALUE!</v>
      </c>
    </row>
    <row r="1988" spans="1:19" x14ac:dyDescent="0.35">
      <c r="A1988" s="5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6"/>
      <c r="P1988" s="23" t="e">
        <f>TRIM(Tabla1[[#This Row],[Articulo]])</f>
        <v>#VALUE!</v>
      </c>
      <c r="Q1988" s="23" t="e">
        <f>_xlfn.XLOOKUP(Tabla1[[#This Row],[Ean Normalizado]],Consumos!A:A,Consumos!E:E)</f>
        <v>#VALUE!</v>
      </c>
      <c r="R1988" s="22" t="e">
        <f>_xlfn.XLOOKUP(Tabla1[[#This Row],[Ean Normalizado]],tabla_consumos[EAN],tabla_consumos[UM])</f>
        <v>#VALUE!</v>
      </c>
      <c r="S1988" s="22" t="e">
        <f>Tabla1[[#This Row],[StockDisp]]*Tabla1[[#This Row],[UM producto]]</f>
        <v>#VALUE!</v>
      </c>
    </row>
    <row r="1989" spans="1:19" x14ac:dyDescent="0.35">
      <c r="A1989" s="5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6"/>
      <c r="P1989" s="23" t="e">
        <f>TRIM(Tabla1[[#This Row],[Articulo]])</f>
        <v>#VALUE!</v>
      </c>
      <c r="Q1989" s="23" t="e">
        <f>_xlfn.XLOOKUP(Tabla1[[#This Row],[Ean Normalizado]],Consumos!A:A,Consumos!E:E)</f>
        <v>#VALUE!</v>
      </c>
      <c r="R1989" s="22" t="e">
        <f>_xlfn.XLOOKUP(Tabla1[[#This Row],[Ean Normalizado]],tabla_consumos[EAN],tabla_consumos[UM])</f>
        <v>#VALUE!</v>
      </c>
      <c r="S1989" s="22" t="e">
        <f>Tabla1[[#This Row],[StockDisp]]*Tabla1[[#This Row],[UM producto]]</f>
        <v>#VALUE!</v>
      </c>
    </row>
    <row r="1990" spans="1:19" x14ac:dyDescent="0.35">
      <c r="A1990" s="5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6"/>
      <c r="P1990" s="23" t="e">
        <f>TRIM(Tabla1[[#This Row],[Articulo]])</f>
        <v>#VALUE!</v>
      </c>
      <c r="Q1990" s="23" t="e">
        <f>_xlfn.XLOOKUP(Tabla1[[#This Row],[Ean Normalizado]],Consumos!A:A,Consumos!E:E)</f>
        <v>#VALUE!</v>
      </c>
      <c r="R1990" s="22" t="e">
        <f>_xlfn.XLOOKUP(Tabla1[[#This Row],[Ean Normalizado]],tabla_consumos[EAN],tabla_consumos[UM])</f>
        <v>#VALUE!</v>
      </c>
      <c r="S1990" s="22" t="e">
        <f>Tabla1[[#This Row],[StockDisp]]*Tabla1[[#This Row],[UM producto]]</f>
        <v>#VALUE!</v>
      </c>
    </row>
    <row r="1991" spans="1:19" x14ac:dyDescent="0.35">
      <c r="A1991" s="5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6"/>
      <c r="P1991" s="23" t="e">
        <f>TRIM(Tabla1[[#This Row],[Articulo]])</f>
        <v>#VALUE!</v>
      </c>
      <c r="Q1991" s="23" t="e">
        <f>_xlfn.XLOOKUP(Tabla1[[#This Row],[Ean Normalizado]],Consumos!A:A,Consumos!E:E)</f>
        <v>#VALUE!</v>
      </c>
      <c r="R1991" s="22" t="e">
        <f>_xlfn.XLOOKUP(Tabla1[[#This Row],[Ean Normalizado]],tabla_consumos[EAN],tabla_consumos[UM])</f>
        <v>#VALUE!</v>
      </c>
      <c r="S1991" s="22" t="e">
        <f>Tabla1[[#This Row],[StockDisp]]*Tabla1[[#This Row],[UM producto]]</f>
        <v>#VALUE!</v>
      </c>
    </row>
    <row r="1992" spans="1:19" x14ac:dyDescent="0.35">
      <c r="A1992" s="5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6"/>
      <c r="P1992" s="23" t="e">
        <f>TRIM(Tabla1[[#This Row],[Articulo]])</f>
        <v>#VALUE!</v>
      </c>
      <c r="Q1992" s="23" t="e">
        <f>_xlfn.XLOOKUP(Tabla1[[#This Row],[Ean Normalizado]],Consumos!A:A,Consumos!E:E)</f>
        <v>#VALUE!</v>
      </c>
      <c r="R1992" s="22" t="e">
        <f>_xlfn.XLOOKUP(Tabla1[[#This Row],[Ean Normalizado]],tabla_consumos[EAN],tabla_consumos[UM])</f>
        <v>#VALUE!</v>
      </c>
      <c r="S1992" s="22" t="e">
        <f>Tabla1[[#This Row],[StockDisp]]*Tabla1[[#This Row],[UM producto]]</f>
        <v>#VALUE!</v>
      </c>
    </row>
    <row r="1993" spans="1:19" x14ac:dyDescent="0.35">
      <c r="A1993" s="5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6"/>
      <c r="P1993" s="23" t="e">
        <f>TRIM(Tabla1[[#This Row],[Articulo]])</f>
        <v>#VALUE!</v>
      </c>
      <c r="Q1993" s="23" t="e">
        <f>_xlfn.XLOOKUP(Tabla1[[#This Row],[Ean Normalizado]],Consumos!A:A,Consumos!E:E)</f>
        <v>#VALUE!</v>
      </c>
      <c r="R1993" s="22" t="e">
        <f>_xlfn.XLOOKUP(Tabla1[[#This Row],[Ean Normalizado]],tabla_consumos[EAN],tabla_consumos[UM])</f>
        <v>#VALUE!</v>
      </c>
      <c r="S1993" s="22" t="e">
        <f>Tabla1[[#This Row],[StockDisp]]*Tabla1[[#This Row],[UM producto]]</f>
        <v>#VALUE!</v>
      </c>
    </row>
    <row r="1994" spans="1:19" x14ac:dyDescent="0.35">
      <c r="A1994" s="5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6"/>
      <c r="P1994" s="23" t="e">
        <f>TRIM(Tabla1[[#This Row],[Articulo]])</f>
        <v>#VALUE!</v>
      </c>
      <c r="Q1994" s="23" t="e">
        <f>_xlfn.XLOOKUP(Tabla1[[#This Row],[Ean Normalizado]],Consumos!A:A,Consumos!E:E)</f>
        <v>#VALUE!</v>
      </c>
      <c r="R1994" s="22" t="e">
        <f>_xlfn.XLOOKUP(Tabla1[[#This Row],[Ean Normalizado]],tabla_consumos[EAN],tabla_consumos[UM])</f>
        <v>#VALUE!</v>
      </c>
      <c r="S1994" s="22" t="e">
        <f>Tabla1[[#This Row],[StockDisp]]*Tabla1[[#This Row],[UM producto]]</f>
        <v>#VALUE!</v>
      </c>
    </row>
    <row r="1995" spans="1:19" x14ac:dyDescent="0.35">
      <c r="A1995" s="5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6"/>
      <c r="P1995" s="23" t="e">
        <f>TRIM(Tabla1[[#This Row],[Articulo]])</f>
        <v>#VALUE!</v>
      </c>
      <c r="Q1995" s="23" t="e">
        <f>_xlfn.XLOOKUP(Tabla1[[#This Row],[Ean Normalizado]],Consumos!A:A,Consumos!E:E)</f>
        <v>#VALUE!</v>
      </c>
      <c r="R1995" s="22" t="e">
        <f>_xlfn.XLOOKUP(Tabla1[[#This Row],[Ean Normalizado]],tabla_consumos[EAN],tabla_consumos[UM])</f>
        <v>#VALUE!</v>
      </c>
      <c r="S1995" s="22" t="e">
        <f>Tabla1[[#This Row],[StockDisp]]*Tabla1[[#This Row],[UM producto]]</f>
        <v>#VALUE!</v>
      </c>
    </row>
    <row r="1996" spans="1:19" x14ac:dyDescent="0.35">
      <c r="A1996" s="5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6"/>
      <c r="P1996" s="23" t="e">
        <f>TRIM(Tabla1[[#This Row],[Articulo]])</f>
        <v>#VALUE!</v>
      </c>
      <c r="Q1996" s="23" t="e">
        <f>_xlfn.XLOOKUP(Tabla1[[#This Row],[Ean Normalizado]],Consumos!A:A,Consumos!E:E)</f>
        <v>#VALUE!</v>
      </c>
      <c r="R1996" s="22" t="e">
        <f>_xlfn.XLOOKUP(Tabla1[[#This Row],[Ean Normalizado]],tabla_consumos[EAN],tabla_consumos[UM])</f>
        <v>#VALUE!</v>
      </c>
      <c r="S1996" s="22" t="e">
        <f>Tabla1[[#This Row],[StockDisp]]*Tabla1[[#This Row],[UM producto]]</f>
        <v>#VALUE!</v>
      </c>
    </row>
    <row r="1997" spans="1:19" x14ac:dyDescent="0.35">
      <c r="A1997" s="5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6"/>
      <c r="P1997" s="23" t="e">
        <f>TRIM(Tabla1[[#This Row],[Articulo]])</f>
        <v>#VALUE!</v>
      </c>
      <c r="Q1997" s="23" t="e">
        <f>_xlfn.XLOOKUP(Tabla1[[#This Row],[Ean Normalizado]],Consumos!A:A,Consumos!E:E)</f>
        <v>#VALUE!</v>
      </c>
      <c r="R1997" s="22" t="e">
        <f>_xlfn.XLOOKUP(Tabla1[[#This Row],[Ean Normalizado]],tabla_consumos[EAN],tabla_consumos[UM])</f>
        <v>#VALUE!</v>
      </c>
      <c r="S1997" s="22" t="e">
        <f>Tabla1[[#This Row],[StockDisp]]*Tabla1[[#This Row],[UM producto]]</f>
        <v>#VALUE!</v>
      </c>
    </row>
    <row r="1998" spans="1:19" x14ac:dyDescent="0.35">
      <c r="A1998" s="5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6"/>
      <c r="P1998" s="23" t="e">
        <f>TRIM(Tabla1[[#This Row],[Articulo]])</f>
        <v>#VALUE!</v>
      </c>
      <c r="Q1998" s="23" t="e">
        <f>_xlfn.XLOOKUP(Tabla1[[#This Row],[Ean Normalizado]],Consumos!A:A,Consumos!E:E)</f>
        <v>#VALUE!</v>
      </c>
      <c r="R1998" s="22" t="e">
        <f>_xlfn.XLOOKUP(Tabla1[[#This Row],[Ean Normalizado]],tabla_consumos[EAN],tabla_consumos[UM])</f>
        <v>#VALUE!</v>
      </c>
      <c r="S1998" s="22" t="e">
        <f>Tabla1[[#This Row],[StockDisp]]*Tabla1[[#This Row],[UM producto]]</f>
        <v>#VALUE!</v>
      </c>
    </row>
    <row r="1999" spans="1:19" x14ac:dyDescent="0.35">
      <c r="A1999" s="5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6"/>
      <c r="P1999" s="23" t="e">
        <f>TRIM(Tabla1[[#This Row],[Articulo]])</f>
        <v>#VALUE!</v>
      </c>
      <c r="Q1999" s="23" t="e">
        <f>_xlfn.XLOOKUP(Tabla1[[#This Row],[Ean Normalizado]],Consumos!A:A,Consumos!E:E)</f>
        <v>#VALUE!</v>
      </c>
      <c r="R1999" s="22" t="e">
        <f>_xlfn.XLOOKUP(Tabla1[[#This Row],[Ean Normalizado]],tabla_consumos[EAN],tabla_consumos[UM])</f>
        <v>#VALUE!</v>
      </c>
      <c r="S1999" s="22" t="e">
        <f>Tabla1[[#This Row],[StockDisp]]*Tabla1[[#This Row],[UM producto]]</f>
        <v>#VALUE!</v>
      </c>
    </row>
    <row r="2000" spans="1:19" x14ac:dyDescent="0.35">
      <c r="A2000" s="5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6"/>
      <c r="P2000" s="23" t="e">
        <f>TRIM(Tabla1[[#This Row],[Articulo]])</f>
        <v>#VALUE!</v>
      </c>
      <c r="Q2000" s="23" t="e">
        <f>_xlfn.XLOOKUP(Tabla1[[#This Row],[Ean Normalizado]],Consumos!A:A,Consumos!E:E)</f>
        <v>#VALUE!</v>
      </c>
      <c r="R2000" s="22" t="e">
        <f>_xlfn.XLOOKUP(Tabla1[[#This Row],[Ean Normalizado]],tabla_consumos[EAN],tabla_consumos[UM])</f>
        <v>#VALUE!</v>
      </c>
      <c r="S2000" s="22" t="e">
        <f>Tabla1[[#This Row],[StockDisp]]*Tabla1[[#This Row],[UM producto]]</f>
        <v>#VALUE!</v>
      </c>
    </row>
    <row r="2001" spans="1:19" x14ac:dyDescent="0.35">
      <c r="A2001" s="5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6"/>
      <c r="P2001" s="23" t="e">
        <f>TRIM(Tabla1[[#This Row],[Articulo]])</f>
        <v>#VALUE!</v>
      </c>
      <c r="Q2001" s="23" t="e">
        <f>_xlfn.XLOOKUP(Tabla1[[#This Row],[Ean Normalizado]],Consumos!A:A,Consumos!E:E)</f>
        <v>#VALUE!</v>
      </c>
      <c r="R2001" s="22" t="e">
        <f>_xlfn.XLOOKUP(Tabla1[[#This Row],[Ean Normalizado]],tabla_consumos[EAN],tabla_consumos[UM])</f>
        <v>#VALUE!</v>
      </c>
      <c r="S2001" s="22" t="e">
        <f>Tabla1[[#This Row],[StockDisp]]*Tabla1[[#This Row],[UM producto]]</f>
        <v>#VALUE!</v>
      </c>
    </row>
    <row r="2002" spans="1:19" x14ac:dyDescent="0.35">
      <c r="A2002" s="5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6"/>
      <c r="P2002" s="23" t="e">
        <f>TRIM(Tabla1[[#This Row],[Articulo]])</f>
        <v>#VALUE!</v>
      </c>
      <c r="Q2002" s="23" t="e">
        <f>_xlfn.XLOOKUP(Tabla1[[#This Row],[Ean Normalizado]],Consumos!A:A,Consumos!E:E)</f>
        <v>#VALUE!</v>
      </c>
      <c r="R2002" s="22" t="e">
        <f>_xlfn.XLOOKUP(Tabla1[[#This Row],[Ean Normalizado]],tabla_consumos[EAN],tabla_consumos[UM])</f>
        <v>#VALUE!</v>
      </c>
      <c r="S2002" s="22" t="e">
        <f>Tabla1[[#This Row],[StockDisp]]*Tabla1[[#This Row],[UM producto]]</f>
        <v>#VALUE!</v>
      </c>
    </row>
    <row r="2003" spans="1:19" x14ac:dyDescent="0.35">
      <c r="A2003" s="5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6"/>
      <c r="P2003" s="23" t="e">
        <f>TRIM(Tabla1[[#This Row],[Articulo]])</f>
        <v>#VALUE!</v>
      </c>
      <c r="Q2003" s="23" t="e">
        <f>_xlfn.XLOOKUP(Tabla1[[#This Row],[Ean Normalizado]],Consumos!A:A,Consumos!E:E)</f>
        <v>#VALUE!</v>
      </c>
      <c r="R2003" s="22" t="e">
        <f>_xlfn.XLOOKUP(Tabla1[[#This Row],[Ean Normalizado]],tabla_consumos[EAN],tabla_consumos[UM])</f>
        <v>#VALUE!</v>
      </c>
      <c r="S2003" s="22" t="e">
        <f>Tabla1[[#This Row],[StockDisp]]*Tabla1[[#This Row],[UM producto]]</f>
        <v>#VALUE!</v>
      </c>
    </row>
    <row r="2004" spans="1:19" x14ac:dyDescent="0.35">
      <c r="A2004" s="5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6"/>
      <c r="P2004" s="23" t="e">
        <f>TRIM(Tabla1[[#This Row],[Articulo]])</f>
        <v>#VALUE!</v>
      </c>
      <c r="Q2004" s="23" t="e">
        <f>_xlfn.XLOOKUP(Tabla1[[#This Row],[Ean Normalizado]],Consumos!A:A,Consumos!E:E)</f>
        <v>#VALUE!</v>
      </c>
      <c r="R2004" s="22" t="e">
        <f>_xlfn.XLOOKUP(Tabla1[[#This Row],[Ean Normalizado]],tabla_consumos[EAN],tabla_consumos[UM])</f>
        <v>#VALUE!</v>
      </c>
      <c r="S2004" s="22" t="e">
        <f>Tabla1[[#This Row],[StockDisp]]*Tabla1[[#This Row],[UM producto]]</f>
        <v>#VALUE!</v>
      </c>
    </row>
    <row r="2005" spans="1:19" x14ac:dyDescent="0.35">
      <c r="A2005" s="5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6"/>
      <c r="P2005" s="23" t="e">
        <f>TRIM(Tabla1[[#This Row],[Articulo]])</f>
        <v>#VALUE!</v>
      </c>
      <c r="Q2005" s="23" t="e">
        <f>_xlfn.XLOOKUP(Tabla1[[#This Row],[Ean Normalizado]],Consumos!A:A,Consumos!E:E)</f>
        <v>#VALUE!</v>
      </c>
      <c r="R2005" s="22" t="e">
        <f>_xlfn.XLOOKUP(Tabla1[[#This Row],[Ean Normalizado]],tabla_consumos[EAN],tabla_consumos[UM])</f>
        <v>#VALUE!</v>
      </c>
      <c r="S2005" s="22" t="e">
        <f>Tabla1[[#This Row],[StockDisp]]*Tabla1[[#This Row],[UM producto]]</f>
        <v>#VALUE!</v>
      </c>
    </row>
    <row r="2006" spans="1:19" x14ac:dyDescent="0.35">
      <c r="A2006" s="5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6"/>
      <c r="P2006" s="23" t="e">
        <f>TRIM(Tabla1[[#This Row],[Articulo]])</f>
        <v>#VALUE!</v>
      </c>
      <c r="Q2006" s="23" t="e">
        <f>_xlfn.XLOOKUP(Tabla1[[#This Row],[Ean Normalizado]],Consumos!A:A,Consumos!E:E)</f>
        <v>#VALUE!</v>
      </c>
      <c r="R2006" s="22" t="e">
        <f>_xlfn.XLOOKUP(Tabla1[[#This Row],[Ean Normalizado]],tabla_consumos[EAN],tabla_consumos[UM])</f>
        <v>#VALUE!</v>
      </c>
      <c r="S2006" s="22" t="e">
        <f>Tabla1[[#This Row],[StockDisp]]*Tabla1[[#This Row],[UM producto]]</f>
        <v>#VALUE!</v>
      </c>
    </row>
    <row r="2007" spans="1:19" x14ac:dyDescent="0.35">
      <c r="A2007" s="5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6"/>
      <c r="P2007" s="23" t="e">
        <f>TRIM(Tabla1[[#This Row],[Articulo]])</f>
        <v>#VALUE!</v>
      </c>
      <c r="Q2007" s="23" t="e">
        <f>_xlfn.XLOOKUP(Tabla1[[#This Row],[Ean Normalizado]],Consumos!A:A,Consumos!E:E)</f>
        <v>#VALUE!</v>
      </c>
      <c r="R2007" s="22" t="e">
        <f>_xlfn.XLOOKUP(Tabla1[[#This Row],[Ean Normalizado]],tabla_consumos[EAN],tabla_consumos[UM])</f>
        <v>#VALUE!</v>
      </c>
      <c r="S2007" s="22" t="e">
        <f>Tabla1[[#This Row],[StockDisp]]*Tabla1[[#This Row],[UM producto]]</f>
        <v>#VALUE!</v>
      </c>
    </row>
    <row r="2008" spans="1:19" x14ac:dyDescent="0.35">
      <c r="A2008" s="5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6"/>
      <c r="P2008" s="23" t="e">
        <f>TRIM(Tabla1[[#This Row],[Articulo]])</f>
        <v>#VALUE!</v>
      </c>
      <c r="Q2008" s="23" t="e">
        <f>_xlfn.XLOOKUP(Tabla1[[#This Row],[Ean Normalizado]],Consumos!A:A,Consumos!E:E)</f>
        <v>#VALUE!</v>
      </c>
      <c r="R2008" s="22" t="e">
        <f>_xlfn.XLOOKUP(Tabla1[[#This Row],[Ean Normalizado]],tabla_consumos[EAN],tabla_consumos[UM])</f>
        <v>#VALUE!</v>
      </c>
      <c r="S2008" s="22" t="e">
        <f>Tabla1[[#This Row],[StockDisp]]*Tabla1[[#This Row],[UM producto]]</f>
        <v>#VALUE!</v>
      </c>
    </row>
    <row r="2009" spans="1:19" x14ac:dyDescent="0.35">
      <c r="A2009" s="5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6"/>
      <c r="P2009" s="23" t="e">
        <f>TRIM(Tabla1[[#This Row],[Articulo]])</f>
        <v>#VALUE!</v>
      </c>
      <c r="Q2009" s="23" t="e">
        <f>_xlfn.XLOOKUP(Tabla1[[#This Row],[Ean Normalizado]],Consumos!A:A,Consumos!E:E)</f>
        <v>#VALUE!</v>
      </c>
      <c r="R2009" s="22" t="e">
        <f>_xlfn.XLOOKUP(Tabla1[[#This Row],[Ean Normalizado]],tabla_consumos[EAN],tabla_consumos[UM])</f>
        <v>#VALUE!</v>
      </c>
      <c r="S2009" s="22" t="e">
        <f>Tabla1[[#This Row],[StockDisp]]*Tabla1[[#This Row],[UM producto]]</f>
        <v>#VALUE!</v>
      </c>
    </row>
    <row r="2010" spans="1:19" x14ac:dyDescent="0.35">
      <c r="A2010" s="5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6"/>
      <c r="P2010" s="23" t="e">
        <f>TRIM(Tabla1[[#This Row],[Articulo]])</f>
        <v>#VALUE!</v>
      </c>
      <c r="Q2010" s="23" t="e">
        <f>_xlfn.XLOOKUP(Tabla1[[#This Row],[Ean Normalizado]],Consumos!A:A,Consumos!E:E)</f>
        <v>#VALUE!</v>
      </c>
      <c r="R2010" s="22" t="e">
        <f>_xlfn.XLOOKUP(Tabla1[[#This Row],[Ean Normalizado]],tabla_consumos[EAN],tabla_consumos[UM])</f>
        <v>#VALUE!</v>
      </c>
      <c r="S2010" s="22" t="e">
        <f>Tabla1[[#This Row],[StockDisp]]*Tabla1[[#This Row],[UM producto]]</f>
        <v>#VALUE!</v>
      </c>
    </row>
    <row r="2011" spans="1:19" x14ac:dyDescent="0.35">
      <c r="A2011" s="5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6"/>
      <c r="P2011" s="23" t="e">
        <f>TRIM(Tabla1[[#This Row],[Articulo]])</f>
        <v>#VALUE!</v>
      </c>
      <c r="Q2011" s="23" t="e">
        <f>_xlfn.XLOOKUP(Tabla1[[#This Row],[Ean Normalizado]],Consumos!A:A,Consumos!E:E)</f>
        <v>#VALUE!</v>
      </c>
      <c r="R2011" s="22" t="e">
        <f>_xlfn.XLOOKUP(Tabla1[[#This Row],[Ean Normalizado]],tabla_consumos[EAN],tabla_consumos[UM])</f>
        <v>#VALUE!</v>
      </c>
      <c r="S2011" s="22" t="e">
        <f>Tabla1[[#This Row],[StockDisp]]*Tabla1[[#This Row],[UM producto]]</f>
        <v>#VALUE!</v>
      </c>
    </row>
    <row r="2012" spans="1:19" x14ac:dyDescent="0.35">
      <c r="A2012" s="5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6"/>
      <c r="P2012" s="23" t="e">
        <f>TRIM(Tabla1[[#This Row],[Articulo]])</f>
        <v>#VALUE!</v>
      </c>
      <c r="Q2012" s="23" t="e">
        <f>_xlfn.XLOOKUP(Tabla1[[#This Row],[Ean Normalizado]],Consumos!A:A,Consumos!E:E)</f>
        <v>#VALUE!</v>
      </c>
      <c r="R2012" s="22" t="e">
        <f>_xlfn.XLOOKUP(Tabla1[[#This Row],[Ean Normalizado]],tabla_consumos[EAN],tabla_consumos[UM])</f>
        <v>#VALUE!</v>
      </c>
      <c r="S2012" s="22" t="e">
        <f>Tabla1[[#This Row],[StockDisp]]*Tabla1[[#This Row],[UM producto]]</f>
        <v>#VALUE!</v>
      </c>
    </row>
    <row r="2013" spans="1:19" x14ac:dyDescent="0.35">
      <c r="A2013" s="5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6"/>
      <c r="P2013" s="23" t="e">
        <f>TRIM(Tabla1[[#This Row],[Articulo]])</f>
        <v>#VALUE!</v>
      </c>
      <c r="Q2013" s="23" t="e">
        <f>_xlfn.XLOOKUP(Tabla1[[#This Row],[Ean Normalizado]],Consumos!A:A,Consumos!E:E)</f>
        <v>#VALUE!</v>
      </c>
      <c r="R2013" s="22" t="e">
        <f>_xlfn.XLOOKUP(Tabla1[[#This Row],[Ean Normalizado]],tabla_consumos[EAN],tabla_consumos[UM])</f>
        <v>#VALUE!</v>
      </c>
      <c r="S2013" s="22" t="e">
        <f>Tabla1[[#This Row],[StockDisp]]*Tabla1[[#This Row],[UM producto]]</f>
        <v>#VALUE!</v>
      </c>
    </row>
    <row r="2014" spans="1:19" x14ac:dyDescent="0.35">
      <c r="A2014" s="5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6"/>
      <c r="P2014" s="23" t="e">
        <f>TRIM(Tabla1[[#This Row],[Articulo]])</f>
        <v>#VALUE!</v>
      </c>
      <c r="Q2014" s="23" t="e">
        <f>_xlfn.XLOOKUP(Tabla1[[#This Row],[Ean Normalizado]],Consumos!A:A,Consumos!E:E)</f>
        <v>#VALUE!</v>
      </c>
      <c r="R2014" s="22" t="e">
        <f>_xlfn.XLOOKUP(Tabla1[[#This Row],[Ean Normalizado]],tabla_consumos[EAN],tabla_consumos[UM])</f>
        <v>#VALUE!</v>
      </c>
      <c r="S2014" s="22" t="e">
        <f>Tabla1[[#This Row],[StockDisp]]*Tabla1[[#This Row],[UM producto]]</f>
        <v>#VALUE!</v>
      </c>
    </row>
    <row r="2015" spans="1:19" x14ac:dyDescent="0.35">
      <c r="A2015" s="5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6"/>
      <c r="P2015" s="23" t="e">
        <f>TRIM(Tabla1[[#This Row],[Articulo]])</f>
        <v>#VALUE!</v>
      </c>
      <c r="Q2015" s="23" t="e">
        <f>_xlfn.XLOOKUP(Tabla1[[#This Row],[Ean Normalizado]],Consumos!A:A,Consumos!E:E)</f>
        <v>#VALUE!</v>
      </c>
      <c r="R2015" s="22" t="e">
        <f>_xlfn.XLOOKUP(Tabla1[[#This Row],[Ean Normalizado]],tabla_consumos[EAN],tabla_consumos[UM])</f>
        <v>#VALUE!</v>
      </c>
      <c r="S2015" s="22" t="e">
        <f>Tabla1[[#This Row],[StockDisp]]*Tabla1[[#This Row],[UM producto]]</f>
        <v>#VALUE!</v>
      </c>
    </row>
    <row r="2016" spans="1:19" x14ac:dyDescent="0.35">
      <c r="A2016" s="5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6"/>
      <c r="P2016" s="23" t="e">
        <f>TRIM(Tabla1[[#This Row],[Articulo]])</f>
        <v>#VALUE!</v>
      </c>
      <c r="Q2016" s="23" t="e">
        <f>_xlfn.XLOOKUP(Tabla1[[#This Row],[Ean Normalizado]],Consumos!A:A,Consumos!E:E)</f>
        <v>#VALUE!</v>
      </c>
      <c r="R2016" s="22" t="e">
        <f>_xlfn.XLOOKUP(Tabla1[[#This Row],[Ean Normalizado]],tabla_consumos[EAN],tabla_consumos[UM])</f>
        <v>#VALUE!</v>
      </c>
      <c r="S2016" s="22" t="e">
        <f>Tabla1[[#This Row],[StockDisp]]*Tabla1[[#This Row],[UM producto]]</f>
        <v>#VALUE!</v>
      </c>
    </row>
    <row r="2017" spans="1:19" x14ac:dyDescent="0.35">
      <c r="A2017" s="5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6"/>
      <c r="P2017" s="23" t="e">
        <f>TRIM(Tabla1[[#This Row],[Articulo]])</f>
        <v>#VALUE!</v>
      </c>
      <c r="Q2017" s="23" t="e">
        <f>_xlfn.XLOOKUP(Tabla1[[#This Row],[Ean Normalizado]],Consumos!A:A,Consumos!E:E)</f>
        <v>#VALUE!</v>
      </c>
      <c r="R2017" s="22" t="e">
        <f>_xlfn.XLOOKUP(Tabla1[[#This Row],[Ean Normalizado]],tabla_consumos[EAN],tabla_consumos[UM])</f>
        <v>#VALUE!</v>
      </c>
      <c r="S2017" s="22" t="e">
        <f>Tabla1[[#This Row],[StockDisp]]*Tabla1[[#This Row],[UM producto]]</f>
        <v>#VALUE!</v>
      </c>
    </row>
    <row r="2018" spans="1:19" x14ac:dyDescent="0.35">
      <c r="A2018" s="5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6"/>
      <c r="P2018" s="23" t="e">
        <f>TRIM(Tabla1[[#This Row],[Articulo]])</f>
        <v>#VALUE!</v>
      </c>
      <c r="Q2018" s="23" t="e">
        <f>_xlfn.XLOOKUP(Tabla1[[#This Row],[Ean Normalizado]],Consumos!A:A,Consumos!E:E)</f>
        <v>#VALUE!</v>
      </c>
      <c r="R2018" s="22" t="e">
        <f>_xlfn.XLOOKUP(Tabla1[[#This Row],[Ean Normalizado]],tabla_consumos[EAN],tabla_consumos[UM])</f>
        <v>#VALUE!</v>
      </c>
      <c r="S2018" s="22" t="e">
        <f>Tabla1[[#This Row],[StockDisp]]*Tabla1[[#This Row],[UM producto]]</f>
        <v>#VALUE!</v>
      </c>
    </row>
    <row r="2019" spans="1:19" x14ac:dyDescent="0.35">
      <c r="A2019" s="5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6"/>
      <c r="P2019" s="23" t="e">
        <f>TRIM(Tabla1[[#This Row],[Articulo]])</f>
        <v>#VALUE!</v>
      </c>
      <c r="Q2019" s="23" t="e">
        <f>_xlfn.XLOOKUP(Tabla1[[#This Row],[Ean Normalizado]],Consumos!A:A,Consumos!E:E)</f>
        <v>#VALUE!</v>
      </c>
      <c r="R2019" s="22" t="e">
        <f>_xlfn.XLOOKUP(Tabla1[[#This Row],[Ean Normalizado]],tabla_consumos[EAN],tabla_consumos[UM])</f>
        <v>#VALUE!</v>
      </c>
      <c r="S2019" s="22" t="e">
        <f>Tabla1[[#This Row],[StockDisp]]*Tabla1[[#This Row],[UM producto]]</f>
        <v>#VALUE!</v>
      </c>
    </row>
    <row r="2020" spans="1:19" x14ac:dyDescent="0.35">
      <c r="A2020" s="5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6"/>
      <c r="P2020" s="23" t="e">
        <f>TRIM(Tabla1[[#This Row],[Articulo]])</f>
        <v>#VALUE!</v>
      </c>
      <c r="Q2020" s="23" t="e">
        <f>_xlfn.XLOOKUP(Tabla1[[#This Row],[Ean Normalizado]],Consumos!A:A,Consumos!E:E)</f>
        <v>#VALUE!</v>
      </c>
      <c r="R2020" s="22" t="e">
        <f>_xlfn.XLOOKUP(Tabla1[[#This Row],[Ean Normalizado]],tabla_consumos[EAN],tabla_consumos[UM])</f>
        <v>#VALUE!</v>
      </c>
      <c r="S2020" s="22" t="e">
        <f>Tabla1[[#This Row],[StockDisp]]*Tabla1[[#This Row],[UM producto]]</f>
        <v>#VALUE!</v>
      </c>
    </row>
    <row r="2021" spans="1:19" x14ac:dyDescent="0.35">
      <c r="A2021" s="5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6"/>
      <c r="P2021" s="23" t="e">
        <f>TRIM(Tabla1[[#This Row],[Articulo]])</f>
        <v>#VALUE!</v>
      </c>
      <c r="Q2021" s="23" t="e">
        <f>_xlfn.XLOOKUP(Tabla1[[#This Row],[Ean Normalizado]],Consumos!A:A,Consumos!E:E)</f>
        <v>#VALUE!</v>
      </c>
      <c r="R2021" s="22" t="e">
        <f>_xlfn.XLOOKUP(Tabla1[[#This Row],[Ean Normalizado]],tabla_consumos[EAN],tabla_consumos[UM])</f>
        <v>#VALUE!</v>
      </c>
      <c r="S2021" s="22" t="e">
        <f>Tabla1[[#This Row],[StockDisp]]*Tabla1[[#This Row],[UM producto]]</f>
        <v>#VALUE!</v>
      </c>
    </row>
    <row r="2022" spans="1:19" x14ac:dyDescent="0.35">
      <c r="A2022" s="5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6"/>
      <c r="P2022" s="23" t="e">
        <f>TRIM(Tabla1[[#This Row],[Articulo]])</f>
        <v>#VALUE!</v>
      </c>
      <c r="Q2022" s="23" t="e">
        <f>_xlfn.XLOOKUP(Tabla1[[#This Row],[Ean Normalizado]],Consumos!A:A,Consumos!E:E)</f>
        <v>#VALUE!</v>
      </c>
      <c r="R2022" s="22" t="e">
        <f>_xlfn.XLOOKUP(Tabla1[[#This Row],[Ean Normalizado]],tabla_consumos[EAN],tabla_consumos[UM])</f>
        <v>#VALUE!</v>
      </c>
      <c r="S2022" s="22" t="e">
        <f>Tabla1[[#This Row],[StockDisp]]*Tabla1[[#This Row],[UM producto]]</f>
        <v>#VALUE!</v>
      </c>
    </row>
    <row r="2023" spans="1:19" x14ac:dyDescent="0.35">
      <c r="A2023" s="5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6"/>
      <c r="P2023" s="23" t="e">
        <f>TRIM(Tabla1[[#This Row],[Articulo]])</f>
        <v>#VALUE!</v>
      </c>
      <c r="Q2023" s="23" t="e">
        <f>_xlfn.XLOOKUP(Tabla1[[#This Row],[Ean Normalizado]],Consumos!A:A,Consumos!E:E)</f>
        <v>#VALUE!</v>
      </c>
      <c r="R2023" s="22" t="e">
        <f>_xlfn.XLOOKUP(Tabla1[[#This Row],[Ean Normalizado]],tabla_consumos[EAN],tabla_consumos[UM])</f>
        <v>#VALUE!</v>
      </c>
      <c r="S2023" s="22" t="e">
        <f>Tabla1[[#This Row],[StockDisp]]*Tabla1[[#This Row],[UM producto]]</f>
        <v>#VALUE!</v>
      </c>
    </row>
    <row r="2024" spans="1:19" x14ac:dyDescent="0.35">
      <c r="A2024" s="5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6"/>
      <c r="P2024" s="23" t="e">
        <f>TRIM(Tabla1[[#This Row],[Articulo]])</f>
        <v>#VALUE!</v>
      </c>
      <c r="Q2024" s="23" t="e">
        <f>_xlfn.XLOOKUP(Tabla1[[#This Row],[Ean Normalizado]],Consumos!A:A,Consumos!E:E)</f>
        <v>#VALUE!</v>
      </c>
      <c r="R2024" s="22" t="e">
        <f>_xlfn.XLOOKUP(Tabla1[[#This Row],[Ean Normalizado]],tabla_consumos[EAN],tabla_consumos[UM])</f>
        <v>#VALUE!</v>
      </c>
      <c r="S2024" s="22" t="e">
        <f>Tabla1[[#This Row],[StockDisp]]*Tabla1[[#This Row],[UM producto]]</f>
        <v>#VALUE!</v>
      </c>
    </row>
    <row r="2025" spans="1:19" x14ac:dyDescent="0.35">
      <c r="A2025" s="5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6"/>
      <c r="P2025" s="23" t="e">
        <f>TRIM(Tabla1[[#This Row],[Articulo]])</f>
        <v>#VALUE!</v>
      </c>
      <c r="Q2025" s="23" t="e">
        <f>_xlfn.XLOOKUP(Tabla1[[#This Row],[Ean Normalizado]],Consumos!A:A,Consumos!E:E)</f>
        <v>#VALUE!</v>
      </c>
      <c r="R2025" s="22" t="e">
        <f>_xlfn.XLOOKUP(Tabla1[[#This Row],[Ean Normalizado]],tabla_consumos[EAN],tabla_consumos[UM])</f>
        <v>#VALUE!</v>
      </c>
      <c r="S2025" s="22" t="e">
        <f>Tabla1[[#This Row],[StockDisp]]*Tabla1[[#This Row],[UM producto]]</f>
        <v>#VALUE!</v>
      </c>
    </row>
    <row r="2026" spans="1:19" x14ac:dyDescent="0.35">
      <c r="A2026" s="5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6"/>
      <c r="P2026" s="23" t="e">
        <f>TRIM(Tabla1[[#This Row],[Articulo]])</f>
        <v>#VALUE!</v>
      </c>
      <c r="Q2026" s="23" t="e">
        <f>_xlfn.XLOOKUP(Tabla1[[#This Row],[Ean Normalizado]],Consumos!A:A,Consumos!E:E)</f>
        <v>#VALUE!</v>
      </c>
      <c r="R2026" s="22" t="e">
        <f>_xlfn.XLOOKUP(Tabla1[[#This Row],[Ean Normalizado]],tabla_consumos[EAN],tabla_consumos[UM])</f>
        <v>#VALUE!</v>
      </c>
      <c r="S2026" s="22" t="e">
        <f>Tabla1[[#This Row],[StockDisp]]*Tabla1[[#This Row],[UM producto]]</f>
        <v>#VALUE!</v>
      </c>
    </row>
    <row r="2027" spans="1:19" x14ac:dyDescent="0.35">
      <c r="A2027" s="5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6"/>
      <c r="P2027" s="23" t="e">
        <f>TRIM(Tabla1[[#This Row],[Articulo]])</f>
        <v>#VALUE!</v>
      </c>
      <c r="Q2027" s="23" t="e">
        <f>_xlfn.XLOOKUP(Tabla1[[#This Row],[Ean Normalizado]],Consumos!A:A,Consumos!E:E)</f>
        <v>#VALUE!</v>
      </c>
      <c r="R2027" s="22" t="e">
        <f>_xlfn.XLOOKUP(Tabla1[[#This Row],[Ean Normalizado]],tabla_consumos[EAN],tabla_consumos[UM])</f>
        <v>#VALUE!</v>
      </c>
      <c r="S2027" s="22" t="e">
        <f>Tabla1[[#This Row],[StockDisp]]*Tabla1[[#This Row],[UM producto]]</f>
        <v>#VALUE!</v>
      </c>
    </row>
    <row r="2028" spans="1:19" x14ac:dyDescent="0.35">
      <c r="A2028" s="5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6"/>
      <c r="P2028" s="23" t="e">
        <f>TRIM(Tabla1[[#This Row],[Articulo]])</f>
        <v>#VALUE!</v>
      </c>
      <c r="Q2028" s="23" t="e">
        <f>_xlfn.XLOOKUP(Tabla1[[#This Row],[Ean Normalizado]],Consumos!A:A,Consumos!E:E)</f>
        <v>#VALUE!</v>
      </c>
      <c r="R2028" s="22" t="e">
        <f>_xlfn.XLOOKUP(Tabla1[[#This Row],[Ean Normalizado]],tabla_consumos[EAN],tabla_consumos[UM])</f>
        <v>#VALUE!</v>
      </c>
      <c r="S2028" s="22" t="e">
        <f>Tabla1[[#This Row],[StockDisp]]*Tabla1[[#This Row],[UM producto]]</f>
        <v>#VALUE!</v>
      </c>
    </row>
    <row r="2029" spans="1:19" x14ac:dyDescent="0.35">
      <c r="A2029" s="5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6"/>
      <c r="P2029" s="23" t="e">
        <f>TRIM(Tabla1[[#This Row],[Articulo]])</f>
        <v>#VALUE!</v>
      </c>
      <c r="Q2029" s="23" t="e">
        <f>_xlfn.XLOOKUP(Tabla1[[#This Row],[Ean Normalizado]],Consumos!A:A,Consumos!E:E)</f>
        <v>#VALUE!</v>
      </c>
      <c r="R2029" s="22" t="e">
        <f>_xlfn.XLOOKUP(Tabla1[[#This Row],[Ean Normalizado]],tabla_consumos[EAN],tabla_consumos[UM])</f>
        <v>#VALUE!</v>
      </c>
      <c r="S2029" s="22" t="e">
        <f>Tabla1[[#This Row],[StockDisp]]*Tabla1[[#This Row],[UM producto]]</f>
        <v>#VALUE!</v>
      </c>
    </row>
    <row r="2030" spans="1:19" x14ac:dyDescent="0.35">
      <c r="A2030" s="5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6"/>
      <c r="P2030" s="23" t="e">
        <f>TRIM(Tabla1[[#This Row],[Articulo]])</f>
        <v>#VALUE!</v>
      </c>
      <c r="Q2030" s="23" t="e">
        <f>_xlfn.XLOOKUP(Tabla1[[#This Row],[Ean Normalizado]],Consumos!A:A,Consumos!E:E)</f>
        <v>#VALUE!</v>
      </c>
      <c r="R2030" s="22" t="e">
        <f>_xlfn.XLOOKUP(Tabla1[[#This Row],[Ean Normalizado]],tabla_consumos[EAN],tabla_consumos[UM])</f>
        <v>#VALUE!</v>
      </c>
      <c r="S2030" s="22" t="e">
        <f>Tabla1[[#This Row],[StockDisp]]*Tabla1[[#This Row],[UM producto]]</f>
        <v>#VALUE!</v>
      </c>
    </row>
    <row r="2031" spans="1:19" x14ac:dyDescent="0.35">
      <c r="A2031" s="5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6"/>
      <c r="P2031" s="23" t="e">
        <f>TRIM(Tabla1[[#This Row],[Articulo]])</f>
        <v>#VALUE!</v>
      </c>
      <c r="Q2031" s="23" t="e">
        <f>_xlfn.XLOOKUP(Tabla1[[#This Row],[Ean Normalizado]],Consumos!A:A,Consumos!E:E)</f>
        <v>#VALUE!</v>
      </c>
      <c r="R2031" s="22" t="e">
        <f>_xlfn.XLOOKUP(Tabla1[[#This Row],[Ean Normalizado]],tabla_consumos[EAN],tabla_consumos[UM])</f>
        <v>#VALUE!</v>
      </c>
      <c r="S2031" s="22" t="e">
        <f>Tabla1[[#This Row],[StockDisp]]*Tabla1[[#This Row],[UM producto]]</f>
        <v>#VALUE!</v>
      </c>
    </row>
    <row r="2032" spans="1:19" x14ac:dyDescent="0.35">
      <c r="A2032" s="5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6"/>
      <c r="P2032" s="23" t="e">
        <f>TRIM(Tabla1[[#This Row],[Articulo]])</f>
        <v>#VALUE!</v>
      </c>
      <c r="Q2032" s="23" t="e">
        <f>_xlfn.XLOOKUP(Tabla1[[#This Row],[Ean Normalizado]],Consumos!A:A,Consumos!E:E)</f>
        <v>#VALUE!</v>
      </c>
      <c r="R2032" s="22" t="e">
        <f>_xlfn.XLOOKUP(Tabla1[[#This Row],[Ean Normalizado]],tabla_consumos[EAN],tabla_consumos[UM])</f>
        <v>#VALUE!</v>
      </c>
      <c r="S2032" s="22" t="e">
        <f>Tabla1[[#This Row],[StockDisp]]*Tabla1[[#This Row],[UM producto]]</f>
        <v>#VALUE!</v>
      </c>
    </row>
    <row r="2033" spans="1:19" x14ac:dyDescent="0.35">
      <c r="A2033" s="5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6"/>
      <c r="P2033" s="23" t="e">
        <f>TRIM(Tabla1[[#This Row],[Articulo]])</f>
        <v>#VALUE!</v>
      </c>
      <c r="Q2033" s="23" t="e">
        <f>_xlfn.XLOOKUP(Tabla1[[#This Row],[Ean Normalizado]],Consumos!A:A,Consumos!E:E)</f>
        <v>#VALUE!</v>
      </c>
      <c r="R2033" s="22" t="e">
        <f>_xlfn.XLOOKUP(Tabla1[[#This Row],[Ean Normalizado]],tabla_consumos[EAN],tabla_consumos[UM])</f>
        <v>#VALUE!</v>
      </c>
      <c r="S2033" s="22" t="e">
        <f>Tabla1[[#This Row],[StockDisp]]*Tabla1[[#This Row],[UM producto]]</f>
        <v>#VALUE!</v>
      </c>
    </row>
    <row r="2034" spans="1:19" x14ac:dyDescent="0.35">
      <c r="A2034" s="5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6"/>
      <c r="P2034" s="23" t="e">
        <f>TRIM(Tabla1[[#This Row],[Articulo]])</f>
        <v>#VALUE!</v>
      </c>
      <c r="Q2034" s="23" t="e">
        <f>_xlfn.XLOOKUP(Tabla1[[#This Row],[Ean Normalizado]],Consumos!A:A,Consumos!E:E)</f>
        <v>#VALUE!</v>
      </c>
      <c r="R2034" s="22" t="e">
        <f>_xlfn.XLOOKUP(Tabla1[[#This Row],[Ean Normalizado]],tabla_consumos[EAN],tabla_consumos[UM])</f>
        <v>#VALUE!</v>
      </c>
      <c r="S2034" s="22" t="e">
        <f>Tabla1[[#This Row],[StockDisp]]*Tabla1[[#This Row],[UM producto]]</f>
        <v>#VALUE!</v>
      </c>
    </row>
    <row r="2035" spans="1:19" x14ac:dyDescent="0.35">
      <c r="A2035" s="5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6"/>
      <c r="P2035" s="23" t="e">
        <f>TRIM(Tabla1[[#This Row],[Articulo]])</f>
        <v>#VALUE!</v>
      </c>
      <c r="Q2035" s="23" t="e">
        <f>_xlfn.XLOOKUP(Tabla1[[#This Row],[Ean Normalizado]],Consumos!A:A,Consumos!E:E)</f>
        <v>#VALUE!</v>
      </c>
      <c r="R2035" s="22" t="e">
        <f>_xlfn.XLOOKUP(Tabla1[[#This Row],[Ean Normalizado]],tabla_consumos[EAN],tabla_consumos[UM])</f>
        <v>#VALUE!</v>
      </c>
      <c r="S2035" s="22" t="e">
        <f>Tabla1[[#This Row],[StockDisp]]*Tabla1[[#This Row],[UM producto]]</f>
        <v>#VALUE!</v>
      </c>
    </row>
    <row r="2036" spans="1:19" x14ac:dyDescent="0.35">
      <c r="A2036" s="5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6"/>
      <c r="P2036" s="23" t="e">
        <f>TRIM(Tabla1[[#This Row],[Articulo]])</f>
        <v>#VALUE!</v>
      </c>
      <c r="Q2036" s="23" t="e">
        <f>_xlfn.XLOOKUP(Tabla1[[#This Row],[Ean Normalizado]],Consumos!A:A,Consumos!E:E)</f>
        <v>#VALUE!</v>
      </c>
      <c r="R2036" s="22" t="e">
        <f>_xlfn.XLOOKUP(Tabla1[[#This Row],[Ean Normalizado]],tabla_consumos[EAN],tabla_consumos[UM])</f>
        <v>#VALUE!</v>
      </c>
      <c r="S2036" s="22" t="e">
        <f>Tabla1[[#This Row],[StockDisp]]*Tabla1[[#This Row],[UM producto]]</f>
        <v>#VALUE!</v>
      </c>
    </row>
    <row r="2037" spans="1:19" x14ac:dyDescent="0.35">
      <c r="A2037" s="5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6"/>
      <c r="P2037" s="23" t="e">
        <f>TRIM(Tabla1[[#This Row],[Articulo]])</f>
        <v>#VALUE!</v>
      </c>
      <c r="Q2037" s="23" t="e">
        <f>_xlfn.XLOOKUP(Tabla1[[#This Row],[Ean Normalizado]],Consumos!A:A,Consumos!E:E)</f>
        <v>#VALUE!</v>
      </c>
      <c r="R2037" s="22" t="e">
        <f>_xlfn.XLOOKUP(Tabla1[[#This Row],[Ean Normalizado]],tabla_consumos[EAN],tabla_consumos[UM])</f>
        <v>#VALUE!</v>
      </c>
      <c r="S2037" s="22" t="e">
        <f>Tabla1[[#This Row],[StockDisp]]*Tabla1[[#This Row],[UM producto]]</f>
        <v>#VALUE!</v>
      </c>
    </row>
    <row r="2038" spans="1:19" x14ac:dyDescent="0.35">
      <c r="A2038" s="5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6"/>
      <c r="P2038" s="23" t="e">
        <f>TRIM(Tabla1[[#This Row],[Articulo]])</f>
        <v>#VALUE!</v>
      </c>
      <c r="Q2038" s="23" t="e">
        <f>_xlfn.XLOOKUP(Tabla1[[#This Row],[Ean Normalizado]],Consumos!A:A,Consumos!E:E)</f>
        <v>#VALUE!</v>
      </c>
      <c r="R2038" s="22" t="e">
        <f>_xlfn.XLOOKUP(Tabla1[[#This Row],[Ean Normalizado]],tabla_consumos[EAN],tabla_consumos[UM])</f>
        <v>#VALUE!</v>
      </c>
      <c r="S2038" s="22" t="e">
        <f>Tabla1[[#This Row],[StockDisp]]*Tabla1[[#This Row],[UM producto]]</f>
        <v>#VALUE!</v>
      </c>
    </row>
    <row r="2039" spans="1:19" x14ac:dyDescent="0.35">
      <c r="A2039" s="5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6"/>
      <c r="P2039" s="23" t="e">
        <f>TRIM(Tabla1[[#This Row],[Articulo]])</f>
        <v>#VALUE!</v>
      </c>
      <c r="Q2039" s="23" t="e">
        <f>_xlfn.XLOOKUP(Tabla1[[#This Row],[Ean Normalizado]],Consumos!A:A,Consumos!E:E)</f>
        <v>#VALUE!</v>
      </c>
      <c r="R2039" s="22" t="e">
        <f>_xlfn.XLOOKUP(Tabla1[[#This Row],[Ean Normalizado]],tabla_consumos[EAN],tabla_consumos[UM])</f>
        <v>#VALUE!</v>
      </c>
      <c r="S2039" s="22" t="e">
        <f>Tabla1[[#This Row],[StockDisp]]*Tabla1[[#This Row],[UM producto]]</f>
        <v>#VALUE!</v>
      </c>
    </row>
    <row r="2040" spans="1:19" x14ac:dyDescent="0.35">
      <c r="A2040" s="5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6"/>
      <c r="P2040" s="23" t="e">
        <f>TRIM(Tabla1[[#This Row],[Articulo]])</f>
        <v>#VALUE!</v>
      </c>
      <c r="Q2040" s="23" t="e">
        <f>_xlfn.XLOOKUP(Tabla1[[#This Row],[Ean Normalizado]],Consumos!A:A,Consumos!E:E)</f>
        <v>#VALUE!</v>
      </c>
      <c r="R2040" s="22" t="e">
        <f>_xlfn.XLOOKUP(Tabla1[[#This Row],[Ean Normalizado]],tabla_consumos[EAN],tabla_consumos[UM])</f>
        <v>#VALUE!</v>
      </c>
      <c r="S2040" s="22" t="e">
        <f>Tabla1[[#This Row],[StockDisp]]*Tabla1[[#This Row],[UM producto]]</f>
        <v>#VALUE!</v>
      </c>
    </row>
    <row r="2041" spans="1:19" x14ac:dyDescent="0.35">
      <c r="A2041" s="5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6"/>
      <c r="P2041" s="23" t="e">
        <f>TRIM(Tabla1[[#This Row],[Articulo]])</f>
        <v>#VALUE!</v>
      </c>
      <c r="Q2041" s="23" t="e">
        <f>_xlfn.XLOOKUP(Tabla1[[#This Row],[Ean Normalizado]],Consumos!A:A,Consumos!E:E)</f>
        <v>#VALUE!</v>
      </c>
      <c r="R2041" s="22" t="e">
        <f>_xlfn.XLOOKUP(Tabla1[[#This Row],[Ean Normalizado]],tabla_consumos[EAN],tabla_consumos[UM])</f>
        <v>#VALUE!</v>
      </c>
      <c r="S2041" s="22" t="e">
        <f>Tabla1[[#This Row],[StockDisp]]*Tabla1[[#This Row],[UM producto]]</f>
        <v>#VALUE!</v>
      </c>
    </row>
    <row r="2042" spans="1:19" x14ac:dyDescent="0.35">
      <c r="A2042" s="5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6"/>
      <c r="P2042" s="23" t="e">
        <f>TRIM(Tabla1[[#This Row],[Articulo]])</f>
        <v>#VALUE!</v>
      </c>
      <c r="Q2042" s="23" t="e">
        <f>_xlfn.XLOOKUP(Tabla1[[#This Row],[Ean Normalizado]],Consumos!A:A,Consumos!E:E)</f>
        <v>#VALUE!</v>
      </c>
      <c r="R2042" s="22" t="e">
        <f>_xlfn.XLOOKUP(Tabla1[[#This Row],[Ean Normalizado]],tabla_consumos[EAN],tabla_consumos[UM])</f>
        <v>#VALUE!</v>
      </c>
      <c r="S2042" s="22" t="e">
        <f>Tabla1[[#This Row],[StockDisp]]*Tabla1[[#This Row],[UM producto]]</f>
        <v>#VALUE!</v>
      </c>
    </row>
    <row r="2043" spans="1:19" x14ac:dyDescent="0.35">
      <c r="A2043" s="5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6"/>
      <c r="P2043" s="23" t="e">
        <f>TRIM(Tabla1[[#This Row],[Articulo]])</f>
        <v>#VALUE!</v>
      </c>
      <c r="Q2043" s="23" t="e">
        <f>_xlfn.XLOOKUP(Tabla1[[#This Row],[Ean Normalizado]],Consumos!A:A,Consumos!E:E)</f>
        <v>#VALUE!</v>
      </c>
      <c r="R2043" s="22" t="e">
        <f>_xlfn.XLOOKUP(Tabla1[[#This Row],[Ean Normalizado]],tabla_consumos[EAN],tabla_consumos[UM])</f>
        <v>#VALUE!</v>
      </c>
      <c r="S2043" s="22" t="e">
        <f>Tabla1[[#This Row],[StockDisp]]*Tabla1[[#This Row],[UM producto]]</f>
        <v>#VALUE!</v>
      </c>
    </row>
    <row r="2044" spans="1:19" x14ac:dyDescent="0.35">
      <c r="A2044" s="5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6"/>
      <c r="P2044" s="23" t="e">
        <f>TRIM(Tabla1[[#This Row],[Articulo]])</f>
        <v>#VALUE!</v>
      </c>
      <c r="Q2044" s="23" t="e">
        <f>_xlfn.XLOOKUP(Tabla1[[#This Row],[Ean Normalizado]],Consumos!A:A,Consumos!E:E)</f>
        <v>#VALUE!</v>
      </c>
      <c r="R2044" s="22" t="e">
        <f>_xlfn.XLOOKUP(Tabla1[[#This Row],[Ean Normalizado]],tabla_consumos[EAN],tabla_consumos[UM])</f>
        <v>#VALUE!</v>
      </c>
      <c r="S2044" s="22" t="e">
        <f>Tabla1[[#This Row],[StockDisp]]*Tabla1[[#This Row],[UM producto]]</f>
        <v>#VALUE!</v>
      </c>
    </row>
    <row r="2045" spans="1:19" x14ac:dyDescent="0.35">
      <c r="A2045" s="5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6"/>
      <c r="P2045" s="23" t="e">
        <f>TRIM(Tabla1[[#This Row],[Articulo]])</f>
        <v>#VALUE!</v>
      </c>
      <c r="Q2045" s="23" t="e">
        <f>_xlfn.XLOOKUP(Tabla1[[#This Row],[Ean Normalizado]],Consumos!A:A,Consumos!E:E)</f>
        <v>#VALUE!</v>
      </c>
      <c r="R2045" s="22" t="e">
        <f>_xlfn.XLOOKUP(Tabla1[[#This Row],[Ean Normalizado]],tabla_consumos[EAN],tabla_consumos[UM])</f>
        <v>#VALUE!</v>
      </c>
      <c r="S2045" s="22" t="e">
        <f>Tabla1[[#This Row],[StockDisp]]*Tabla1[[#This Row],[UM producto]]</f>
        <v>#VALUE!</v>
      </c>
    </row>
    <row r="2046" spans="1:19" x14ac:dyDescent="0.35">
      <c r="A2046" s="5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6"/>
      <c r="P2046" s="23" t="e">
        <f>TRIM(Tabla1[[#This Row],[Articulo]])</f>
        <v>#VALUE!</v>
      </c>
      <c r="Q2046" s="23" t="e">
        <f>_xlfn.XLOOKUP(Tabla1[[#This Row],[Ean Normalizado]],Consumos!A:A,Consumos!E:E)</f>
        <v>#VALUE!</v>
      </c>
      <c r="R2046" s="22" t="e">
        <f>_xlfn.XLOOKUP(Tabla1[[#This Row],[Ean Normalizado]],tabla_consumos[EAN],tabla_consumos[UM])</f>
        <v>#VALUE!</v>
      </c>
      <c r="S2046" s="22" t="e">
        <f>Tabla1[[#This Row],[StockDisp]]*Tabla1[[#This Row],[UM producto]]</f>
        <v>#VALUE!</v>
      </c>
    </row>
    <row r="2047" spans="1:19" x14ac:dyDescent="0.35">
      <c r="A2047" s="5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6"/>
      <c r="P2047" s="23" t="e">
        <f>TRIM(Tabla1[[#This Row],[Articulo]])</f>
        <v>#VALUE!</v>
      </c>
      <c r="Q2047" s="23" t="e">
        <f>_xlfn.XLOOKUP(Tabla1[[#This Row],[Ean Normalizado]],Consumos!A:A,Consumos!E:E)</f>
        <v>#VALUE!</v>
      </c>
      <c r="R2047" s="22" t="e">
        <f>_xlfn.XLOOKUP(Tabla1[[#This Row],[Ean Normalizado]],tabla_consumos[EAN],tabla_consumos[UM])</f>
        <v>#VALUE!</v>
      </c>
      <c r="S2047" s="22" t="e">
        <f>Tabla1[[#This Row],[StockDisp]]*Tabla1[[#This Row],[UM producto]]</f>
        <v>#VALUE!</v>
      </c>
    </row>
    <row r="2048" spans="1:19" x14ac:dyDescent="0.35">
      <c r="A2048" s="5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6"/>
      <c r="P2048" s="23" t="e">
        <f>TRIM(Tabla1[[#This Row],[Articulo]])</f>
        <v>#VALUE!</v>
      </c>
      <c r="Q2048" s="23" t="e">
        <f>_xlfn.XLOOKUP(Tabla1[[#This Row],[Ean Normalizado]],Consumos!A:A,Consumos!E:E)</f>
        <v>#VALUE!</v>
      </c>
      <c r="R2048" s="22" t="e">
        <f>_xlfn.XLOOKUP(Tabla1[[#This Row],[Ean Normalizado]],tabla_consumos[EAN],tabla_consumos[UM])</f>
        <v>#VALUE!</v>
      </c>
      <c r="S2048" s="22" t="e">
        <f>Tabla1[[#This Row],[StockDisp]]*Tabla1[[#This Row],[UM producto]]</f>
        <v>#VALUE!</v>
      </c>
    </row>
    <row r="2049" spans="1:19" x14ac:dyDescent="0.35">
      <c r="A2049" s="5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6"/>
      <c r="P2049" s="23" t="e">
        <f>TRIM(Tabla1[[#This Row],[Articulo]])</f>
        <v>#VALUE!</v>
      </c>
      <c r="Q2049" s="23" t="e">
        <f>_xlfn.XLOOKUP(Tabla1[[#This Row],[Ean Normalizado]],Consumos!A:A,Consumos!E:E)</f>
        <v>#VALUE!</v>
      </c>
      <c r="R2049" s="22" t="e">
        <f>_xlfn.XLOOKUP(Tabla1[[#This Row],[Ean Normalizado]],tabla_consumos[EAN],tabla_consumos[UM])</f>
        <v>#VALUE!</v>
      </c>
      <c r="S2049" s="22" t="e">
        <f>Tabla1[[#This Row],[StockDisp]]*Tabla1[[#This Row],[UM producto]]</f>
        <v>#VALUE!</v>
      </c>
    </row>
    <row r="2050" spans="1:19" x14ac:dyDescent="0.35">
      <c r="A2050" s="5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6"/>
      <c r="P2050" s="23" t="e">
        <f>TRIM(Tabla1[[#This Row],[Articulo]])</f>
        <v>#VALUE!</v>
      </c>
      <c r="Q2050" s="23" t="e">
        <f>_xlfn.XLOOKUP(Tabla1[[#This Row],[Ean Normalizado]],Consumos!A:A,Consumos!E:E)</f>
        <v>#VALUE!</v>
      </c>
      <c r="R2050" s="22" t="e">
        <f>_xlfn.XLOOKUP(Tabla1[[#This Row],[Ean Normalizado]],tabla_consumos[EAN],tabla_consumos[UM])</f>
        <v>#VALUE!</v>
      </c>
      <c r="S2050" s="22" t="e">
        <f>Tabla1[[#This Row],[StockDisp]]*Tabla1[[#This Row],[UM producto]]</f>
        <v>#VALUE!</v>
      </c>
    </row>
    <row r="2051" spans="1:19" x14ac:dyDescent="0.35">
      <c r="A2051" s="5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6"/>
      <c r="P2051" s="23" t="e">
        <f>TRIM(Tabla1[[#This Row],[Articulo]])</f>
        <v>#VALUE!</v>
      </c>
      <c r="Q2051" s="23" t="e">
        <f>_xlfn.XLOOKUP(Tabla1[[#This Row],[Ean Normalizado]],Consumos!A:A,Consumos!E:E)</f>
        <v>#VALUE!</v>
      </c>
      <c r="R2051" s="22" t="e">
        <f>_xlfn.XLOOKUP(Tabla1[[#This Row],[Ean Normalizado]],tabla_consumos[EAN],tabla_consumos[UM])</f>
        <v>#VALUE!</v>
      </c>
      <c r="S2051" s="22" t="e">
        <f>Tabla1[[#This Row],[StockDisp]]*Tabla1[[#This Row],[UM producto]]</f>
        <v>#VALUE!</v>
      </c>
    </row>
    <row r="2052" spans="1:19" x14ac:dyDescent="0.35">
      <c r="A2052" s="5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6"/>
      <c r="P2052" s="23" t="e">
        <f>TRIM(Tabla1[[#This Row],[Articulo]])</f>
        <v>#VALUE!</v>
      </c>
      <c r="Q2052" s="23" t="e">
        <f>_xlfn.XLOOKUP(Tabla1[[#This Row],[Ean Normalizado]],Consumos!A:A,Consumos!E:E)</f>
        <v>#VALUE!</v>
      </c>
      <c r="R2052" s="22" t="e">
        <f>_xlfn.XLOOKUP(Tabla1[[#This Row],[Ean Normalizado]],tabla_consumos[EAN],tabla_consumos[UM])</f>
        <v>#VALUE!</v>
      </c>
      <c r="S2052" s="22" t="e">
        <f>Tabla1[[#This Row],[StockDisp]]*Tabla1[[#This Row],[UM producto]]</f>
        <v>#VALUE!</v>
      </c>
    </row>
    <row r="2053" spans="1:19" x14ac:dyDescent="0.35">
      <c r="A2053" s="5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6"/>
      <c r="P2053" s="23" t="e">
        <f>TRIM(Tabla1[[#This Row],[Articulo]])</f>
        <v>#VALUE!</v>
      </c>
      <c r="Q2053" s="23" t="e">
        <f>_xlfn.XLOOKUP(Tabla1[[#This Row],[Ean Normalizado]],Consumos!A:A,Consumos!E:E)</f>
        <v>#VALUE!</v>
      </c>
      <c r="R2053" s="22" t="e">
        <f>_xlfn.XLOOKUP(Tabla1[[#This Row],[Ean Normalizado]],tabla_consumos[EAN],tabla_consumos[UM])</f>
        <v>#VALUE!</v>
      </c>
      <c r="S2053" s="22" t="e">
        <f>Tabla1[[#This Row],[StockDisp]]*Tabla1[[#This Row],[UM producto]]</f>
        <v>#VALUE!</v>
      </c>
    </row>
    <row r="2054" spans="1:19" x14ac:dyDescent="0.35">
      <c r="A2054" s="5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6"/>
      <c r="P2054" s="23" t="e">
        <f>TRIM(Tabla1[[#This Row],[Articulo]])</f>
        <v>#VALUE!</v>
      </c>
      <c r="Q2054" s="23" t="e">
        <f>_xlfn.XLOOKUP(Tabla1[[#This Row],[Ean Normalizado]],Consumos!A:A,Consumos!E:E)</f>
        <v>#VALUE!</v>
      </c>
      <c r="R2054" s="22" t="e">
        <f>_xlfn.XLOOKUP(Tabla1[[#This Row],[Ean Normalizado]],tabla_consumos[EAN],tabla_consumos[UM])</f>
        <v>#VALUE!</v>
      </c>
      <c r="S2054" s="22" t="e">
        <f>Tabla1[[#This Row],[StockDisp]]*Tabla1[[#This Row],[UM producto]]</f>
        <v>#VALUE!</v>
      </c>
    </row>
    <row r="2055" spans="1:19" x14ac:dyDescent="0.35">
      <c r="A2055" s="5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6"/>
      <c r="P2055" s="23" t="e">
        <f>TRIM(Tabla1[[#This Row],[Articulo]])</f>
        <v>#VALUE!</v>
      </c>
      <c r="Q2055" s="23" t="e">
        <f>_xlfn.XLOOKUP(Tabla1[[#This Row],[Ean Normalizado]],Consumos!A:A,Consumos!E:E)</f>
        <v>#VALUE!</v>
      </c>
      <c r="R2055" s="22" t="e">
        <f>_xlfn.XLOOKUP(Tabla1[[#This Row],[Ean Normalizado]],tabla_consumos[EAN],tabla_consumos[UM])</f>
        <v>#VALUE!</v>
      </c>
      <c r="S2055" s="22" t="e">
        <f>Tabla1[[#This Row],[StockDisp]]*Tabla1[[#This Row],[UM producto]]</f>
        <v>#VALUE!</v>
      </c>
    </row>
    <row r="2056" spans="1:19" x14ac:dyDescent="0.35">
      <c r="A2056" s="5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6"/>
      <c r="P2056" s="23" t="e">
        <f>TRIM(Tabla1[[#This Row],[Articulo]])</f>
        <v>#VALUE!</v>
      </c>
      <c r="Q2056" s="23" t="e">
        <f>_xlfn.XLOOKUP(Tabla1[[#This Row],[Ean Normalizado]],Consumos!A:A,Consumos!E:E)</f>
        <v>#VALUE!</v>
      </c>
      <c r="R2056" s="22" t="e">
        <f>_xlfn.XLOOKUP(Tabla1[[#This Row],[Ean Normalizado]],tabla_consumos[EAN],tabla_consumos[UM])</f>
        <v>#VALUE!</v>
      </c>
      <c r="S2056" s="22" t="e">
        <f>Tabla1[[#This Row],[StockDisp]]*Tabla1[[#This Row],[UM producto]]</f>
        <v>#VALUE!</v>
      </c>
    </row>
    <row r="2057" spans="1:19" x14ac:dyDescent="0.35">
      <c r="A2057" s="5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6"/>
      <c r="P2057" s="23" t="e">
        <f>TRIM(Tabla1[[#This Row],[Articulo]])</f>
        <v>#VALUE!</v>
      </c>
      <c r="Q2057" s="23" t="e">
        <f>_xlfn.XLOOKUP(Tabla1[[#This Row],[Ean Normalizado]],Consumos!A:A,Consumos!E:E)</f>
        <v>#VALUE!</v>
      </c>
      <c r="R2057" s="22" t="e">
        <f>_xlfn.XLOOKUP(Tabla1[[#This Row],[Ean Normalizado]],tabla_consumos[EAN],tabla_consumos[UM])</f>
        <v>#VALUE!</v>
      </c>
      <c r="S2057" s="22" t="e">
        <f>Tabla1[[#This Row],[StockDisp]]*Tabla1[[#This Row],[UM producto]]</f>
        <v>#VALUE!</v>
      </c>
    </row>
    <row r="2058" spans="1:19" x14ac:dyDescent="0.35">
      <c r="A2058" s="5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6"/>
      <c r="P2058" s="23" t="e">
        <f>TRIM(Tabla1[[#This Row],[Articulo]])</f>
        <v>#VALUE!</v>
      </c>
      <c r="Q2058" s="23" t="e">
        <f>_xlfn.XLOOKUP(Tabla1[[#This Row],[Ean Normalizado]],Consumos!A:A,Consumos!E:E)</f>
        <v>#VALUE!</v>
      </c>
      <c r="R2058" s="22" t="e">
        <f>_xlfn.XLOOKUP(Tabla1[[#This Row],[Ean Normalizado]],tabla_consumos[EAN],tabla_consumos[UM])</f>
        <v>#VALUE!</v>
      </c>
      <c r="S2058" s="22" t="e">
        <f>Tabla1[[#This Row],[StockDisp]]*Tabla1[[#This Row],[UM producto]]</f>
        <v>#VALUE!</v>
      </c>
    </row>
    <row r="2059" spans="1:19" x14ac:dyDescent="0.35">
      <c r="A2059" s="5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6"/>
      <c r="P2059" s="23" t="e">
        <f>TRIM(Tabla1[[#This Row],[Articulo]])</f>
        <v>#VALUE!</v>
      </c>
      <c r="Q2059" s="23" t="e">
        <f>_xlfn.XLOOKUP(Tabla1[[#This Row],[Ean Normalizado]],Consumos!A:A,Consumos!E:E)</f>
        <v>#VALUE!</v>
      </c>
      <c r="R2059" s="22" t="e">
        <f>_xlfn.XLOOKUP(Tabla1[[#This Row],[Ean Normalizado]],tabla_consumos[EAN],tabla_consumos[UM])</f>
        <v>#VALUE!</v>
      </c>
      <c r="S2059" s="22" t="e">
        <f>Tabla1[[#This Row],[StockDisp]]*Tabla1[[#This Row],[UM producto]]</f>
        <v>#VALUE!</v>
      </c>
    </row>
    <row r="2060" spans="1:19" x14ac:dyDescent="0.35">
      <c r="A2060" s="5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6"/>
      <c r="P2060" s="23" t="e">
        <f>TRIM(Tabla1[[#This Row],[Articulo]])</f>
        <v>#VALUE!</v>
      </c>
      <c r="Q2060" s="23" t="e">
        <f>_xlfn.XLOOKUP(Tabla1[[#This Row],[Ean Normalizado]],Consumos!A:A,Consumos!E:E)</f>
        <v>#VALUE!</v>
      </c>
      <c r="R2060" s="22" t="e">
        <f>_xlfn.XLOOKUP(Tabla1[[#This Row],[Ean Normalizado]],tabla_consumos[EAN],tabla_consumos[UM])</f>
        <v>#VALUE!</v>
      </c>
      <c r="S2060" s="22" t="e">
        <f>Tabla1[[#This Row],[StockDisp]]*Tabla1[[#This Row],[UM producto]]</f>
        <v>#VALUE!</v>
      </c>
    </row>
    <row r="2061" spans="1:19" x14ac:dyDescent="0.35">
      <c r="A2061" s="5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6"/>
      <c r="P2061" s="23" t="e">
        <f>TRIM(Tabla1[[#This Row],[Articulo]])</f>
        <v>#VALUE!</v>
      </c>
      <c r="Q2061" s="23" t="e">
        <f>_xlfn.XLOOKUP(Tabla1[[#This Row],[Ean Normalizado]],Consumos!A:A,Consumos!E:E)</f>
        <v>#VALUE!</v>
      </c>
      <c r="R2061" s="22" t="e">
        <f>_xlfn.XLOOKUP(Tabla1[[#This Row],[Ean Normalizado]],tabla_consumos[EAN],tabla_consumos[UM])</f>
        <v>#VALUE!</v>
      </c>
      <c r="S2061" s="22" t="e">
        <f>Tabla1[[#This Row],[StockDisp]]*Tabla1[[#This Row],[UM producto]]</f>
        <v>#VALUE!</v>
      </c>
    </row>
    <row r="2062" spans="1:19" x14ac:dyDescent="0.35">
      <c r="A2062" s="5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6"/>
      <c r="P2062" s="23" t="e">
        <f>TRIM(Tabla1[[#This Row],[Articulo]])</f>
        <v>#VALUE!</v>
      </c>
      <c r="Q2062" s="23" t="e">
        <f>_xlfn.XLOOKUP(Tabla1[[#This Row],[Ean Normalizado]],Consumos!A:A,Consumos!E:E)</f>
        <v>#VALUE!</v>
      </c>
      <c r="R2062" s="22" t="e">
        <f>_xlfn.XLOOKUP(Tabla1[[#This Row],[Ean Normalizado]],tabla_consumos[EAN],tabla_consumos[UM])</f>
        <v>#VALUE!</v>
      </c>
      <c r="S2062" s="22" t="e">
        <f>Tabla1[[#This Row],[StockDisp]]*Tabla1[[#This Row],[UM producto]]</f>
        <v>#VALUE!</v>
      </c>
    </row>
    <row r="2063" spans="1:19" x14ac:dyDescent="0.35">
      <c r="A2063" s="5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6"/>
      <c r="P2063" s="23" t="e">
        <f>TRIM(Tabla1[[#This Row],[Articulo]])</f>
        <v>#VALUE!</v>
      </c>
      <c r="Q2063" s="23" t="e">
        <f>_xlfn.XLOOKUP(Tabla1[[#This Row],[Ean Normalizado]],Consumos!A:A,Consumos!E:E)</f>
        <v>#VALUE!</v>
      </c>
      <c r="R2063" s="22" t="e">
        <f>_xlfn.XLOOKUP(Tabla1[[#This Row],[Ean Normalizado]],tabla_consumos[EAN],tabla_consumos[UM])</f>
        <v>#VALUE!</v>
      </c>
      <c r="S2063" s="22" t="e">
        <f>Tabla1[[#This Row],[StockDisp]]*Tabla1[[#This Row],[UM producto]]</f>
        <v>#VALUE!</v>
      </c>
    </row>
    <row r="2064" spans="1:19" x14ac:dyDescent="0.35">
      <c r="A2064" s="5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6"/>
      <c r="P2064" s="23" t="e">
        <f>TRIM(Tabla1[[#This Row],[Articulo]])</f>
        <v>#VALUE!</v>
      </c>
      <c r="Q2064" s="23" t="e">
        <f>_xlfn.XLOOKUP(Tabla1[[#This Row],[Ean Normalizado]],Consumos!A:A,Consumos!E:E)</f>
        <v>#VALUE!</v>
      </c>
      <c r="R2064" s="22" t="e">
        <f>_xlfn.XLOOKUP(Tabla1[[#This Row],[Ean Normalizado]],tabla_consumos[EAN],tabla_consumos[UM])</f>
        <v>#VALUE!</v>
      </c>
      <c r="S2064" s="22" t="e">
        <f>Tabla1[[#This Row],[StockDisp]]*Tabla1[[#This Row],[UM producto]]</f>
        <v>#VALUE!</v>
      </c>
    </row>
    <row r="2065" spans="1:19" x14ac:dyDescent="0.35">
      <c r="A2065" s="5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6"/>
      <c r="P2065" s="23" t="e">
        <f>TRIM(Tabla1[[#This Row],[Articulo]])</f>
        <v>#VALUE!</v>
      </c>
      <c r="Q2065" s="23" t="e">
        <f>_xlfn.XLOOKUP(Tabla1[[#This Row],[Ean Normalizado]],Consumos!A:A,Consumos!E:E)</f>
        <v>#VALUE!</v>
      </c>
      <c r="R2065" s="22" t="e">
        <f>_xlfn.XLOOKUP(Tabla1[[#This Row],[Ean Normalizado]],tabla_consumos[EAN],tabla_consumos[UM])</f>
        <v>#VALUE!</v>
      </c>
      <c r="S2065" s="22" t="e">
        <f>Tabla1[[#This Row],[StockDisp]]*Tabla1[[#This Row],[UM producto]]</f>
        <v>#VALUE!</v>
      </c>
    </row>
    <row r="2066" spans="1:19" x14ac:dyDescent="0.35">
      <c r="A2066" s="5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6"/>
      <c r="P2066" s="23" t="e">
        <f>TRIM(Tabla1[[#This Row],[Articulo]])</f>
        <v>#VALUE!</v>
      </c>
      <c r="Q2066" s="23" t="e">
        <f>_xlfn.XLOOKUP(Tabla1[[#This Row],[Ean Normalizado]],Consumos!A:A,Consumos!E:E)</f>
        <v>#VALUE!</v>
      </c>
      <c r="R2066" s="22" t="e">
        <f>_xlfn.XLOOKUP(Tabla1[[#This Row],[Ean Normalizado]],tabla_consumos[EAN],tabla_consumos[UM])</f>
        <v>#VALUE!</v>
      </c>
      <c r="S2066" s="22" t="e">
        <f>Tabla1[[#This Row],[StockDisp]]*Tabla1[[#This Row],[UM producto]]</f>
        <v>#VALUE!</v>
      </c>
    </row>
    <row r="2067" spans="1:19" x14ac:dyDescent="0.35">
      <c r="A2067" s="5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6"/>
      <c r="P2067" s="23" t="e">
        <f>TRIM(Tabla1[[#This Row],[Articulo]])</f>
        <v>#VALUE!</v>
      </c>
      <c r="Q2067" s="23" t="e">
        <f>_xlfn.XLOOKUP(Tabla1[[#This Row],[Ean Normalizado]],Consumos!A:A,Consumos!E:E)</f>
        <v>#VALUE!</v>
      </c>
      <c r="R2067" s="22" t="e">
        <f>_xlfn.XLOOKUP(Tabla1[[#This Row],[Ean Normalizado]],tabla_consumos[EAN],tabla_consumos[UM])</f>
        <v>#VALUE!</v>
      </c>
      <c r="S2067" s="22" t="e">
        <f>Tabla1[[#This Row],[StockDisp]]*Tabla1[[#This Row],[UM producto]]</f>
        <v>#VALUE!</v>
      </c>
    </row>
    <row r="2068" spans="1:19" x14ac:dyDescent="0.35">
      <c r="A2068" s="5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6"/>
      <c r="P2068" s="23" t="e">
        <f>TRIM(Tabla1[[#This Row],[Articulo]])</f>
        <v>#VALUE!</v>
      </c>
      <c r="Q2068" s="23" t="e">
        <f>_xlfn.XLOOKUP(Tabla1[[#This Row],[Ean Normalizado]],Consumos!A:A,Consumos!E:E)</f>
        <v>#VALUE!</v>
      </c>
      <c r="R2068" s="22" t="e">
        <f>_xlfn.XLOOKUP(Tabla1[[#This Row],[Ean Normalizado]],tabla_consumos[EAN],tabla_consumos[UM])</f>
        <v>#VALUE!</v>
      </c>
      <c r="S2068" s="22" t="e">
        <f>Tabla1[[#This Row],[StockDisp]]*Tabla1[[#This Row],[UM producto]]</f>
        <v>#VALUE!</v>
      </c>
    </row>
    <row r="2069" spans="1:19" x14ac:dyDescent="0.35">
      <c r="A2069" s="5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6"/>
      <c r="P2069" s="23" t="e">
        <f>TRIM(Tabla1[[#This Row],[Articulo]])</f>
        <v>#VALUE!</v>
      </c>
      <c r="Q2069" s="23" t="e">
        <f>_xlfn.XLOOKUP(Tabla1[[#This Row],[Ean Normalizado]],Consumos!A:A,Consumos!E:E)</f>
        <v>#VALUE!</v>
      </c>
      <c r="R2069" s="22" t="e">
        <f>_xlfn.XLOOKUP(Tabla1[[#This Row],[Ean Normalizado]],tabla_consumos[EAN],tabla_consumos[UM])</f>
        <v>#VALUE!</v>
      </c>
      <c r="S2069" s="22" t="e">
        <f>Tabla1[[#This Row],[StockDisp]]*Tabla1[[#This Row],[UM producto]]</f>
        <v>#VALUE!</v>
      </c>
    </row>
    <row r="2070" spans="1:19" x14ac:dyDescent="0.35">
      <c r="A2070" s="5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6"/>
      <c r="P2070" s="23" t="e">
        <f>TRIM(Tabla1[[#This Row],[Articulo]])</f>
        <v>#VALUE!</v>
      </c>
      <c r="Q2070" s="23" t="e">
        <f>_xlfn.XLOOKUP(Tabla1[[#This Row],[Ean Normalizado]],Consumos!A:A,Consumos!E:E)</f>
        <v>#VALUE!</v>
      </c>
      <c r="R2070" s="22" t="e">
        <f>_xlfn.XLOOKUP(Tabla1[[#This Row],[Ean Normalizado]],tabla_consumos[EAN],tabla_consumos[UM])</f>
        <v>#VALUE!</v>
      </c>
      <c r="S2070" s="22" t="e">
        <f>Tabla1[[#This Row],[StockDisp]]*Tabla1[[#This Row],[UM producto]]</f>
        <v>#VALUE!</v>
      </c>
    </row>
    <row r="2071" spans="1:19" x14ac:dyDescent="0.35">
      <c r="A2071" s="5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6"/>
      <c r="P2071" s="23" t="e">
        <f>TRIM(Tabla1[[#This Row],[Articulo]])</f>
        <v>#VALUE!</v>
      </c>
      <c r="Q2071" s="23" t="e">
        <f>_xlfn.XLOOKUP(Tabla1[[#This Row],[Ean Normalizado]],Consumos!A:A,Consumos!E:E)</f>
        <v>#VALUE!</v>
      </c>
      <c r="R2071" s="22" t="e">
        <f>_xlfn.XLOOKUP(Tabla1[[#This Row],[Ean Normalizado]],tabla_consumos[EAN],tabla_consumos[UM])</f>
        <v>#VALUE!</v>
      </c>
      <c r="S2071" s="22" t="e">
        <f>Tabla1[[#This Row],[StockDisp]]*Tabla1[[#This Row],[UM producto]]</f>
        <v>#VALUE!</v>
      </c>
    </row>
    <row r="2072" spans="1:19" x14ac:dyDescent="0.35">
      <c r="A2072" s="5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6"/>
      <c r="P2072" s="23" t="e">
        <f>TRIM(Tabla1[[#This Row],[Articulo]])</f>
        <v>#VALUE!</v>
      </c>
      <c r="Q2072" s="23" t="e">
        <f>_xlfn.XLOOKUP(Tabla1[[#This Row],[Ean Normalizado]],Consumos!A:A,Consumos!E:E)</f>
        <v>#VALUE!</v>
      </c>
      <c r="R2072" s="22" t="e">
        <f>_xlfn.XLOOKUP(Tabla1[[#This Row],[Ean Normalizado]],tabla_consumos[EAN],tabla_consumos[UM])</f>
        <v>#VALUE!</v>
      </c>
      <c r="S2072" s="22" t="e">
        <f>Tabla1[[#This Row],[StockDisp]]*Tabla1[[#This Row],[UM producto]]</f>
        <v>#VALUE!</v>
      </c>
    </row>
    <row r="2073" spans="1:19" x14ac:dyDescent="0.35">
      <c r="A2073" s="5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6"/>
      <c r="P2073" s="23" t="e">
        <f>TRIM(Tabla1[[#This Row],[Articulo]])</f>
        <v>#VALUE!</v>
      </c>
      <c r="Q2073" s="23" t="e">
        <f>_xlfn.XLOOKUP(Tabla1[[#This Row],[Ean Normalizado]],Consumos!A:A,Consumos!E:E)</f>
        <v>#VALUE!</v>
      </c>
      <c r="R2073" s="22" t="e">
        <f>_xlfn.XLOOKUP(Tabla1[[#This Row],[Ean Normalizado]],tabla_consumos[EAN],tabla_consumos[UM])</f>
        <v>#VALUE!</v>
      </c>
      <c r="S2073" s="22" t="e">
        <f>Tabla1[[#This Row],[StockDisp]]*Tabla1[[#This Row],[UM producto]]</f>
        <v>#VALUE!</v>
      </c>
    </row>
    <row r="2074" spans="1:19" x14ac:dyDescent="0.35">
      <c r="A2074" s="5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6"/>
      <c r="P2074" s="23" t="e">
        <f>TRIM(Tabla1[[#This Row],[Articulo]])</f>
        <v>#VALUE!</v>
      </c>
      <c r="Q2074" s="23" t="e">
        <f>_xlfn.XLOOKUP(Tabla1[[#This Row],[Ean Normalizado]],Consumos!A:A,Consumos!E:E)</f>
        <v>#VALUE!</v>
      </c>
      <c r="R2074" s="22" t="e">
        <f>_xlfn.XLOOKUP(Tabla1[[#This Row],[Ean Normalizado]],tabla_consumos[EAN],tabla_consumos[UM])</f>
        <v>#VALUE!</v>
      </c>
      <c r="S2074" s="22" t="e">
        <f>Tabla1[[#This Row],[StockDisp]]*Tabla1[[#This Row],[UM producto]]</f>
        <v>#VALUE!</v>
      </c>
    </row>
    <row r="2075" spans="1:19" x14ac:dyDescent="0.35">
      <c r="A2075" s="5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6"/>
      <c r="P2075" s="23" t="e">
        <f>TRIM(Tabla1[[#This Row],[Articulo]])</f>
        <v>#VALUE!</v>
      </c>
      <c r="Q2075" s="23" t="e">
        <f>_xlfn.XLOOKUP(Tabla1[[#This Row],[Ean Normalizado]],Consumos!A:A,Consumos!E:E)</f>
        <v>#VALUE!</v>
      </c>
      <c r="R2075" s="22" t="e">
        <f>_xlfn.XLOOKUP(Tabla1[[#This Row],[Ean Normalizado]],tabla_consumos[EAN],tabla_consumos[UM])</f>
        <v>#VALUE!</v>
      </c>
      <c r="S2075" s="22" t="e">
        <f>Tabla1[[#This Row],[StockDisp]]*Tabla1[[#This Row],[UM producto]]</f>
        <v>#VALUE!</v>
      </c>
    </row>
    <row r="2076" spans="1:19" x14ac:dyDescent="0.35">
      <c r="A2076" s="5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6"/>
      <c r="P2076" s="23" t="e">
        <f>TRIM(Tabla1[[#This Row],[Articulo]])</f>
        <v>#VALUE!</v>
      </c>
      <c r="Q2076" s="23" t="e">
        <f>_xlfn.XLOOKUP(Tabla1[[#This Row],[Ean Normalizado]],Consumos!A:A,Consumos!E:E)</f>
        <v>#VALUE!</v>
      </c>
      <c r="R2076" s="22" t="e">
        <f>_xlfn.XLOOKUP(Tabla1[[#This Row],[Ean Normalizado]],tabla_consumos[EAN],tabla_consumos[UM])</f>
        <v>#VALUE!</v>
      </c>
      <c r="S2076" s="22" t="e">
        <f>Tabla1[[#This Row],[StockDisp]]*Tabla1[[#This Row],[UM producto]]</f>
        <v>#VALUE!</v>
      </c>
    </row>
    <row r="2077" spans="1:19" x14ac:dyDescent="0.35">
      <c r="A2077" s="5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6"/>
      <c r="P2077" s="23" t="e">
        <f>TRIM(Tabla1[[#This Row],[Articulo]])</f>
        <v>#VALUE!</v>
      </c>
      <c r="Q2077" s="23" t="e">
        <f>_xlfn.XLOOKUP(Tabla1[[#This Row],[Ean Normalizado]],Consumos!A:A,Consumos!E:E)</f>
        <v>#VALUE!</v>
      </c>
      <c r="R2077" s="22" t="e">
        <f>_xlfn.XLOOKUP(Tabla1[[#This Row],[Ean Normalizado]],tabla_consumos[EAN],tabla_consumos[UM])</f>
        <v>#VALUE!</v>
      </c>
      <c r="S2077" s="22" t="e">
        <f>Tabla1[[#This Row],[StockDisp]]*Tabla1[[#This Row],[UM producto]]</f>
        <v>#VALUE!</v>
      </c>
    </row>
    <row r="2078" spans="1:19" x14ac:dyDescent="0.35">
      <c r="A2078" s="5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6"/>
      <c r="P2078" s="23" t="e">
        <f>TRIM(Tabla1[[#This Row],[Articulo]])</f>
        <v>#VALUE!</v>
      </c>
      <c r="Q2078" s="23" t="e">
        <f>_xlfn.XLOOKUP(Tabla1[[#This Row],[Ean Normalizado]],Consumos!A:A,Consumos!E:E)</f>
        <v>#VALUE!</v>
      </c>
      <c r="R2078" s="22" t="e">
        <f>_xlfn.XLOOKUP(Tabla1[[#This Row],[Ean Normalizado]],tabla_consumos[EAN],tabla_consumos[UM])</f>
        <v>#VALUE!</v>
      </c>
      <c r="S2078" s="22" t="e">
        <f>Tabla1[[#This Row],[StockDisp]]*Tabla1[[#This Row],[UM producto]]</f>
        <v>#VALUE!</v>
      </c>
    </row>
    <row r="2079" spans="1:19" x14ac:dyDescent="0.35">
      <c r="A2079" s="5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6"/>
      <c r="P2079" s="23" t="e">
        <f>TRIM(Tabla1[[#This Row],[Articulo]])</f>
        <v>#VALUE!</v>
      </c>
      <c r="Q2079" s="23" t="e">
        <f>_xlfn.XLOOKUP(Tabla1[[#This Row],[Ean Normalizado]],Consumos!A:A,Consumos!E:E)</f>
        <v>#VALUE!</v>
      </c>
      <c r="R2079" s="22" t="e">
        <f>_xlfn.XLOOKUP(Tabla1[[#This Row],[Ean Normalizado]],tabla_consumos[EAN],tabla_consumos[UM])</f>
        <v>#VALUE!</v>
      </c>
      <c r="S2079" s="22" t="e">
        <f>Tabla1[[#This Row],[StockDisp]]*Tabla1[[#This Row],[UM producto]]</f>
        <v>#VALUE!</v>
      </c>
    </row>
    <row r="2080" spans="1:19" x14ac:dyDescent="0.35">
      <c r="A2080" s="5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6"/>
      <c r="P2080" s="23" t="e">
        <f>TRIM(Tabla1[[#This Row],[Articulo]])</f>
        <v>#VALUE!</v>
      </c>
      <c r="Q2080" s="23" t="e">
        <f>_xlfn.XLOOKUP(Tabla1[[#This Row],[Ean Normalizado]],Consumos!A:A,Consumos!E:E)</f>
        <v>#VALUE!</v>
      </c>
      <c r="R2080" s="22" t="e">
        <f>_xlfn.XLOOKUP(Tabla1[[#This Row],[Ean Normalizado]],tabla_consumos[EAN],tabla_consumos[UM])</f>
        <v>#VALUE!</v>
      </c>
      <c r="S2080" s="22" t="e">
        <f>Tabla1[[#This Row],[StockDisp]]*Tabla1[[#This Row],[UM producto]]</f>
        <v>#VALUE!</v>
      </c>
    </row>
    <row r="2081" spans="1:19" x14ac:dyDescent="0.35">
      <c r="A2081" s="5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6"/>
      <c r="P2081" s="23" t="e">
        <f>TRIM(Tabla1[[#This Row],[Articulo]])</f>
        <v>#VALUE!</v>
      </c>
      <c r="Q2081" s="23" t="e">
        <f>_xlfn.XLOOKUP(Tabla1[[#This Row],[Ean Normalizado]],Consumos!A:A,Consumos!E:E)</f>
        <v>#VALUE!</v>
      </c>
      <c r="R2081" s="22" t="e">
        <f>_xlfn.XLOOKUP(Tabla1[[#This Row],[Ean Normalizado]],tabla_consumos[EAN],tabla_consumos[UM])</f>
        <v>#VALUE!</v>
      </c>
      <c r="S2081" s="22" t="e">
        <f>Tabla1[[#This Row],[StockDisp]]*Tabla1[[#This Row],[UM producto]]</f>
        <v>#VALUE!</v>
      </c>
    </row>
    <row r="2082" spans="1:19" x14ac:dyDescent="0.35">
      <c r="A2082" s="5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6"/>
      <c r="P2082" s="23" t="e">
        <f>TRIM(Tabla1[[#This Row],[Articulo]])</f>
        <v>#VALUE!</v>
      </c>
      <c r="Q2082" s="23" t="e">
        <f>_xlfn.XLOOKUP(Tabla1[[#This Row],[Ean Normalizado]],Consumos!A:A,Consumos!E:E)</f>
        <v>#VALUE!</v>
      </c>
      <c r="R2082" s="22" t="e">
        <f>_xlfn.XLOOKUP(Tabla1[[#This Row],[Ean Normalizado]],tabla_consumos[EAN],tabla_consumos[UM])</f>
        <v>#VALUE!</v>
      </c>
      <c r="S2082" s="22" t="e">
        <f>Tabla1[[#This Row],[StockDisp]]*Tabla1[[#This Row],[UM producto]]</f>
        <v>#VALUE!</v>
      </c>
    </row>
    <row r="2083" spans="1:19" x14ac:dyDescent="0.35">
      <c r="A2083" s="5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6"/>
      <c r="P2083" s="23" t="e">
        <f>TRIM(Tabla1[[#This Row],[Articulo]])</f>
        <v>#VALUE!</v>
      </c>
      <c r="Q2083" s="23" t="e">
        <f>_xlfn.XLOOKUP(Tabla1[[#This Row],[Ean Normalizado]],Consumos!A:A,Consumos!E:E)</f>
        <v>#VALUE!</v>
      </c>
      <c r="R2083" s="22" t="e">
        <f>_xlfn.XLOOKUP(Tabla1[[#This Row],[Ean Normalizado]],tabla_consumos[EAN],tabla_consumos[UM])</f>
        <v>#VALUE!</v>
      </c>
      <c r="S2083" s="22" t="e">
        <f>Tabla1[[#This Row],[StockDisp]]*Tabla1[[#This Row],[UM producto]]</f>
        <v>#VALUE!</v>
      </c>
    </row>
    <row r="2084" spans="1:19" x14ac:dyDescent="0.35">
      <c r="A2084" s="5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6"/>
      <c r="P2084" s="23" t="e">
        <f>TRIM(Tabla1[[#This Row],[Articulo]])</f>
        <v>#VALUE!</v>
      </c>
      <c r="Q2084" s="23" t="e">
        <f>_xlfn.XLOOKUP(Tabla1[[#This Row],[Ean Normalizado]],Consumos!A:A,Consumos!E:E)</f>
        <v>#VALUE!</v>
      </c>
      <c r="R2084" s="22" t="e">
        <f>_xlfn.XLOOKUP(Tabla1[[#This Row],[Ean Normalizado]],tabla_consumos[EAN],tabla_consumos[UM])</f>
        <v>#VALUE!</v>
      </c>
      <c r="S2084" s="22" t="e">
        <f>Tabla1[[#This Row],[StockDisp]]*Tabla1[[#This Row],[UM producto]]</f>
        <v>#VALUE!</v>
      </c>
    </row>
    <row r="2085" spans="1:19" x14ac:dyDescent="0.35">
      <c r="A2085" s="5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6"/>
      <c r="P2085" s="23" t="e">
        <f>TRIM(Tabla1[[#This Row],[Articulo]])</f>
        <v>#VALUE!</v>
      </c>
      <c r="Q2085" s="23" t="e">
        <f>_xlfn.XLOOKUP(Tabla1[[#This Row],[Ean Normalizado]],Consumos!A:A,Consumos!E:E)</f>
        <v>#VALUE!</v>
      </c>
      <c r="R2085" s="22" t="e">
        <f>_xlfn.XLOOKUP(Tabla1[[#This Row],[Ean Normalizado]],tabla_consumos[EAN],tabla_consumos[UM])</f>
        <v>#VALUE!</v>
      </c>
      <c r="S2085" s="22" t="e">
        <f>Tabla1[[#This Row],[StockDisp]]*Tabla1[[#This Row],[UM producto]]</f>
        <v>#VALUE!</v>
      </c>
    </row>
    <row r="2086" spans="1:19" x14ac:dyDescent="0.35">
      <c r="A2086" s="5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6"/>
      <c r="P2086" s="23" t="e">
        <f>TRIM(Tabla1[[#This Row],[Articulo]])</f>
        <v>#VALUE!</v>
      </c>
      <c r="Q2086" s="23" t="e">
        <f>_xlfn.XLOOKUP(Tabla1[[#This Row],[Ean Normalizado]],Consumos!A:A,Consumos!E:E)</f>
        <v>#VALUE!</v>
      </c>
      <c r="R2086" s="22" t="e">
        <f>_xlfn.XLOOKUP(Tabla1[[#This Row],[Ean Normalizado]],tabla_consumos[EAN],tabla_consumos[UM])</f>
        <v>#VALUE!</v>
      </c>
      <c r="S2086" s="22" t="e">
        <f>Tabla1[[#This Row],[StockDisp]]*Tabla1[[#This Row],[UM producto]]</f>
        <v>#VALUE!</v>
      </c>
    </row>
    <row r="2087" spans="1:19" x14ac:dyDescent="0.35">
      <c r="A2087" s="5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6"/>
      <c r="P2087" s="23" t="e">
        <f>TRIM(Tabla1[[#This Row],[Articulo]])</f>
        <v>#VALUE!</v>
      </c>
      <c r="Q2087" s="23" t="e">
        <f>_xlfn.XLOOKUP(Tabla1[[#This Row],[Ean Normalizado]],Consumos!A:A,Consumos!E:E)</f>
        <v>#VALUE!</v>
      </c>
      <c r="R2087" s="22" t="e">
        <f>_xlfn.XLOOKUP(Tabla1[[#This Row],[Ean Normalizado]],tabla_consumos[EAN],tabla_consumos[UM])</f>
        <v>#VALUE!</v>
      </c>
      <c r="S2087" s="22" t="e">
        <f>Tabla1[[#This Row],[StockDisp]]*Tabla1[[#This Row],[UM producto]]</f>
        <v>#VALUE!</v>
      </c>
    </row>
    <row r="2088" spans="1:19" x14ac:dyDescent="0.35">
      <c r="A2088" s="5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6"/>
      <c r="P2088" s="23" t="e">
        <f>TRIM(Tabla1[[#This Row],[Articulo]])</f>
        <v>#VALUE!</v>
      </c>
      <c r="Q2088" s="23" t="e">
        <f>_xlfn.XLOOKUP(Tabla1[[#This Row],[Ean Normalizado]],Consumos!A:A,Consumos!E:E)</f>
        <v>#VALUE!</v>
      </c>
      <c r="R2088" s="22" t="e">
        <f>_xlfn.XLOOKUP(Tabla1[[#This Row],[Ean Normalizado]],tabla_consumos[EAN],tabla_consumos[UM])</f>
        <v>#VALUE!</v>
      </c>
      <c r="S2088" s="22" t="e">
        <f>Tabla1[[#This Row],[StockDisp]]*Tabla1[[#This Row],[UM producto]]</f>
        <v>#VALUE!</v>
      </c>
    </row>
    <row r="2089" spans="1:19" x14ac:dyDescent="0.35">
      <c r="A2089" s="5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6"/>
      <c r="P2089" s="23" t="e">
        <f>TRIM(Tabla1[[#This Row],[Articulo]])</f>
        <v>#VALUE!</v>
      </c>
      <c r="Q2089" s="23" t="e">
        <f>_xlfn.XLOOKUP(Tabla1[[#This Row],[Ean Normalizado]],Consumos!A:A,Consumos!E:E)</f>
        <v>#VALUE!</v>
      </c>
      <c r="R2089" s="22" t="e">
        <f>_xlfn.XLOOKUP(Tabla1[[#This Row],[Ean Normalizado]],tabla_consumos[EAN],tabla_consumos[UM])</f>
        <v>#VALUE!</v>
      </c>
      <c r="S2089" s="22" t="e">
        <f>Tabla1[[#This Row],[StockDisp]]*Tabla1[[#This Row],[UM producto]]</f>
        <v>#VALUE!</v>
      </c>
    </row>
    <row r="2090" spans="1:19" x14ac:dyDescent="0.35">
      <c r="A2090" s="5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6"/>
      <c r="P2090" s="23" t="e">
        <f>TRIM(Tabla1[[#This Row],[Articulo]])</f>
        <v>#VALUE!</v>
      </c>
      <c r="Q2090" s="23" t="e">
        <f>_xlfn.XLOOKUP(Tabla1[[#This Row],[Ean Normalizado]],Consumos!A:A,Consumos!E:E)</f>
        <v>#VALUE!</v>
      </c>
      <c r="R2090" s="22" t="e">
        <f>_xlfn.XLOOKUP(Tabla1[[#This Row],[Ean Normalizado]],tabla_consumos[EAN],tabla_consumos[UM])</f>
        <v>#VALUE!</v>
      </c>
      <c r="S2090" s="22" t="e">
        <f>Tabla1[[#This Row],[StockDisp]]*Tabla1[[#This Row],[UM producto]]</f>
        <v>#VALUE!</v>
      </c>
    </row>
    <row r="2091" spans="1:19" x14ac:dyDescent="0.35">
      <c r="A2091" s="5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6"/>
      <c r="P2091" s="23" t="e">
        <f>TRIM(Tabla1[[#This Row],[Articulo]])</f>
        <v>#VALUE!</v>
      </c>
      <c r="Q2091" s="23" t="e">
        <f>_xlfn.XLOOKUP(Tabla1[[#This Row],[Ean Normalizado]],Consumos!A:A,Consumos!E:E)</f>
        <v>#VALUE!</v>
      </c>
      <c r="R2091" s="22" t="e">
        <f>_xlfn.XLOOKUP(Tabla1[[#This Row],[Ean Normalizado]],tabla_consumos[EAN],tabla_consumos[UM])</f>
        <v>#VALUE!</v>
      </c>
      <c r="S2091" s="22" t="e">
        <f>Tabla1[[#This Row],[StockDisp]]*Tabla1[[#This Row],[UM producto]]</f>
        <v>#VALUE!</v>
      </c>
    </row>
    <row r="2092" spans="1:19" x14ac:dyDescent="0.35">
      <c r="A2092" s="5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6"/>
      <c r="P2092" s="23" t="e">
        <f>TRIM(Tabla1[[#This Row],[Articulo]])</f>
        <v>#VALUE!</v>
      </c>
      <c r="Q2092" s="23" t="e">
        <f>_xlfn.XLOOKUP(Tabla1[[#This Row],[Ean Normalizado]],Consumos!A:A,Consumos!E:E)</f>
        <v>#VALUE!</v>
      </c>
      <c r="R2092" s="22" t="e">
        <f>_xlfn.XLOOKUP(Tabla1[[#This Row],[Ean Normalizado]],tabla_consumos[EAN],tabla_consumos[UM])</f>
        <v>#VALUE!</v>
      </c>
      <c r="S2092" s="22" t="e">
        <f>Tabla1[[#This Row],[StockDisp]]*Tabla1[[#This Row],[UM producto]]</f>
        <v>#VALUE!</v>
      </c>
    </row>
    <row r="2093" spans="1:19" x14ac:dyDescent="0.35">
      <c r="A2093" s="5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6"/>
      <c r="P2093" s="23" t="e">
        <f>TRIM(Tabla1[[#This Row],[Articulo]])</f>
        <v>#VALUE!</v>
      </c>
      <c r="Q2093" s="23" t="e">
        <f>_xlfn.XLOOKUP(Tabla1[[#This Row],[Ean Normalizado]],Consumos!A:A,Consumos!E:E)</f>
        <v>#VALUE!</v>
      </c>
      <c r="R2093" s="22" t="e">
        <f>_xlfn.XLOOKUP(Tabla1[[#This Row],[Ean Normalizado]],tabla_consumos[EAN],tabla_consumos[UM])</f>
        <v>#VALUE!</v>
      </c>
      <c r="S2093" s="22" t="e">
        <f>Tabla1[[#This Row],[StockDisp]]*Tabla1[[#This Row],[UM producto]]</f>
        <v>#VALUE!</v>
      </c>
    </row>
    <row r="2094" spans="1:19" x14ac:dyDescent="0.35">
      <c r="A2094" s="5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6"/>
      <c r="P2094" s="23" t="e">
        <f>TRIM(Tabla1[[#This Row],[Articulo]])</f>
        <v>#VALUE!</v>
      </c>
      <c r="Q2094" s="23" t="e">
        <f>_xlfn.XLOOKUP(Tabla1[[#This Row],[Ean Normalizado]],Consumos!A:A,Consumos!E:E)</f>
        <v>#VALUE!</v>
      </c>
      <c r="R2094" s="22" t="e">
        <f>_xlfn.XLOOKUP(Tabla1[[#This Row],[Ean Normalizado]],tabla_consumos[EAN],tabla_consumos[UM])</f>
        <v>#VALUE!</v>
      </c>
      <c r="S2094" s="22" t="e">
        <f>Tabla1[[#This Row],[StockDisp]]*Tabla1[[#This Row],[UM producto]]</f>
        <v>#VALUE!</v>
      </c>
    </row>
    <row r="2095" spans="1:19" x14ac:dyDescent="0.35">
      <c r="A2095" s="5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6"/>
      <c r="P2095" s="23" t="e">
        <f>TRIM(Tabla1[[#This Row],[Articulo]])</f>
        <v>#VALUE!</v>
      </c>
      <c r="Q2095" s="23" t="e">
        <f>_xlfn.XLOOKUP(Tabla1[[#This Row],[Ean Normalizado]],Consumos!A:A,Consumos!E:E)</f>
        <v>#VALUE!</v>
      </c>
      <c r="R2095" s="22" t="e">
        <f>_xlfn.XLOOKUP(Tabla1[[#This Row],[Ean Normalizado]],tabla_consumos[EAN],tabla_consumos[UM])</f>
        <v>#VALUE!</v>
      </c>
      <c r="S2095" s="22" t="e">
        <f>Tabla1[[#This Row],[StockDisp]]*Tabla1[[#This Row],[UM producto]]</f>
        <v>#VALUE!</v>
      </c>
    </row>
    <row r="2096" spans="1:19" x14ac:dyDescent="0.35">
      <c r="A2096" s="5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6"/>
      <c r="P2096" s="23" t="e">
        <f>TRIM(Tabla1[[#This Row],[Articulo]])</f>
        <v>#VALUE!</v>
      </c>
      <c r="Q2096" s="23" t="e">
        <f>_xlfn.XLOOKUP(Tabla1[[#This Row],[Ean Normalizado]],Consumos!A:A,Consumos!E:E)</f>
        <v>#VALUE!</v>
      </c>
      <c r="R2096" s="22" t="e">
        <f>_xlfn.XLOOKUP(Tabla1[[#This Row],[Ean Normalizado]],tabla_consumos[EAN],tabla_consumos[UM])</f>
        <v>#VALUE!</v>
      </c>
      <c r="S2096" s="22" t="e">
        <f>Tabla1[[#This Row],[StockDisp]]*Tabla1[[#This Row],[UM producto]]</f>
        <v>#VALUE!</v>
      </c>
    </row>
    <row r="2097" spans="1:19" x14ac:dyDescent="0.35">
      <c r="A2097" s="5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6"/>
      <c r="P2097" s="23" t="e">
        <f>TRIM(Tabla1[[#This Row],[Articulo]])</f>
        <v>#VALUE!</v>
      </c>
      <c r="Q2097" s="23" t="e">
        <f>_xlfn.XLOOKUP(Tabla1[[#This Row],[Ean Normalizado]],Consumos!A:A,Consumos!E:E)</f>
        <v>#VALUE!</v>
      </c>
      <c r="R2097" s="22" t="e">
        <f>_xlfn.XLOOKUP(Tabla1[[#This Row],[Ean Normalizado]],tabla_consumos[EAN],tabla_consumos[UM])</f>
        <v>#VALUE!</v>
      </c>
      <c r="S2097" s="22" t="e">
        <f>Tabla1[[#This Row],[StockDisp]]*Tabla1[[#This Row],[UM producto]]</f>
        <v>#VALUE!</v>
      </c>
    </row>
    <row r="2098" spans="1:19" x14ac:dyDescent="0.35">
      <c r="A2098" s="5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6"/>
      <c r="P2098" s="23" t="e">
        <f>TRIM(Tabla1[[#This Row],[Articulo]])</f>
        <v>#VALUE!</v>
      </c>
      <c r="Q2098" s="23" t="e">
        <f>_xlfn.XLOOKUP(Tabla1[[#This Row],[Ean Normalizado]],Consumos!A:A,Consumos!E:E)</f>
        <v>#VALUE!</v>
      </c>
      <c r="R2098" s="22" t="e">
        <f>_xlfn.XLOOKUP(Tabla1[[#This Row],[Ean Normalizado]],tabla_consumos[EAN],tabla_consumos[UM])</f>
        <v>#VALUE!</v>
      </c>
      <c r="S2098" s="22" t="e">
        <f>Tabla1[[#This Row],[StockDisp]]*Tabla1[[#This Row],[UM producto]]</f>
        <v>#VALUE!</v>
      </c>
    </row>
    <row r="2099" spans="1:19" x14ac:dyDescent="0.35">
      <c r="A2099" s="5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6"/>
      <c r="P2099" s="23" t="e">
        <f>TRIM(Tabla1[[#This Row],[Articulo]])</f>
        <v>#VALUE!</v>
      </c>
      <c r="Q2099" s="23" t="e">
        <f>_xlfn.XLOOKUP(Tabla1[[#This Row],[Ean Normalizado]],Consumos!A:A,Consumos!E:E)</f>
        <v>#VALUE!</v>
      </c>
      <c r="R2099" s="22" t="e">
        <f>_xlfn.XLOOKUP(Tabla1[[#This Row],[Ean Normalizado]],tabla_consumos[EAN],tabla_consumos[UM])</f>
        <v>#VALUE!</v>
      </c>
      <c r="S2099" s="22" t="e">
        <f>Tabla1[[#This Row],[StockDisp]]*Tabla1[[#This Row],[UM producto]]</f>
        <v>#VALUE!</v>
      </c>
    </row>
    <row r="2100" spans="1:19" x14ac:dyDescent="0.35">
      <c r="A2100" s="5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6"/>
      <c r="P2100" s="23" t="e">
        <f>TRIM(Tabla1[[#This Row],[Articulo]])</f>
        <v>#VALUE!</v>
      </c>
      <c r="Q2100" s="23" t="e">
        <f>_xlfn.XLOOKUP(Tabla1[[#This Row],[Ean Normalizado]],Consumos!A:A,Consumos!E:E)</f>
        <v>#VALUE!</v>
      </c>
      <c r="R2100" s="22" t="e">
        <f>_xlfn.XLOOKUP(Tabla1[[#This Row],[Ean Normalizado]],tabla_consumos[EAN],tabla_consumos[UM])</f>
        <v>#VALUE!</v>
      </c>
      <c r="S2100" s="22" t="e">
        <f>Tabla1[[#This Row],[StockDisp]]*Tabla1[[#This Row],[UM producto]]</f>
        <v>#VALUE!</v>
      </c>
    </row>
    <row r="2101" spans="1:19" x14ac:dyDescent="0.35">
      <c r="A2101" s="5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6"/>
      <c r="P2101" s="23" t="e">
        <f>TRIM(Tabla1[[#This Row],[Articulo]])</f>
        <v>#VALUE!</v>
      </c>
      <c r="Q2101" s="23" t="e">
        <f>_xlfn.XLOOKUP(Tabla1[[#This Row],[Ean Normalizado]],Consumos!A:A,Consumos!E:E)</f>
        <v>#VALUE!</v>
      </c>
      <c r="R2101" s="22" t="e">
        <f>_xlfn.XLOOKUP(Tabla1[[#This Row],[Ean Normalizado]],tabla_consumos[EAN],tabla_consumos[UM])</f>
        <v>#VALUE!</v>
      </c>
      <c r="S2101" s="22" t="e">
        <f>Tabla1[[#This Row],[StockDisp]]*Tabla1[[#This Row],[UM producto]]</f>
        <v>#VALUE!</v>
      </c>
    </row>
    <row r="2102" spans="1:19" x14ac:dyDescent="0.35">
      <c r="A2102" s="5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6"/>
      <c r="P2102" s="23" t="e">
        <f>TRIM(Tabla1[[#This Row],[Articulo]])</f>
        <v>#VALUE!</v>
      </c>
      <c r="Q2102" s="23" t="e">
        <f>_xlfn.XLOOKUP(Tabla1[[#This Row],[Ean Normalizado]],Consumos!A:A,Consumos!E:E)</f>
        <v>#VALUE!</v>
      </c>
      <c r="R2102" s="22" t="e">
        <f>_xlfn.XLOOKUP(Tabla1[[#This Row],[Ean Normalizado]],tabla_consumos[EAN],tabla_consumos[UM])</f>
        <v>#VALUE!</v>
      </c>
      <c r="S2102" s="22" t="e">
        <f>Tabla1[[#This Row],[StockDisp]]*Tabla1[[#This Row],[UM producto]]</f>
        <v>#VALUE!</v>
      </c>
    </row>
    <row r="2103" spans="1:19" x14ac:dyDescent="0.35">
      <c r="A2103" s="5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6"/>
      <c r="P2103" s="23" t="e">
        <f>TRIM(Tabla1[[#This Row],[Articulo]])</f>
        <v>#VALUE!</v>
      </c>
      <c r="Q2103" s="23" t="e">
        <f>_xlfn.XLOOKUP(Tabla1[[#This Row],[Ean Normalizado]],Consumos!A:A,Consumos!E:E)</f>
        <v>#VALUE!</v>
      </c>
      <c r="R2103" s="22" t="e">
        <f>_xlfn.XLOOKUP(Tabla1[[#This Row],[Ean Normalizado]],tabla_consumos[EAN],tabla_consumos[UM])</f>
        <v>#VALUE!</v>
      </c>
      <c r="S2103" s="22" t="e">
        <f>Tabla1[[#This Row],[StockDisp]]*Tabla1[[#This Row],[UM producto]]</f>
        <v>#VALUE!</v>
      </c>
    </row>
    <row r="2104" spans="1:19" x14ac:dyDescent="0.35">
      <c r="A2104" s="5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6"/>
      <c r="P2104" s="23" t="e">
        <f>TRIM(Tabla1[[#This Row],[Articulo]])</f>
        <v>#VALUE!</v>
      </c>
      <c r="Q2104" s="23" t="e">
        <f>_xlfn.XLOOKUP(Tabla1[[#This Row],[Ean Normalizado]],Consumos!A:A,Consumos!E:E)</f>
        <v>#VALUE!</v>
      </c>
      <c r="R2104" s="22" t="e">
        <f>_xlfn.XLOOKUP(Tabla1[[#This Row],[Ean Normalizado]],tabla_consumos[EAN],tabla_consumos[UM])</f>
        <v>#VALUE!</v>
      </c>
      <c r="S2104" s="22" t="e">
        <f>Tabla1[[#This Row],[StockDisp]]*Tabla1[[#This Row],[UM producto]]</f>
        <v>#VALUE!</v>
      </c>
    </row>
    <row r="2105" spans="1:19" x14ac:dyDescent="0.35">
      <c r="A2105" s="5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6"/>
      <c r="P2105" s="23" t="e">
        <f>TRIM(Tabla1[[#This Row],[Articulo]])</f>
        <v>#VALUE!</v>
      </c>
      <c r="Q2105" s="23" t="e">
        <f>_xlfn.XLOOKUP(Tabla1[[#This Row],[Ean Normalizado]],Consumos!A:A,Consumos!E:E)</f>
        <v>#VALUE!</v>
      </c>
      <c r="R2105" s="22" t="e">
        <f>_xlfn.XLOOKUP(Tabla1[[#This Row],[Ean Normalizado]],tabla_consumos[EAN],tabla_consumos[UM])</f>
        <v>#VALUE!</v>
      </c>
      <c r="S2105" s="22" t="e">
        <f>Tabla1[[#This Row],[StockDisp]]*Tabla1[[#This Row],[UM producto]]</f>
        <v>#VALUE!</v>
      </c>
    </row>
    <row r="2106" spans="1:19" x14ac:dyDescent="0.35">
      <c r="A2106" s="5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6"/>
      <c r="P2106" s="23" t="e">
        <f>TRIM(Tabla1[[#This Row],[Articulo]])</f>
        <v>#VALUE!</v>
      </c>
      <c r="Q2106" s="23" t="e">
        <f>_xlfn.XLOOKUP(Tabla1[[#This Row],[Ean Normalizado]],Consumos!A:A,Consumos!E:E)</f>
        <v>#VALUE!</v>
      </c>
      <c r="R2106" s="22" t="e">
        <f>_xlfn.XLOOKUP(Tabla1[[#This Row],[Ean Normalizado]],tabla_consumos[EAN],tabla_consumos[UM])</f>
        <v>#VALUE!</v>
      </c>
      <c r="S2106" s="22" t="e">
        <f>Tabla1[[#This Row],[StockDisp]]*Tabla1[[#This Row],[UM producto]]</f>
        <v>#VALUE!</v>
      </c>
    </row>
    <row r="2107" spans="1:19" x14ac:dyDescent="0.35">
      <c r="A2107" s="5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6"/>
      <c r="P2107" s="23" t="e">
        <f>TRIM(Tabla1[[#This Row],[Articulo]])</f>
        <v>#VALUE!</v>
      </c>
      <c r="Q2107" s="23" t="e">
        <f>_xlfn.XLOOKUP(Tabla1[[#This Row],[Ean Normalizado]],Consumos!A:A,Consumos!E:E)</f>
        <v>#VALUE!</v>
      </c>
      <c r="R2107" s="22" t="e">
        <f>_xlfn.XLOOKUP(Tabla1[[#This Row],[Ean Normalizado]],tabla_consumos[EAN],tabla_consumos[UM])</f>
        <v>#VALUE!</v>
      </c>
      <c r="S2107" s="22" t="e">
        <f>Tabla1[[#This Row],[StockDisp]]*Tabla1[[#This Row],[UM producto]]</f>
        <v>#VALUE!</v>
      </c>
    </row>
    <row r="2108" spans="1:19" x14ac:dyDescent="0.35">
      <c r="A2108" s="5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6"/>
      <c r="P2108" s="23" t="e">
        <f>TRIM(Tabla1[[#This Row],[Articulo]])</f>
        <v>#VALUE!</v>
      </c>
      <c r="Q2108" s="23" t="e">
        <f>_xlfn.XLOOKUP(Tabla1[[#This Row],[Ean Normalizado]],Consumos!A:A,Consumos!E:E)</f>
        <v>#VALUE!</v>
      </c>
      <c r="R2108" s="22" t="e">
        <f>_xlfn.XLOOKUP(Tabla1[[#This Row],[Ean Normalizado]],tabla_consumos[EAN],tabla_consumos[UM])</f>
        <v>#VALUE!</v>
      </c>
      <c r="S2108" s="22" t="e">
        <f>Tabla1[[#This Row],[StockDisp]]*Tabla1[[#This Row],[UM producto]]</f>
        <v>#VALUE!</v>
      </c>
    </row>
    <row r="2109" spans="1:19" x14ac:dyDescent="0.35">
      <c r="A2109" s="5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6"/>
      <c r="P2109" s="23" t="e">
        <f>TRIM(Tabla1[[#This Row],[Articulo]])</f>
        <v>#VALUE!</v>
      </c>
      <c r="Q2109" s="23" t="e">
        <f>_xlfn.XLOOKUP(Tabla1[[#This Row],[Ean Normalizado]],Consumos!A:A,Consumos!E:E)</f>
        <v>#VALUE!</v>
      </c>
      <c r="R2109" s="22" t="e">
        <f>_xlfn.XLOOKUP(Tabla1[[#This Row],[Ean Normalizado]],tabla_consumos[EAN],tabla_consumos[UM])</f>
        <v>#VALUE!</v>
      </c>
      <c r="S2109" s="22" t="e">
        <f>Tabla1[[#This Row],[StockDisp]]*Tabla1[[#This Row],[UM producto]]</f>
        <v>#VALUE!</v>
      </c>
    </row>
    <row r="2110" spans="1:19" x14ac:dyDescent="0.35">
      <c r="A2110" s="5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6"/>
      <c r="P2110" s="23" t="e">
        <f>TRIM(Tabla1[[#This Row],[Articulo]])</f>
        <v>#VALUE!</v>
      </c>
      <c r="Q2110" s="23" t="e">
        <f>_xlfn.XLOOKUP(Tabla1[[#This Row],[Ean Normalizado]],Consumos!A:A,Consumos!E:E)</f>
        <v>#VALUE!</v>
      </c>
      <c r="R2110" s="22" t="e">
        <f>_xlfn.XLOOKUP(Tabla1[[#This Row],[Ean Normalizado]],tabla_consumos[EAN],tabla_consumos[UM])</f>
        <v>#VALUE!</v>
      </c>
      <c r="S2110" s="22" t="e">
        <f>Tabla1[[#This Row],[StockDisp]]*Tabla1[[#This Row],[UM producto]]</f>
        <v>#VALUE!</v>
      </c>
    </row>
    <row r="2111" spans="1:19" x14ac:dyDescent="0.35">
      <c r="A2111" s="5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6"/>
      <c r="P2111" s="23" t="e">
        <f>TRIM(Tabla1[[#This Row],[Articulo]])</f>
        <v>#VALUE!</v>
      </c>
      <c r="Q2111" s="23" t="e">
        <f>_xlfn.XLOOKUP(Tabla1[[#This Row],[Ean Normalizado]],Consumos!A:A,Consumos!E:E)</f>
        <v>#VALUE!</v>
      </c>
      <c r="R2111" s="22" t="e">
        <f>_xlfn.XLOOKUP(Tabla1[[#This Row],[Ean Normalizado]],tabla_consumos[EAN],tabla_consumos[UM])</f>
        <v>#VALUE!</v>
      </c>
      <c r="S2111" s="22" t="e">
        <f>Tabla1[[#This Row],[StockDisp]]*Tabla1[[#This Row],[UM producto]]</f>
        <v>#VALUE!</v>
      </c>
    </row>
    <row r="2112" spans="1:19" x14ac:dyDescent="0.35">
      <c r="A2112" s="5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6"/>
      <c r="P2112" s="23" t="e">
        <f>TRIM(Tabla1[[#This Row],[Articulo]])</f>
        <v>#VALUE!</v>
      </c>
      <c r="Q2112" s="23" t="e">
        <f>_xlfn.XLOOKUP(Tabla1[[#This Row],[Ean Normalizado]],Consumos!A:A,Consumos!E:E)</f>
        <v>#VALUE!</v>
      </c>
      <c r="R2112" s="22" t="e">
        <f>_xlfn.XLOOKUP(Tabla1[[#This Row],[Ean Normalizado]],tabla_consumos[EAN],tabla_consumos[UM])</f>
        <v>#VALUE!</v>
      </c>
      <c r="S2112" s="22" t="e">
        <f>Tabla1[[#This Row],[StockDisp]]*Tabla1[[#This Row],[UM producto]]</f>
        <v>#VALUE!</v>
      </c>
    </row>
    <row r="2113" spans="1:19" x14ac:dyDescent="0.35">
      <c r="A2113" s="5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6"/>
      <c r="P2113" s="23" t="e">
        <f>TRIM(Tabla1[[#This Row],[Articulo]])</f>
        <v>#VALUE!</v>
      </c>
      <c r="Q2113" s="23" t="e">
        <f>_xlfn.XLOOKUP(Tabla1[[#This Row],[Ean Normalizado]],Consumos!A:A,Consumos!E:E)</f>
        <v>#VALUE!</v>
      </c>
      <c r="R2113" s="22" t="e">
        <f>_xlfn.XLOOKUP(Tabla1[[#This Row],[Ean Normalizado]],tabla_consumos[EAN],tabla_consumos[UM])</f>
        <v>#VALUE!</v>
      </c>
      <c r="S2113" s="22" t="e">
        <f>Tabla1[[#This Row],[StockDisp]]*Tabla1[[#This Row],[UM producto]]</f>
        <v>#VALUE!</v>
      </c>
    </row>
    <row r="2114" spans="1:19" x14ac:dyDescent="0.35">
      <c r="A2114" s="5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6"/>
      <c r="P2114" s="23" t="e">
        <f>TRIM(Tabla1[[#This Row],[Articulo]])</f>
        <v>#VALUE!</v>
      </c>
      <c r="Q2114" s="23" t="e">
        <f>_xlfn.XLOOKUP(Tabla1[[#This Row],[Ean Normalizado]],Consumos!A:A,Consumos!E:E)</f>
        <v>#VALUE!</v>
      </c>
      <c r="R2114" s="22" t="e">
        <f>_xlfn.XLOOKUP(Tabla1[[#This Row],[Ean Normalizado]],tabla_consumos[EAN],tabla_consumos[UM])</f>
        <v>#VALUE!</v>
      </c>
      <c r="S2114" s="22" t="e">
        <f>Tabla1[[#This Row],[StockDisp]]*Tabla1[[#This Row],[UM producto]]</f>
        <v>#VALUE!</v>
      </c>
    </row>
    <row r="2115" spans="1:19" x14ac:dyDescent="0.35">
      <c r="A2115" s="5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6"/>
      <c r="P2115" s="23" t="e">
        <f>TRIM(Tabla1[[#This Row],[Articulo]])</f>
        <v>#VALUE!</v>
      </c>
      <c r="Q2115" s="23" t="e">
        <f>_xlfn.XLOOKUP(Tabla1[[#This Row],[Ean Normalizado]],Consumos!A:A,Consumos!E:E)</f>
        <v>#VALUE!</v>
      </c>
      <c r="R2115" s="22" t="e">
        <f>_xlfn.XLOOKUP(Tabla1[[#This Row],[Ean Normalizado]],tabla_consumos[EAN],tabla_consumos[UM])</f>
        <v>#VALUE!</v>
      </c>
      <c r="S2115" s="22" t="e">
        <f>Tabla1[[#This Row],[StockDisp]]*Tabla1[[#This Row],[UM producto]]</f>
        <v>#VALUE!</v>
      </c>
    </row>
    <row r="2116" spans="1:19" x14ac:dyDescent="0.35">
      <c r="A2116" s="5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6"/>
      <c r="P2116" s="23" t="e">
        <f>TRIM(Tabla1[[#This Row],[Articulo]])</f>
        <v>#VALUE!</v>
      </c>
      <c r="Q2116" s="23" t="e">
        <f>_xlfn.XLOOKUP(Tabla1[[#This Row],[Ean Normalizado]],Consumos!A:A,Consumos!E:E)</f>
        <v>#VALUE!</v>
      </c>
      <c r="R2116" s="22" t="e">
        <f>_xlfn.XLOOKUP(Tabla1[[#This Row],[Ean Normalizado]],tabla_consumos[EAN],tabla_consumos[UM])</f>
        <v>#VALUE!</v>
      </c>
      <c r="S2116" s="22" t="e">
        <f>Tabla1[[#This Row],[StockDisp]]*Tabla1[[#This Row],[UM producto]]</f>
        <v>#VALUE!</v>
      </c>
    </row>
    <row r="2117" spans="1:19" x14ac:dyDescent="0.35">
      <c r="A2117" s="5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6"/>
      <c r="P2117" s="23" t="e">
        <f>TRIM(Tabla1[[#This Row],[Articulo]])</f>
        <v>#VALUE!</v>
      </c>
      <c r="Q2117" s="23" t="e">
        <f>_xlfn.XLOOKUP(Tabla1[[#This Row],[Ean Normalizado]],Consumos!A:A,Consumos!E:E)</f>
        <v>#VALUE!</v>
      </c>
      <c r="R2117" s="22" t="e">
        <f>_xlfn.XLOOKUP(Tabla1[[#This Row],[Ean Normalizado]],tabla_consumos[EAN],tabla_consumos[UM])</f>
        <v>#VALUE!</v>
      </c>
      <c r="S2117" s="22" t="e">
        <f>Tabla1[[#This Row],[StockDisp]]*Tabla1[[#This Row],[UM producto]]</f>
        <v>#VALUE!</v>
      </c>
    </row>
    <row r="2118" spans="1:19" x14ac:dyDescent="0.35">
      <c r="A2118" s="5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6"/>
      <c r="P2118" s="23" t="e">
        <f>TRIM(Tabla1[[#This Row],[Articulo]])</f>
        <v>#VALUE!</v>
      </c>
      <c r="Q2118" s="23" t="e">
        <f>_xlfn.XLOOKUP(Tabla1[[#This Row],[Ean Normalizado]],Consumos!A:A,Consumos!E:E)</f>
        <v>#VALUE!</v>
      </c>
      <c r="R2118" s="22" t="e">
        <f>_xlfn.XLOOKUP(Tabla1[[#This Row],[Ean Normalizado]],tabla_consumos[EAN],tabla_consumos[UM])</f>
        <v>#VALUE!</v>
      </c>
      <c r="S2118" s="22" t="e">
        <f>Tabla1[[#This Row],[StockDisp]]*Tabla1[[#This Row],[UM producto]]</f>
        <v>#VALUE!</v>
      </c>
    </row>
    <row r="2119" spans="1:19" x14ac:dyDescent="0.35">
      <c r="A2119" s="5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6"/>
      <c r="P2119" s="23" t="e">
        <f>TRIM(Tabla1[[#This Row],[Articulo]])</f>
        <v>#VALUE!</v>
      </c>
      <c r="Q2119" s="23" t="e">
        <f>_xlfn.XLOOKUP(Tabla1[[#This Row],[Ean Normalizado]],Consumos!A:A,Consumos!E:E)</f>
        <v>#VALUE!</v>
      </c>
      <c r="R2119" s="22" t="e">
        <f>_xlfn.XLOOKUP(Tabla1[[#This Row],[Ean Normalizado]],tabla_consumos[EAN],tabla_consumos[UM])</f>
        <v>#VALUE!</v>
      </c>
      <c r="S2119" s="22" t="e">
        <f>Tabla1[[#This Row],[StockDisp]]*Tabla1[[#This Row],[UM producto]]</f>
        <v>#VALUE!</v>
      </c>
    </row>
    <row r="2120" spans="1:19" x14ac:dyDescent="0.35">
      <c r="A2120" s="5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6"/>
      <c r="P2120" s="23" t="e">
        <f>TRIM(Tabla1[[#This Row],[Articulo]])</f>
        <v>#VALUE!</v>
      </c>
      <c r="Q2120" s="23" t="e">
        <f>_xlfn.XLOOKUP(Tabla1[[#This Row],[Ean Normalizado]],Consumos!A:A,Consumos!E:E)</f>
        <v>#VALUE!</v>
      </c>
      <c r="R2120" s="22" t="e">
        <f>_xlfn.XLOOKUP(Tabla1[[#This Row],[Ean Normalizado]],tabla_consumos[EAN],tabla_consumos[UM])</f>
        <v>#VALUE!</v>
      </c>
      <c r="S2120" s="22" t="e">
        <f>Tabla1[[#This Row],[StockDisp]]*Tabla1[[#This Row],[UM producto]]</f>
        <v>#VALUE!</v>
      </c>
    </row>
    <row r="2121" spans="1:19" x14ac:dyDescent="0.35">
      <c r="A2121" s="5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6"/>
      <c r="P2121" s="23" t="e">
        <f>TRIM(Tabla1[[#This Row],[Articulo]])</f>
        <v>#VALUE!</v>
      </c>
      <c r="Q2121" s="23" t="e">
        <f>_xlfn.XLOOKUP(Tabla1[[#This Row],[Ean Normalizado]],Consumos!A:A,Consumos!E:E)</f>
        <v>#VALUE!</v>
      </c>
      <c r="R2121" s="22" t="e">
        <f>_xlfn.XLOOKUP(Tabla1[[#This Row],[Ean Normalizado]],tabla_consumos[EAN],tabla_consumos[UM])</f>
        <v>#VALUE!</v>
      </c>
      <c r="S2121" s="22" t="e">
        <f>Tabla1[[#This Row],[StockDisp]]*Tabla1[[#This Row],[UM producto]]</f>
        <v>#VALUE!</v>
      </c>
    </row>
    <row r="2122" spans="1:19" x14ac:dyDescent="0.35">
      <c r="A2122" s="5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6"/>
      <c r="P2122" s="23" t="e">
        <f>TRIM(Tabla1[[#This Row],[Articulo]])</f>
        <v>#VALUE!</v>
      </c>
      <c r="Q2122" s="23" t="e">
        <f>_xlfn.XLOOKUP(Tabla1[[#This Row],[Ean Normalizado]],Consumos!A:A,Consumos!E:E)</f>
        <v>#VALUE!</v>
      </c>
      <c r="R2122" s="22" t="e">
        <f>_xlfn.XLOOKUP(Tabla1[[#This Row],[Ean Normalizado]],tabla_consumos[EAN],tabla_consumos[UM])</f>
        <v>#VALUE!</v>
      </c>
      <c r="S2122" s="22" t="e">
        <f>Tabla1[[#This Row],[StockDisp]]*Tabla1[[#This Row],[UM producto]]</f>
        <v>#VALUE!</v>
      </c>
    </row>
    <row r="2123" spans="1:19" x14ac:dyDescent="0.35">
      <c r="A2123" s="5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6"/>
      <c r="P2123" s="23" t="e">
        <f>TRIM(Tabla1[[#This Row],[Articulo]])</f>
        <v>#VALUE!</v>
      </c>
      <c r="Q2123" s="23" t="e">
        <f>_xlfn.XLOOKUP(Tabla1[[#This Row],[Ean Normalizado]],Consumos!A:A,Consumos!E:E)</f>
        <v>#VALUE!</v>
      </c>
      <c r="R2123" s="22" t="e">
        <f>_xlfn.XLOOKUP(Tabla1[[#This Row],[Ean Normalizado]],tabla_consumos[EAN],tabla_consumos[UM])</f>
        <v>#VALUE!</v>
      </c>
      <c r="S2123" s="22" t="e">
        <f>Tabla1[[#This Row],[StockDisp]]*Tabla1[[#This Row],[UM producto]]</f>
        <v>#VALUE!</v>
      </c>
    </row>
    <row r="2124" spans="1:19" x14ac:dyDescent="0.35">
      <c r="A2124" s="5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6"/>
      <c r="P2124" s="23" t="e">
        <f>TRIM(Tabla1[[#This Row],[Articulo]])</f>
        <v>#VALUE!</v>
      </c>
      <c r="Q2124" s="23" t="e">
        <f>_xlfn.XLOOKUP(Tabla1[[#This Row],[Ean Normalizado]],Consumos!A:A,Consumos!E:E)</f>
        <v>#VALUE!</v>
      </c>
      <c r="R2124" s="22" t="e">
        <f>_xlfn.XLOOKUP(Tabla1[[#This Row],[Ean Normalizado]],tabla_consumos[EAN],tabla_consumos[UM])</f>
        <v>#VALUE!</v>
      </c>
      <c r="S2124" s="22" t="e">
        <f>Tabla1[[#This Row],[StockDisp]]*Tabla1[[#This Row],[UM producto]]</f>
        <v>#VALUE!</v>
      </c>
    </row>
    <row r="2125" spans="1:19" x14ac:dyDescent="0.35">
      <c r="A2125" s="5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6"/>
      <c r="P2125" s="23" t="e">
        <f>TRIM(Tabla1[[#This Row],[Articulo]])</f>
        <v>#VALUE!</v>
      </c>
      <c r="Q2125" s="23" t="e">
        <f>_xlfn.XLOOKUP(Tabla1[[#This Row],[Ean Normalizado]],Consumos!A:A,Consumos!E:E)</f>
        <v>#VALUE!</v>
      </c>
      <c r="R2125" s="22" t="e">
        <f>_xlfn.XLOOKUP(Tabla1[[#This Row],[Ean Normalizado]],tabla_consumos[EAN],tabla_consumos[UM])</f>
        <v>#VALUE!</v>
      </c>
      <c r="S2125" s="22" t="e">
        <f>Tabla1[[#This Row],[StockDisp]]*Tabla1[[#This Row],[UM producto]]</f>
        <v>#VALUE!</v>
      </c>
    </row>
    <row r="2126" spans="1:19" x14ac:dyDescent="0.35">
      <c r="A2126" s="5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6"/>
      <c r="P2126" s="23" t="e">
        <f>TRIM(Tabla1[[#This Row],[Articulo]])</f>
        <v>#VALUE!</v>
      </c>
      <c r="Q2126" s="23" t="e">
        <f>_xlfn.XLOOKUP(Tabla1[[#This Row],[Ean Normalizado]],Consumos!A:A,Consumos!E:E)</f>
        <v>#VALUE!</v>
      </c>
      <c r="R2126" s="22" t="e">
        <f>_xlfn.XLOOKUP(Tabla1[[#This Row],[Ean Normalizado]],tabla_consumos[EAN],tabla_consumos[UM])</f>
        <v>#VALUE!</v>
      </c>
      <c r="S2126" s="22" t="e">
        <f>Tabla1[[#This Row],[StockDisp]]*Tabla1[[#This Row],[UM producto]]</f>
        <v>#VALUE!</v>
      </c>
    </row>
    <row r="2127" spans="1:19" x14ac:dyDescent="0.35">
      <c r="A2127" s="5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6"/>
      <c r="P2127" s="23" t="e">
        <f>TRIM(Tabla1[[#This Row],[Articulo]])</f>
        <v>#VALUE!</v>
      </c>
      <c r="Q2127" s="23" t="e">
        <f>_xlfn.XLOOKUP(Tabla1[[#This Row],[Ean Normalizado]],Consumos!A:A,Consumos!E:E)</f>
        <v>#VALUE!</v>
      </c>
      <c r="R2127" s="22" t="e">
        <f>_xlfn.XLOOKUP(Tabla1[[#This Row],[Ean Normalizado]],tabla_consumos[EAN],tabla_consumos[UM])</f>
        <v>#VALUE!</v>
      </c>
      <c r="S2127" s="22" t="e">
        <f>Tabla1[[#This Row],[StockDisp]]*Tabla1[[#This Row],[UM producto]]</f>
        <v>#VALUE!</v>
      </c>
    </row>
    <row r="2128" spans="1:19" x14ac:dyDescent="0.35">
      <c r="A2128" s="5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6"/>
      <c r="P2128" s="23" t="e">
        <f>TRIM(Tabla1[[#This Row],[Articulo]])</f>
        <v>#VALUE!</v>
      </c>
      <c r="Q2128" s="23" t="e">
        <f>_xlfn.XLOOKUP(Tabla1[[#This Row],[Ean Normalizado]],Consumos!A:A,Consumos!E:E)</f>
        <v>#VALUE!</v>
      </c>
      <c r="R2128" s="22" t="e">
        <f>_xlfn.XLOOKUP(Tabla1[[#This Row],[Ean Normalizado]],tabla_consumos[EAN],tabla_consumos[UM])</f>
        <v>#VALUE!</v>
      </c>
      <c r="S2128" s="22" t="e">
        <f>Tabla1[[#This Row],[StockDisp]]*Tabla1[[#This Row],[UM producto]]</f>
        <v>#VALUE!</v>
      </c>
    </row>
    <row r="2129" spans="1:19" x14ac:dyDescent="0.35">
      <c r="A2129" s="5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6"/>
      <c r="P2129" s="23" t="e">
        <f>TRIM(Tabla1[[#This Row],[Articulo]])</f>
        <v>#VALUE!</v>
      </c>
      <c r="Q2129" s="23" t="e">
        <f>_xlfn.XLOOKUP(Tabla1[[#This Row],[Ean Normalizado]],Consumos!A:A,Consumos!E:E)</f>
        <v>#VALUE!</v>
      </c>
      <c r="R2129" s="22" t="e">
        <f>_xlfn.XLOOKUP(Tabla1[[#This Row],[Ean Normalizado]],tabla_consumos[EAN],tabla_consumos[UM])</f>
        <v>#VALUE!</v>
      </c>
      <c r="S2129" s="22" t="e">
        <f>Tabla1[[#This Row],[StockDisp]]*Tabla1[[#This Row],[UM producto]]</f>
        <v>#VALUE!</v>
      </c>
    </row>
    <row r="2130" spans="1:19" x14ac:dyDescent="0.35">
      <c r="A2130" s="5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6"/>
      <c r="P2130" s="23" t="e">
        <f>TRIM(Tabla1[[#This Row],[Articulo]])</f>
        <v>#VALUE!</v>
      </c>
      <c r="Q2130" s="23" t="e">
        <f>_xlfn.XLOOKUP(Tabla1[[#This Row],[Ean Normalizado]],Consumos!A:A,Consumos!E:E)</f>
        <v>#VALUE!</v>
      </c>
      <c r="R2130" s="22" t="e">
        <f>_xlfn.XLOOKUP(Tabla1[[#This Row],[Ean Normalizado]],tabla_consumos[EAN],tabla_consumos[UM])</f>
        <v>#VALUE!</v>
      </c>
      <c r="S2130" s="22" t="e">
        <f>Tabla1[[#This Row],[StockDisp]]*Tabla1[[#This Row],[UM producto]]</f>
        <v>#VALUE!</v>
      </c>
    </row>
    <row r="2131" spans="1:19" x14ac:dyDescent="0.35">
      <c r="A2131" s="5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6"/>
      <c r="P2131" s="23" t="e">
        <f>TRIM(Tabla1[[#This Row],[Articulo]])</f>
        <v>#VALUE!</v>
      </c>
      <c r="Q2131" s="23" t="e">
        <f>_xlfn.XLOOKUP(Tabla1[[#This Row],[Ean Normalizado]],Consumos!A:A,Consumos!E:E)</f>
        <v>#VALUE!</v>
      </c>
      <c r="R2131" s="22" t="e">
        <f>_xlfn.XLOOKUP(Tabla1[[#This Row],[Ean Normalizado]],tabla_consumos[EAN],tabla_consumos[UM])</f>
        <v>#VALUE!</v>
      </c>
      <c r="S2131" s="22" t="e">
        <f>Tabla1[[#This Row],[StockDisp]]*Tabla1[[#This Row],[UM producto]]</f>
        <v>#VALUE!</v>
      </c>
    </row>
    <row r="2132" spans="1:19" x14ac:dyDescent="0.35">
      <c r="A2132" s="5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6"/>
      <c r="P2132" s="23" t="e">
        <f>TRIM(Tabla1[[#This Row],[Articulo]])</f>
        <v>#VALUE!</v>
      </c>
      <c r="Q2132" s="23" t="e">
        <f>_xlfn.XLOOKUP(Tabla1[[#This Row],[Ean Normalizado]],Consumos!A:A,Consumos!E:E)</f>
        <v>#VALUE!</v>
      </c>
      <c r="R2132" s="22" t="e">
        <f>_xlfn.XLOOKUP(Tabla1[[#This Row],[Ean Normalizado]],tabla_consumos[EAN],tabla_consumos[UM])</f>
        <v>#VALUE!</v>
      </c>
      <c r="S2132" s="22" t="e">
        <f>Tabla1[[#This Row],[StockDisp]]*Tabla1[[#This Row],[UM producto]]</f>
        <v>#VALUE!</v>
      </c>
    </row>
    <row r="2133" spans="1:19" x14ac:dyDescent="0.35">
      <c r="A2133" s="5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6"/>
      <c r="P2133" s="23" t="e">
        <f>TRIM(Tabla1[[#This Row],[Articulo]])</f>
        <v>#VALUE!</v>
      </c>
      <c r="Q2133" s="23" t="e">
        <f>_xlfn.XLOOKUP(Tabla1[[#This Row],[Ean Normalizado]],Consumos!A:A,Consumos!E:E)</f>
        <v>#VALUE!</v>
      </c>
      <c r="R2133" s="22" t="e">
        <f>_xlfn.XLOOKUP(Tabla1[[#This Row],[Ean Normalizado]],tabla_consumos[EAN],tabla_consumos[UM])</f>
        <v>#VALUE!</v>
      </c>
      <c r="S2133" s="22" t="e">
        <f>Tabla1[[#This Row],[StockDisp]]*Tabla1[[#This Row],[UM producto]]</f>
        <v>#VALUE!</v>
      </c>
    </row>
    <row r="2134" spans="1:19" x14ac:dyDescent="0.35">
      <c r="A2134" s="5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6"/>
      <c r="P2134" s="23" t="e">
        <f>TRIM(Tabla1[[#This Row],[Articulo]])</f>
        <v>#VALUE!</v>
      </c>
      <c r="Q2134" s="23" t="e">
        <f>_xlfn.XLOOKUP(Tabla1[[#This Row],[Ean Normalizado]],Consumos!A:A,Consumos!E:E)</f>
        <v>#VALUE!</v>
      </c>
      <c r="R2134" s="22" t="e">
        <f>_xlfn.XLOOKUP(Tabla1[[#This Row],[Ean Normalizado]],tabla_consumos[EAN],tabla_consumos[UM])</f>
        <v>#VALUE!</v>
      </c>
      <c r="S2134" s="22" t="e">
        <f>Tabla1[[#This Row],[StockDisp]]*Tabla1[[#This Row],[UM producto]]</f>
        <v>#VALUE!</v>
      </c>
    </row>
    <row r="2135" spans="1:19" x14ac:dyDescent="0.35">
      <c r="A2135" s="5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6"/>
      <c r="P2135" s="23" t="e">
        <f>TRIM(Tabla1[[#This Row],[Articulo]])</f>
        <v>#VALUE!</v>
      </c>
      <c r="Q2135" s="23" t="e">
        <f>_xlfn.XLOOKUP(Tabla1[[#This Row],[Ean Normalizado]],Consumos!A:A,Consumos!E:E)</f>
        <v>#VALUE!</v>
      </c>
      <c r="R2135" s="22" t="e">
        <f>_xlfn.XLOOKUP(Tabla1[[#This Row],[Ean Normalizado]],tabla_consumos[EAN],tabla_consumos[UM])</f>
        <v>#VALUE!</v>
      </c>
      <c r="S2135" s="22" t="e">
        <f>Tabla1[[#This Row],[StockDisp]]*Tabla1[[#This Row],[UM producto]]</f>
        <v>#VALUE!</v>
      </c>
    </row>
    <row r="2136" spans="1:19" x14ac:dyDescent="0.35">
      <c r="A2136" s="5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6"/>
      <c r="P2136" s="23" t="e">
        <f>TRIM(Tabla1[[#This Row],[Articulo]])</f>
        <v>#VALUE!</v>
      </c>
      <c r="Q2136" s="23" t="e">
        <f>_xlfn.XLOOKUP(Tabla1[[#This Row],[Ean Normalizado]],Consumos!A:A,Consumos!E:E)</f>
        <v>#VALUE!</v>
      </c>
      <c r="R2136" s="22" t="e">
        <f>_xlfn.XLOOKUP(Tabla1[[#This Row],[Ean Normalizado]],tabla_consumos[EAN],tabla_consumos[UM])</f>
        <v>#VALUE!</v>
      </c>
      <c r="S2136" s="22" t="e">
        <f>Tabla1[[#This Row],[StockDisp]]*Tabla1[[#This Row],[UM producto]]</f>
        <v>#VALUE!</v>
      </c>
    </row>
    <row r="2137" spans="1:19" x14ac:dyDescent="0.35">
      <c r="A2137" s="5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6"/>
      <c r="P2137" s="23" t="e">
        <f>TRIM(Tabla1[[#This Row],[Articulo]])</f>
        <v>#VALUE!</v>
      </c>
      <c r="Q2137" s="23" t="e">
        <f>_xlfn.XLOOKUP(Tabla1[[#This Row],[Ean Normalizado]],Consumos!A:A,Consumos!E:E)</f>
        <v>#VALUE!</v>
      </c>
      <c r="R2137" s="22" t="e">
        <f>_xlfn.XLOOKUP(Tabla1[[#This Row],[Ean Normalizado]],tabla_consumos[EAN],tabla_consumos[UM])</f>
        <v>#VALUE!</v>
      </c>
      <c r="S2137" s="22" t="e">
        <f>Tabla1[[#This Row],[StockDisp]]*Tabla1[[#This Row],[UM producto]]</f>
        <v>#VALUE!</v>
      </c>
    </row>
    <row r="2138" spans="1:19" x14ac:dyDescent="0.35">
      <c r="A2138" s="5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6"/>
      <c r="P2138" s="23" t="e">
        <f>TRIM(Tabla1[[#This Row],[Articulo]])</f>
        <v>#VALUE!</v>
      </c>
      <c r="Q2138" s="23" t="e">
        <f>_xlfn.XLOOKUP(Tabla1[[#This Row],[Ean Normalizado]],Consumos!A:A,Consumos!E:E)</f>
        <v>#VALUE!</v>
      </c>
      <c r="R2138" s="22" t="e">
        <f>_xlfn.XLOOKUP(Tabla1[[#This Row],[Ean Normalizado]],tabla_consumos[EAN],tabla_consumos[UM])</f>
        <v>#VALUE!</v>
      </c>
      <c r="S2138" s="22" t="e">
        <f>Tabla1[[#This Row],[StockDisp]]*Tabla1[[#This Row],[UM producto]]</f>
        <v>#VALUE!</v>
      </c>
    </row>
    <row r="2139" spans="1:19" x14ac:dyDescent="0.35">
      <c r="A2139" s="5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6"/>
      <c r="P2139" s="23" t="e">
        <f>TRIM(Tabla1[[#This Row],[Articulo]])</f>
        <v>#VALUE!</v>
      </c>
      <c r="Q2139" s="23" t="e">
        <f>_xlfn.XLOOKUP(Tabla1[[#This Row],[Ean Normalizado]],Consumos!A:A,Consumos!E:E)</f>
        <v>#VALUE!</v>
      </c>
      <c r="R2139" s="22" t="e">
        <f>_xlfn.XLOOKUP(Tabla1[[#This Row],[Ean Normalizado]],tabla_consumos[EAN],tabla_consumos[UM])</f>
        <v>#VALUE!</v>
      </c>
      <c r="S2139" s="22" t="e">
        <f>Tabla1[[#This Row],[StockDisp]]*Tabla1[[#This Row],[UM producto]]</f>
        <v>#VALUE!</v>
      </c>
    </row>
    <row r="2140" spans="1:19" x14ac:dyDescent="0.35">
      <c r="A2140" s="5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6"/>
      <c r="P2140" s="23" t="e">
        <f>TRIM(Tabla1[[#This Row],[Articulo]])</f>
        <v>#VALUE!</v>
      </c>
      <c r="Q2140" s="23" t="e">
        <f>_xlfn.XLOOKUP(Tabla1[[#This Row],[Ean Normalizado]],Consumos!A:A,Consumos!E:E)</f>
        <v>#VALUE!</v>
      </c>
      <c r="R2140" s="22" t="e">
        <f>_xlfn.XLOOKUP(Tabla1[[#This Row],[Ean Normalizado]],tabla_consumos[EAN],tabla_consumos[UM])</f>
        <v>#VALUE!</v>
      </c>
      <c r="S2140" s="22" t="e">
        <f>Tabla1[[#This Row],[StockDisp]]*Tabla1[[#This Row],[UM producto]]</f>
        <v>#VALUE!</v>
      </c>
    </row>
    <row r="2141" spans="1:19" x14ac:dyDescent="0.35">
      <c r="A2141" s="5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6"/>
      <c r="P2141" s="23" t="e">
        <f>TRIM(Tabla1[[#This Row],[Articulo]])</f>
        <v>#VALUE!</v>
      </c>
      <c r="Q2141" s="23" t="e">
        <f>_xlfn.XLOOKUP(Tabla1[[#This Row],[Ean Normalizado]],Consumos!A:A,Consumos!E:E)</f>
        <v>#VALUE!</v>
      </c>
      <c r="R2141" s="22" t="e">
        <f>_xlfn.XLOOKUP(Tabla1[[#This Row],[Ean Normalizado]],tabla_consumos[EAN],tabla_consumos[UM])</f>
        <v>#VALUE!</v>
      </c>
      <c r="S2141" s="22" t="e">
        <f>Tabla1[[#This Row],[StockDisp]]*Tabla1[[#This Row],[UM producto]]</f>
        <v>#VALUE!</v>
      </c>
    </row>
    <row r="2142" spans="1:19" x14ac:dyDescent="0.35">
      <c r="A2142" s="5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6"/>
      <c r="P2142" s="23" t="e">
        <f>TRIM(Tabla1[[#This Row],[Articulo]])</f>
        <v>#VALUE!</v>
      </c>
      <c r="Q2142" s="23" t="e">
        <f>_xlfn.XLOOKUP(Tabla1[[#This Row],[Ean Normalizado]],Consumos!A:A,Consumos!E:E)</f>
        <v>#VALUE!</v>
      </c>
      <c r="R2142" s="22" t="e">
        <f>_xlfn.XLOOKUP(Tabla1[[#This Row],[Ean Normalizado]],tabla_consumos[EAN],tabla_consumos[UM])</f>
        <v>#VALUE!</v>
      </c>
      <c r="S2142" s="22" t="e">
        <f>Tabla1[[#This Row],[StockDisp]]*Tabla1[[#This Row],[UM producto]]</f>
        <v>#VALUE!</v>
      </c>
    </row>
    <row r="2143" spans="1:19" x14ac:dyDescent="0.35">
      <c r="A2143" s="5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6"/>
      <c r="P2143" s="23" t="e">
        <f>TRIM(Tabla1[[#This Row],[Articulo]])</f>
        <v>#VALUE!</v>
      </c>
      <c r="Q2143" s="23" t="e">
        <f>_xlfn.XLOOKUP(Tabla1[[#This Row],[Ean Normalizado]],Consumos!A:A,Consumos!E:E)</f>
        <v>#VALUE!</v>
      </c>
      <c r="R2143" s="22" t="e">
        <f>_xlfn.XLOOKUP(Tabla1[[#This Row],[Ean Normalizado]],tabla_consumos[EAN],tabla_consumos[UM])</f>
        <v>#VALUE!</v>
      </c>
      <c r="S2143" s="22" t="e">
        <f>Tabla1[[#This Row],[StockDisp]]*Tabla1[[#This Row],[UM producto]]</f>
        <v>#VALUE!</v>
      </c>
    </row>
    <row r="2144" spans="1:19" x14ac:dyDescent="0.35">
      <c r="A2144" s="5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6"/>
      <c r="P2144" s="23" t="e">
        <f>TRIM(Tabla1[[#This Row],[Articulo]])</f>
        <v>#VALUE!</v>
      </c>
      <c r="Q2144" s="23" t="e">
        <f>_xlfn.XLOOKUP(Tabla1[[#This Row],[Ean Normalizado]],Consumos!A:A,Consumos!E:E)</f>
        <v>#VALUE!</v>
      </c>
      <c r="R2144" s="22" t="e">
        <f>_xlfn.XLOOKUP(Tabla1[[#This Row],[Ean Normalizado]],tabla_consumos[EAN],tabla_consumos[UM])</f>
        <v>#VALUE!</v>
      </c>
      <c r="S2144" s="22" t="e">
        <f>Tabla1[[#This Row],[StockDisp]]*Tabla1[[#This Row],[UM producto]]</f>
        <v>#VALUE!</v>
      </c>
    </row>
    <row r="2145" spans="1:19" x14ac:dyDescent="0.35">
      <c r="A2145" s="5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6"/>
      <c r="P2145" s="23" t="e">
        <f>TRIM(Tabla1[[#This Row],[Articulo]])</f>
        <v>#VALUE!</v>
      </c>
      <c r="Q2145" s="23" t="e">
        <f>_xlfn.XLOOKUP(Tabla1[[#This Row],[Ean Normalizado]],Consumos!A:A,Consumos!E:E)</f>
        <v>#VALUE!</v>
      </c>
      <c r="R2145" s="22" t="e">
        <f>_xlfn.XLOOKUP(Tabla1[[#This Row],[Ean Normalizado]],tabla_consumos[EAN],tabla_consumos[UM])</f>
        <v>#VALUE!</v>
      </c>
      <c r="S2145" s="22" t="e">
        <f>Tabla1[[#This Row],[StockDisp]]*Tabla1[[#This Row],[UM producto]]</f>
        <v>#VALUE!</v>
      </c>
    </row>
    <row r="2146" spans="1:19" x14ac:dyDescent="0.35">
      <c r="A2146" s="5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6"/>
      <c r="P2146" s="23" t="e">
        <f>TRIM(Tabla1[[#This Row],[Articulo]])</f>
        <v>#VALUE!</v>
      </c>
      <c r="Q2146" s="23" t="e">
        <f>_xlfn.XLOOKUP(Tabla1[[#This Row],[Ean Normalizado]],Consumos!A:A,Consumos!E:E)</f>
        <v>#VALUE!</v>
      </c>
      <c r="R2146" s="22" t="e">
        <f>_xlfn.XLOOKUP(Tabla1[[#This Row],[Ean Normalizado]],tabla_consumos[EAN],tabla_consumos[UM])</f>
        <v>#VALUE!</v>
      </c>
      <c r="S2146" s="22" t="e">
        <f>Tabla1[[#This Row],[StockDisp]]*Tabla1[[#This Row],[UM producto]]</f>
        <v>#VALUE!</v>
      </c>
    </row>
    <row r="2147" spans="1:19" x14ac:dyDescent="0.35">
      <c r="A2147" s="5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6"/>
      <c r="P2147" s="23" t="e">
        <f>TRIM(Tabla1[[#This Row],[Articulo]])</f>
        <v>#VALUE!</v>
      </c>
      <c r="Q2147" s="23" t="e">
        <f>_xlfn.XLOOKUP(Tabla1[[#This Row],[Ean Normalizado]],Consumos!A:A,Consumos!E:E)</f>
        <v>#VALUE!</v>
      </c>
      <c r="R2147" s="22" t="e">
        <f>_xlfn.XLOOKUP(Tabla1[[#This Row],[Ean Normalizado]],tabla_consumos[EAN],tabla_consumos[UM])</f>
        <v>#VALUE!</v>
      </c>
      <c r="S2147" s="22" t="e">
        <f>Tabla1[[#This Row],[StockDisp]]*Tabla1[[#This Row],[UM producto]]</f>
        <v>#VALUE!</v>
      </c>
    </row>
    <row r="2148" spans="1:19" x14ac:dyDescent="0.35">
      <c r="A2148" s="5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6"/>
      <c r="P2148" s="23" t="e">
        <f>TRIM(Tabla1[[#This Row],[Articulo]])</f>
        <v>#VALUE!</v>
      </c>
      <c r="Q2148" s="23" t="e">
        <f>_xlfn.XLOOKUP(Tabla1[[#This Row],[Ean Normalizado]],Consumos!A:A,Consumos!E:E)</f>
        <v>#VALUE!</v>
      </c>
      <c r="R2148" s="22" t="e">
        <f>_xlfn.XLOOKUP(Tabla1[[#This Row],[Ean Normalizado]],tabla_consumos[EAN],tabla_consumos[UM])</f>
        <v>#VALUE!</v>
      </c>
      <c r="S2148" s="22" t="e">
        <f>Tabla1[[#This Row],[StockDisp]]*Tabla1[[#This Row],[UM producto]]</f>
        <v>#VALUE!</v>
      </c>
    </row>
    <row r="2149" spans="1:19" x14ac:dyDescent="0.35">
      <c r="A2149" s="5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6"/>
      <c r="P2149" s="23" t="e">
        <f>TRIM(Tabla1[[#This Row],[Articulo]])</f>
        <v>#VALUE!</v>
      </c>
      <c r="Q2149" s="23" t="e">
        <f>_xlfn.XLOOKUP(Tabla1[[#This Row],[Ean Normalizado]],Consumos!A:A,Consumos!E:E)</f>
        <v>#VALUE!</v>
      </c>
      <c r="R2149" s="22" t="e">
        <f>_xlfn.XLOOKUP(Tabla1[[#This Row],[Ean Normalizado]],tabla_consumos[EAN],tabla_consumos[UM])</f>
        <v>#VALUE!</v>
      </c>
      <c r="S2149" s="22" t="e">
        <f>Tabla1[[#This Row],[StockDisp]]*Tabla1[[#This Row],[UM producto]]</f>
        <v>#VALUE!</v>
      </c>
    </row>
    <row r="2150" spans="1:19" x14ac:dyDescent="0.35">
      <c r="A2150" s="5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6"/>
      <c r="P2150" s="23" t="e">
        <f>TRIM(Tabla1[[#This Row],[Articulo]])</f>
        <v>#VALUE!</v>
      </c>
      <c r="Q2150" s="23" t="e">
        <f>_xlfn.XLOOKUP(Tabla1[[#This Row],[Ean Normalizado]],Consumos!A:A,Consumos!E:E)</f>
        <v>#VALUE!</v>
      </c>
      <c r="R2150" s="22" t="e">
        <f>_xlfn.XLOOKUP(Tabla1[[#This Row],[Ean Normalizado]],tabla_consumos[EAN],tabla_consumos[UM])</f>
        <v>#VALUE!</v>
      </c>
      <c r="S2150" s="22" t="e">
        <f>Tabla1[[#This Row],[StockDisp]]*Tabla1[[#This Row],[UM producto]]</f>
        <v>#VALUE!</v>
      </c>
    </row>
    <row r="2151" spans="1:19" x14ac:dyDescent="0.35">
      <c r="A2151" s="5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6"/>
      <c r="P2151" s="23" t="e">
        <f>TRIM(Tabla1[[#This Row],[Articulo]])</f>
        <v>#VALUE!</v>
      </c>
      <c r="Q2151" s="23" t="e">
        <f>_xlfn.XLOOKUP(Tabla1[[#This Row],[Ean Normalizado]],Consumos!A:A,Consumos!E:E)</f>
        <v>#VALUE!</v>
      </c>
      <c r="R2151" s="22" t="e">
        <f>_xlfn.XLOOKUP(Tabla1[[#This Row],[Ean Normalizado]],tabla_consumos[EAN],tabla_consumos[UM])</f>
        <v>#VALUE!</v>
      </c>
      <c r="S2151" s="22" t="e">
        <f>Tabla1[[#This Row],[StockDisp]]*Tabla1[[#This Row],[UM producto]]</f>
        <v>#VALUE!</v>
      </c>
    </row>
    <row r="2152" spans="1:19" x14ac:dyDescent="0.35">
      <c r="A2152" s="5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6"/>
      <c r="P2152" s="23" t="e">
        <f>TRIM(Tabla1[[#This Row],[Articulo]])</f>
        <v>#VALUE!</v>
      </c>
      <c r="Q2152" s="23" t="e">
        <f>_xlfn.XLOOKUP(Tabla1[[#This Row],[Ean Normalizado]],Consumos!A:A,Consumos!E:E)</f>
        <v>#VALUE!</v>
      </c>
      <c r="R2152" s="22" t="e">
        <f>_xlfn.XLOOKUP(Tabla1[[#This Row],[Ean Normalizado]],tabla_consumos[EAN],tabla_consumos[UM])</f>
        <v>#VALUE!</v>
      </c>
      <c r="S2152" s="22" t="e">
        <f>Tabla1[[#This Row],[StockDisp]]*Tabla1[[#This Row],[UM producto]]</f>
        <v>#VALUE!</v>
      </c>
    </row>
    <row r="2153" spans="1:19" x14ac:dyDescent="0.35">
      <c r="A2153" s="5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6"/>
      <c r="P2153" s="23" t="e">
        <f>TRIM(Tabla1[[#This Row],[Articulo]])</f>
        <v>#VALUE!</v>
      </c>
      <c r="Q2153" s="23" t="e">
        <f>_xlfn.XLOOKUP(Tabla1[[#This Row],[Ean Normalizado]],Consumos!A:A,Consumos!E:E)</f>
        <v>#VALUE!</v>
      </c>
      <c r="R2153" s="22" t="e">
        <f>_xlfn.XLOOKUP(Tabla1[[#This Row],[Ean Normalizado]],tabla_consumos[EAN],tabla_consumos[UM])</f>
        <v>#VALUE!</v>
      </c>
      <c r="S2153" s="22" t="e">
        <f>Tabla1[[#This Row],[StockDisp]]*Tabla1[[#This Row],[UM producto]]</f>
        <v>#VALUE!</v>
      </c>
    </row>
    <row r="2154" spans="1:19" x14ac:dyDescent="0.35">
      <c r="A2154" s="5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6"/>
      <c r="P2154" s="23" t="e">
        <f>TRIM(Tabla1[[#This Row],[Articulo]])</f>
        <v>#VALUE!</v>
      </c>
      <c r="Q2154" s="23" t="e">
        <f>_xlfn.XLOOKUP(Tabla1[[#This Row],[Ean Normalizado]],Consumos!A:A,Consumos!E:E)</f>
        <v>#VALUE!</v>
      </c>
      <c r="R2154" s="22" t="e">
        <f>_xlfn.XLOOKUP(Tabla1[[#This Row],[Ean Normalizado]],tabla_consumos[EAN],tabla_consumos[UM])</f>
        <v>#VALUE!</v>
      </c>
      <c r="S2154" s="22" t="e">
        <f>Tabla1[[#This Row],[StockDisp]]*Tabla1[[#This Row],[UM producto]]</f>
        <v>#VALUE!</v>
      </c>
    </row>
    <row r="2155" spans="1:19" x14ac:dyDescent="0.35">
      <c r="A2155" s="5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6"/>
      <c r="P2155" s="23" t="e">
        <f>TRIM(Tabla1[[#This Row],[Articulo]])</f>
        <v>#VALUE!</v>
      </c>
      <c r="Q2155" s="23" t="e">
        <f>_xlfn.XLOOKUP(Tabla1[[#This Row],[Ean Normalizado]],Consumos!A:A,Consumos!E:E)</f>
        <v>#VALUE!</v>
      </c>
      <c r="R2155" s="22" t="e">
        <f>_xlfn.XLOOKUP(Tabla1[[#This Row],[Ean Normalizado]],tabla_consumos[EAN],tabla_consumos[UM])</f>
        <v>#VALUE!</v>
      </c>
      <c r="S2155" s="22" t="e">
        <f>Tabla1[[#This Row],[StockDisp]]*Tabla1[[#This Row],[UM producto]]</f>
        <v>#VALUE!</v>
      </c>
    </row>
    <row r="2156" spans="1:19" x14ac:dyDescent="0.35">
      <c r="A2156" s="5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6"/>
      <c r="P2156" s="23" t="e">
        <f>TRIM(Tabla1[[#This Row],[Articulo]])</f>
        <v>#VALUE!</v>
      </c>
      <c r="Q2156" s="23" t="e">
        <f>_xlfn.XLOOKUP(Tabla1[[#This Row],[Ean Normalizado]],Consumos!A:A,Consumos!E:E)</f>
        <v>#VALUE!</v>
      </c>
      <c r="R2156" s="22" t="e">
        <f>_xlfn.XLOOKUP(Tabla1[[#This Row],[Ean Normalizado]],tabla_consumos[EAN],tabla_consumos[UM])</f>
        <v>#VALUE!</v>
      </c>
      <c r="S2156" s="22" t="e">
        <f>Tabla1[[#This Row],[StockDisp]]*Tabla1[[#This Row],[UM producto]]</f>
        <v>#VALUE!</v>
      </c>
    </row>
    <row r="2157" spans="1:19" x14ac:dyDescent="0.35">
      <c r="A2157" s="5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6"/>
      <c r="P2157" s="23" t="e">
        <f>TRIM(Tabla1[[#This Row],[Articulo]])</f>
        <v>#VALUE!</v>
      </c>
      <c r="Q2157" s="23" t="e">
        <f>_xlfn.XLOOKUP(Tabla1[[#This Row],[Ean Normalizado]],Consumos!A:A,Consumos!E:E)</f>
        <v>#VALUE!</v>
      </c>
      <c r="R2157" s="22" t="e">
        <f>_xlfn.XLOOKUP(Tabla1[[#This Row],[Ean Normalizado]],tabla_consumos[EAN],tabla_consumos[UM])</f>
        <v>#VALUE!</v>
      </c>
      <c r="S2157" s="22" t="e">
        <f>Tabla1[[#This Row],[StockDisp]]*Tabla1[[#This Row],[UM producto]]</f>
        <v>#VALUE!</v>
      </c>
    </row>
    <row r="2158" spans="1:19" x14ac:dyDescent="0.35">
      <c r="A2158" s="5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6"/>
      <c r="P2158" s="23" t="e">
        <f>TRIM(Tabla1[[#This Row],[Articulo]])</f>
        <v>#VALUE!</v>
      </c>
      <c r="Q2158" s="23" t="e">
        <f>_xlfn.XLOOKUP(Tabla1[[#This Row],[Ean Normalizado]],Consumos!A:A,Consumos!E:E)</f>
        <v>#VALUE!</v>
      </c>
      <c r="R2158" s="22" t="e">
        <f>_xlfn.XLOOKUP(Tabla1[[#This Row],[Ean Normalizado]],tabla_consumos[EAN],tabla_consumos[UM])</f>
        <v>#VALUE!</v>
      </c>
      <c r="S2158" s="22" t="e">
        <f>Tabla1[[#This Row],[StockDisp]]*Tabla1[[#This Row],[UM producto]]</f>
        <v>#VALUE!</v>
      </c>
    </row>
    <row r="2159" spans="1:19" x14ac:dyDescent="0.35">
      <c r="A2159" s="5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6"/>
      <c r="P2159" s="23" t="e">
        <f>TRIM(Tabla1[[#This Row],[Articulo]])</f>
        <v>#VALUE!</v>
      </c>
      <c r="Q2159" s="23" t="e">
        <f>_xlfn.XLOOKUP(Tabla1[[#This Row],[Ean Normalizado]],Consumos!A:A,Consumos!E:E)</f>
        <v>#VALUE!</v>
      </c>
      <c r="R2159" s="22" t="e">
        <f>_xlfn.XLOOKUP(Tabla1[[#This Row],[Ean Normalizado]],tabla_consumos[EAN],tabla_consumos[UM])</f>
        <v>#VALUE!</v>
      </c>
      <c r="S2159" s="22" t="e">
        <f>Tabla1[[#This Row],[StockDisp]]*Tabla1[[#This Row],[UM producto]]</f>
        <v>#VALUE!</v>
      </c>
    </row>
    <row r="2160" spans="1:19" x14ac:dyDescent="0.35">
      <c r="A2160" s="5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6"/>
      <c r="P2160" s="23" t="e">
        <f>TRIM(Tabla1[[#This Row],[Articulo]])</f>
        <v>#VALUE!</v>
      </c>
      <c r="Q2160" s="23" t="e">
        <f>_xlfn.XLOOKUP(Tabla1[[#This Row],[Ean Normalizado]],Consumos!A:A,Consumos!E:E)</f>
        <v>#VALUE!</v>
      </c>
      <c r="R2160" s="22" t="e">
        <f>_xlfn.XLOOKUP(Tabla1[[#This Row],[Ean Normalizado]],tabla_consumos[EAN],tabla_consumos[UM])</f>
        <v>#VALUE!</v>
      </c>
      <c r="S2160" s="22" t="e">
        <f>Tabla1[[#This Row],[StockDisp]]*Tabla1[[#This Row],[UM producto]]</f>
        <v>#VALUE!</v>
      </c>
    </row>
    <row r="2161" spans="1:19" x14ac:dyDescent="0.35">
      <c r="A2161" s="5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6"/>
      <c r="P2161" s="23" t="e">
        <f>TRIM(Tabla1[[#This Row],[Articulo]])</f>
        <v>#VALUE!</v>
      </c>
      <c r="Q2161" s="23" t="e">
        <f>_xlfn.XLOOKUP(Tabla1[[#This Row],[Ean Normalizado]],Consumos!A:A,Consumos!E:E)</f>
        <v>#VALUE!</v>
      </c>
      <c r="R2161" s="22" t="e">
        <f>_xlfn.XLOOKUP(Tabla1[[#This Row],[Ean Normalizado]],tabla_consumos[EAN],tabla_consumos[UM])</f>
        <v>#VALUE!</v>
      </c>
      <c r="S2161" s="22" t="e">
        <f>Tabla1[[#This Row],[StockDisp]]*Tabla1[[#This Row],[UM producto]]</f>
        <v>#VALUE!</v>
      </c>
    </row>
    <row r="2162" spans="1:19" x14ac:dyDescent="0.35">
      <c r="A2162" s="5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6"/>
      <c r="P2162" s="23" t="e">
        <f>TRIM(Tabla1[[#This Row],[Articulo]])</f>
        <v>#VALUE!</v>
      </c>
      <c r="Q2162" s="23" t="e">
        <f>_xlfn.XLOOKUP(Tabla1[[#This Row],[Ean Normalizado]],Consumos!A:A,Consumos!E:E)</f>
        <v>#VALUE!</v>
      </c>
      <c r="R2162" s="22" t="e">
        <f>_xlfn.XLOOKUP(Tabla1[[#This Row],[Ean Normalizado]],tabla_consumos[EAN],tabla_consumos[UM])</f>
        <v>#VALUE!</v>
      </c>
      <c r="S2162" s="22" t="e">
        <f>Tabla1[[#This Row],[StockDisp]]*Tabla1[[#This Row],[UM producto]]</f>
        <v>#VALUE!</v>
      </c>
    </row>
    <row r="2163" spans="1:19" x14ac:dyDescent="0.35">
      <c r="A2163" s="5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6"/>
      <c r="P2163" s="23" t="e">
        <f>TRIM(Tabla1[[#This Row],[Articulo]])</f>
        <v>#VALUE!</v>
      </c>
      <c r="Q2163" s="23" t="e">
        <f>_xlfn.XLOOKUP(Tabla1[[#This Row],[Ean Normalizado]],Consumos!A:A,Consumos!E:E)</f>
        <v>#VALUE!</v>
      </c>
      <c r="R2163" s="22" t="e">
        <f>_xlfn.XLOOKUP(Tabla1[[#This Row],[Ean Normalizado]],tabla_consumos[EAN],tabla_consumos[UM])</f>
        <v>#VALUE!</v>
      </c>
      <c r="S2163" s="22" t="e">
        <f>Tabla1[[#This Row],[StockDisp]]*Tabla1[[#This Row],[UM producto]]</f>
        <v>#VALUE!</v>
      </c>
    </row>
    <row r="2164" spans="1:19" x14ac:dyDescent="0.35">
      <c r="A2164" s="5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6"/>
      <c r="P2164" s="23" t="e">
        <f>TRIM(Tabla1[[#This Row],[Articulo]])</f>
        <v>#VALUE!</v>
      </c>
      <c r="Q2164" s="23" t="e">
        <f>_xlfn.XLOOKUP(Tabla1[[#This Row],[Ean Normalizado]],Consumos!A:A,Consumos!E:E)</f>
        <v>#VALUE!</v>
      </c>
      <c r="R2164" s="22" t="e">
        <f>_xlfn.XLOOKUP(Tabla1[[#This Row],[Ean Normalizado]],tabla_consumos[EAN],tabla_consumos[UM])</f>
        <v>#VALUE!</v>
      </c>
      <c r="S2164" s="22" t="e">
        <f>Tabla1[[#This Row],[StockDisp]]*Tabla1[[#This Row],[UM producto]]</f>
        <v>#VALUE!</v>
      </c>
    </row>
    <row r="2165" spans="1:19" x14ac:dyDescent="0.35">
      <c r="A2165" s="5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6"/>
      <c r="P2165" s="23" t="e">
        <f>TRIM(Tabla1[[#This Row],[Articulo]])</f>
        <v>#VALUE!</v>
      </c>
      <c r="Q2165" s="23" t="e">
        <f>_xlfn.XLOOKUP(Tabla1[[#This Row],[Ean Normalizado]],Consumos!A:A,Consumos!E:E)</f>
        <v>#VALUE!</v>
      </c>
      <c r="R2165" s="22" t="e">
        <f>_xlfn.XLOOKUP(Tabla1[[#This Row],[Ean Normalizado]],tabla_consumos[EAN],tabla_consumos[UM])</f>
        <v>#VALUE!</v>
      </c>
      <c r="S2165" s="22" t="e">
        <f>Tabla1[[#This Row],[StockDisp]]*Tabla1[[#This Row],[UM producto]]</f>
        <v>#VALUE!</v>
      </c>
    </row>
    <row r="2166" spans="1:19" x14ac:dyDescent="0.35">
      <c r="A2166" s="5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6"/>
      <c r="P2166" s="23" t="e">
        <f>TRIM(Tabla1[[#This Row],[Articulo]])</f>
        <v>#VALUE!</v>
      </c>
      <c r="Q2166" s="23" t="e">
        <f>_xlfn.XLOOKUP(Tabla1[[#This Row],[Ean Normalizado]],Consumos!A:A,Consumos!E:E)</f>
        <v>#VALUE!</v>
      </c>
      <c r="R2166" s="22" t="e">
        <f>_xlfn.XLOOKUP(Tabla1[[#This Row],[Ean Normalizado]],tabla_consumos[EAN],tabla_consumos[UM])</f>
        <v>#VALUE!</v>
      </c>
      <c r="S2166" s="22" t="e">
        <f>Tabla1[[#This Row],[StockDisp]]*Tabla1[[#This Row],[UM producto]]</f>
        <v>#VALUE!</v>
      </c>
    </row>
    <row r="2167" spans="1:19" x14ac:dyDescent="0.35">
      <c r="A2167" s="5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6"/>
      <c r="P2167" s="23" t="e">
        <f>TRIM(Tabla1[[#This Row],[Articulo]])</f>
        <v>#VALUE!</v>
      </c>
      <c r="Q2167" s="23" t="e">
        <f>_xlfn.XLOOKUP(Tabla1[[#This Row],[Ean Normalizado]],Consumos!A:A,Consumos!E:E)</f>
        <v>#VALUE!</v>
      </c>
      <c r="R2167" s="22" t="e">
        <f>_xlfn.XLOOKUP(Tabla1[[#This Row],[Ean Normalizado]],tabla_consumos[EAN],tabla_consumos[UM])</f>
        <v>#VALUE!</v>
      </c>
      <c r="S2167" s="22" t="e">
        <f>Tabla1[[#This Row],[StockDisp]]*Tabla1[[#This Row],[UM producto]]</f>
        <v>#VALUE!</v>
      </c>
    </row>
    <row r="2168" spans="1:19" x14ac:dyDescent="0.35">
      <c r="A2168" s="5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6"/>
      <c r="P2168" s="23" t="e">
        <f>TRIM(Tabla1[[#This Row],[Articulo]])</f>
        <v>#VALUE!</v>
      </c>
      <c r="Q2168" s="23" t="e">
        <f>_xlfn.XLOOKUP(Tabla1[[#This Row],[Ean Normalizado]],Consumos!A:A,Consumos!E:E)</f>
        <v>#VALUE!</v>
      </c>
      <c r="R2168" s="22" t="e">
        <f>_xlfn.XLOOKUP(Tabla1[[#This Row],[Ean Normalizado]],tabla_consumos[EAN],tabla_consumos[UM])</f>
        <v>#VALUE!</v>
      </c>
      <c r="S2168" s="22" t="e">
        <f>Tabla1[[#This Row],[StockDisp]]*Tabla1[[#This Row],[UM producto]]</f>
        <v>#VALUE!</v>
      </c>
    </row>
    <row r="2169" spans="1:19" x14ac:dyDescent="0.35">
      <c r="A2169" s="5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6"/>
      <c r="P2169" s="23" t="e">
        <f>TRIM(Tabla1[[#This Row],[Articulo]])</f>
        <v>#VALUE!</v>
      </c>
      <c r="Q2169" s="23" t="e">
        <f>_xlfn.XLOOKUP(Tabla1[[#This Row],[Ean Normalizado]],Consumos!A:A,Consumos!E:E)</f>
        <v>#VALUE!</v>
      </c>
      <c r="R2169" s="22" t="e">
        <f>_xlfn.XLOOKUP(Tabla1[[#This Row],[Ean Normalizado]],tabla_consumos[EAN],tabla_consumos[UM])</f>
        <v>#VALUE!</v>
      </c>
      <c r="S2169" s="22" t="e">
        <f>Tabla1[[#This Row],[StockDisp]]*Tabla1[[#This Row],[UM producto]]</f>
        <v>#VALUE!</v>
      </c>
    </row>
    <row r="2170" spans="1:19" x14ac:dyDescent="0.35">
      <c r="A2170" s="5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6"/>
      <c r="P2170" s="23" t="e">
        <f>TRIM(Tabla1[[#This Row],[Articulo]])</f>
        <v>#VALUE!</v>
      </c>
      <c r="Q2170" s="23" t="e">
        <f>_xlfn.XLOOKUP(Tabla1[[#This Row],[Ean Normalizado]],Consumos!A:A,Consumos!E:E)</f>
        <v>#VALUE!</v>
      </c>
      <c r="R2170" s="22" t="e">
        <f>_xlfn.XLOOKUP(Tabla1[[#This Row],[Ean Normalizado]],tabla_consumos[EAN],tabla_consumos[UM])</f>
        <v>#VALUE!</v>
      </c>
      <c r="S2170" s="22" t="e">
        <f>Tabla1[[#This Row],[StockDisp]]*Tabla1[[#This Row],[UM producto]]</f>
        <v>#VALUE!</v>
      </c>
    </row>
    <row r="2171" spans="1:19" x14ac:dyDescent="0.35">
      <c r="A2171" s="5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6"/>
      <c r="P2171" s="23" t="e">
        <f>TRIM(Tabla1[[#This Row],[Articulo]])</f>
        <v>#VALUE!</v>
      </c>
      <c r="Q2171" s="23" t="e">
        <f>_xlfn.XLOOKUP(Tabla1[[#This Row],[Ean Normalizado]],Consumos!A:A,Consumos!E:E)</f>
        <v>#VALUE!</v>
      </c>
      <c r="R2171" s="22" t="e">
        <f>_xlfn.XLOOKUP(Tabla1[[#This Row],[Ean Normalizado]],tabla_consumos[EAN],tabla_consumos[UM])</f>
        <v>#VALUE!</v>
      </c>
      <c r="S2171" s="22" t="e">
        <f>Tabla1[[#This Row],[StockDisp]]*Tabla1[[#This Row],[UM producto]]</f>
        <v>#VALUE!</v>
      </c>
    </row>
    <row r="2172" spans="1:19" x14ac:dyDescent="0.35">
      <c r="A2172" s="5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6"/>
      <c r="P2172" s="23" t="e">
        <f>TRIM(Tabla1[[#This Row],[Articulo]])</f>
        <v>#VALUE!</v>
      </c>
      <c r="Q2172" s="23" t="e">
        <f>_xlfn.XLOOKUP(Tabla1[[#This Row],[Ean Normalizado]],Consumos!A:A,Consumos!E:E)</f>
        <v>#VALUE!</v>
      </c>
      <c r="R2172" s="22" t="e">
        <f>_xlfn.XLOOKUP(Tabla1[[#This Row],[Ean Normalizado]],tabla_consumos[EAN],tabla_consumos[UM])</f>
        <v>#VALUE!</v>
      </c>
      <c r="S2172" s="22" t="e">
        <f>Tabla1[[#This Row],[StockDisp]]*Tabla1[[#This Row],[UM producto]]</f>
        <v>#VALUE!</v>
      </c>
    </row>
    <row r="2173" spans="1:19" x14ac:dyDescent="0.35">
      <c r="A2173" s="5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6"/>
      <c r="P2173" s="23" t="e">
        <f>TRIM(Tabla1[[#This Row],[Articulo]])</f>
        <v>#VALUE!</v>
      </c>
      <c r="Q2173" s="23" t="e">
        <f>_xlfn.XLOOKUP(Tabla1[[#This Row],[Ean Normalizado]],Consumos!A:A,Consumos!E:E)</f>
        <v>#VALUE!</v>
      </c>
      <c r="R2173" s="22" t="e">
        <f>_xlfn.XLOOKUP(Tabla1[[#This Row],[Ean Normalizado]],tabla_consumos[EAN],tabla_consumos[UM])</f>
        <v>#VALUE!</v>
      </c>
      <c r="S2173" s="22" t="e">
        <f>Tabla1[[#This Row],[StockDisp]]*Tabla1[[#This Row],[UM producto]]</f>
        <v>#VALUE!</v>
      </c>
    </row>
    <row r="2174" spans="1:19" x14ac:dyDescent="0.35">
      <c r="A2174" s="5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6"/>
      <c r="P2174" s="23" t="e">
        <f>TRIM(Tabla1[[#This Row],[Articulo]])</f>
        <v>#VALUE!</v>
      </c>
      <c r="Q2174" s="23" t="e">
        <f>_xlfn.XLOOKUP(Tabla1[[#This Row],[Ean Normalizado]],Consumos!A:A,Consumos!E:E)</f>
        <v>#VALUE!</v>
      </c>
      <c r="R2174" s="22" t="e">
        <f>_xlfn.XLOOKUP(Tabla1[[#This Row],[Ean Normalizado]],tabla_consumos[EAN],tabla_consumos[UM])</f>
        <v>#VALUE!</v>
      </c>
      <c r="S2174" s="22" t="e">
        <f>Tabla1[[#This Row],[StockDisp]]*Tabla1[[#This Row],[UM producto]]</f>
        <v>#VALUE!</v>
      </c>
    </row>
    <row r="2175" spans="1:19" x14ac:dyDescent="0.35">
      <c r="A2175" s="5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6"/>
      <c r="P2175" s="23" t="e">
        <f>TRIM(Tabla1[[#This Row],[Articulo]])</f>
        <v>#VALUE!</v>
      </c>
      <c r="Q2175" s="23" t="e">
        <f>_xlfn.XLOOKUP(Tabla1[[#This Row],[Ean Normalizado]],Consumos!A:A,Consumos!E:E)</f>
        <v>#VALUE!</v>
      </c>
      <c r="R2175" s="22" t="e">
        <f>_xlfn.XLOOKUP(Tabla1[[#This Row],[Ean Normalizado]],tabla_consumos[EAN],tabla_consumos[UM])</f>
        <v>#VALUE!</v>
      </c>
      <c r="S2175" s="22" t="e">
        <f>Tabla1[[#This Row],[StockDisp]]*Tabla1[[#This Row],[UM producto]]</f>
        <v>#VALUE!</v>
      </c>
    </row>
    <row r="2176" spans="1:19" x14ac:dyDescent="0.35">
      <c r="A2176" s="5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6"/>
      <c r="P2176" s="23" t="e">
        <f>TRIM(Tabla1[[#This Row],[Articulo]])</f>
        <v>#VALUE!</v>
      </c>
      <c r="Q2176" s="23" t="e">
        <f>_xlfn.XLOOKUP(Tabla1[[#This Row],[Ean Normalizado]],Consumos!A:A,Consumos!E:E)</f>
        <v>#VALUE!</v>
      </c>
      <c r="R2176" s="22" t="e">
        <f>_xlfn.XLOOKUP(Tabla1[[#This Row],[Ean Normalizado]],tabla_consumos[EAN],tabla_consumos[UM])</f>
        <v>#VALUE!</v>
      </c>
      <c r="S2176" s="22" t="e">
        <f>Tabla1[[#This Row],[StockDisp]]*Tabla1[[#This Row],[UM producto]]</f>
        <v>#VALUE!</v>
      </c>
    </row>
    <row r="2177" spans="1:19" x14ac:dyDescent="0.35">
      <c r="A2177" s="5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6"/>
      <c r="P2177" s="23" t="e">
        <f>TRIM(Tabla1[[#This Row],[Articulo]])</f>
        <v>#VALUE!</v>
      </c>
      <c r="Q2177" s="23" t="e">
        <f>_xlfn.XLOOKUP(Tabla1[[#This Row],[Ean Normalizado]],Consumos!A:A,Consumos!E:E)</f>
        <v>#VALUE!</v>
      </c>
      <c r="R2177" s="22" t="e">
        <f>_xlfn.XLOOKUP(Tabla1[[#This Row],[Ean Normalizado]],tabla_consumos[EAN],tabla_consumos[UM])</f>
        <v>#VALUE!</v>
      </c>
      <c r="S2177" s="22" t="e">
        <f>Tabla1[[#This Row],[StockDisp]]*Tabla1[[#This Row],[UM producto]]</f>
        <v>#VALUE!</v>
      </c>
    </row>
    <row r="2178" spans="1:19" x14ac:dyDescent="0.35">
      <c r="A2178" s="5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6"/>
      <c r="P2178" s="23" t="e">
        <f>TRIM(Tabla1[[#This Row],[Articulo]])</f>
        <v>#VALUE!</v>
      </c>
      <c r="Q2178" s="23" t="e">
        <f>_xlfn.XLOOKUP(Tabla1[[#This Row],[Ean Normalizado]],Consumos!A:A,Consumos!E:E)</f>
        <v>#VALUE!</v>
      </c>
      <c r="R2178" s="22" t="e">
        <f>_xlfn.XLOOKUP(Tabla1[[#This Row],[Ean Normalizado]],tabla_consumos[EAN],tabla_consumos[UM])</f>
        <v>#VALUE!</v>
      </c>
      <c r="S2178" s="22" t="e">
        <f>Tabla1[[#This Row],[StockDisp]]*Tabla1[[#This Row],[UM producto]]</f>
        <v>#VALUE!</v>
      </c>
    </row>
    <row r="2179" spans="1:19" x14ac:dyDescent="0.35">
      <c r="A2179" s="5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6"/>
      <c r="P2179" s="23" t="e">
        <f>TRIM(Tabla1[[#This Row],[Articulo]])</f>
        <v>#VALUE!</v>
      </c>
      <c r="Q2179" s="23" t="e">
        <f>_xlfn.XLOOKUP(Tabla1[[#This Row],[Ean Normalizado]],Consumos!A:A,Consumos!E:E)</f>
        <v>#VALUE!</v>
      </c>
      <c r="R2179" s="22" t="e">
        <f>_xlfn.XLOOKUP(Tabla1[[#This Row],[Ean Normalizado]],tabla_consumos[EAN],tabla_consumos[UM])</f>
        <v>#VALUE!</v>
      </c>
      <c r="S2179" s="22" t="e">
        <f>Tabla1[[#This Row],[StockDisp]]*Tabla1[[#This Row],[UM producto]]</f>
        <v>#VALUE!</v>
      </c>
    </row>
    <row r="2180" spans="1:19" x14ac:dyDescent="0.35">
      <c r="A2180" s="5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6"/>
      <c r="P2180" s="23" t="e">
        <f>TRIM(Tabla1[[#This Row],[Articulo]])</f>
        <v>#VALUE!</v>
      </c>
      <c r="Q2180" s="23" t="e">
        <f>_xlfn.XLOOKUP(Tabla1[[#This Row],[Ean Normalizado]],Consumos!A:A,Consumos!E:E)</f>
        <v>#VALUE!</v>
      </c>
      <c r="R2180" s="22" t="e">
        <f>_xlfn.XLOOKUP(Tabla1[[#This Row],[Ean Normalizado]],tabla_consumos[EAN],tabla_consumos[UM])</f>
        <v>#VALUE!</v>
      </c>
      <c r="S2180" s="22" t="e">
        <f>Tabla1[[#This Row],[StockDisp]]*Tabla1[[#This Row],[UM producto]]</f>
        <v>#VALUE!</v>
      </c>
    </row>
    <row r="2181" spans="1:19" x14ac:dyDescent="0.35">
      <c r="A2181" s="5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6"/>
      <c r="P2181" s="23" t="e">
        <f>TRIM(Tabla1[[#This Row],[Articulo]])</f>
        <v>#VALUE!</v>
      </c>
      <c r="Q2181" s="23" t="e">
        <f>_xlfn.XLOOKUP(Tabla1[[#This Row],[Ean Normalizado]],Consumos!A:A,Consumos!E:E)</f>
        <v>#VALUE!</v>
      </c>
      <c r="R2181" s="22" t="e">
        <f>_xlfn.XLOOKUP(Tabla1[[#This Row],[Ean Normalizado]],tabla_consumos[EAN],tabla_consumos[UM])</f>
        <v>#VALUE!</v>
      </c>
      <c r="S2181" s="22" t="e">
        <f>Tabla1[[#This Row],[StockDisp]]*Tabla1[[#This Row],[UM producto]]</f>
        <v>#VALUE!</v>
      </c>
    </row>
    <row r="2182" spans="1:19" x14ac:dyDescent="0.35">
      <c r="A2182" s="5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6"/>
      <c r="P2182" s="23" t="e">
        <f>TRIM(Tabla1[[#This Row],[Articulo]])</f>
        <v>#VALUE!</v>
      </c>
      <c r="Q2182" s="23" t="e">
        <f>_xlfn.XLOOKUP(Tabla1[[#This Row],[Ean Normalizado]],Consumos!A:A,Consumos!E:E)</f>
        <v>#VALUE!</v>
      </c>
      <c r="R2182" s="22" t="e">
        <f>_xlfn.XLOOKUP(Tabla1[[#This Row],[Ean Normalizado]],tabla_consumos[EAN],tabla_consumos[UM])</f>
        <v>#VALUE!</v>
      </c>
      <c r="S2182" s="22" t="e">
        <f>Tabla1[[#This Row],[StockDisp]]*Tabla1[[#This Row],[UM producto]]</f>
        <v>#VALUE!</v>
      </c>
    </row>
    <row r="2183" spans="1:19" x14ac:dyDescent="0.35">
      <c r="A2183" s="5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6"/>
      <c r="P2183" s="23" t="e">
        <f>TRIM(Tabla1[[#This Row],[Articulo]])</f>
        <v>#VALUE!</v>
      </c>
      <c r="Q2183" s="23" t="e">
        <f>_xlfn.XLOOKUP(Tabla1[[#This Row],[Ean Normalizado]],Consumos!A:A,Consumos!E:E)</f>
        <v>#VALUE!</v>
      </c>
      <c r="R2183" s="22" t="e">
        <f>_xlfn.XLOOKUP(Tabla1[[#This Row],[Ean Normalizado]],tabla_consumos[EAN],tabla_consumos[UM])</f>
        <v>#VALUE!</v>
      </c>
      <c r="S2183" s="22" t="e">
        <f>Tabla1[[#This Row],[StockDisp]]*Tabla1[[#This Row],[UM producto]]</f>
        <v>#VALUE!</v>
      </c>
    </row>
    <row r="2184" spans="1:19" x14ac:dyDescent="0.35">
      <c r="A2184" s="5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6"/>
      <c r="P2184" s="23" t="e">
        <f>TRIM(Tabla1[[#This Row],[Articulo]])</f>
        <v>#VALUE!</v>
      </c>
      <c r="Q2184" s="23" t="e">
        <f>_xlfn.XLOOKUP(Tabla1[[#This Row],[Ean Normalizado]],Consumos!A:A,Consumos!E:E)</f>
        <v>#VALUE!</v>
      </c>
      <c r="R2184" s="22" t="e">
        <f>_xlfn.XLOOKUP(Tabla1[[#This Row],[Ean Normalizado]],tabla_consumos[EAN],tabla_consumos[UM])</f>
        <v>#VALUE!</v>
      </c>
      <c r="S2184" s="22" t="e">
        <f>Tabla1[[#This Row],[StockDisp]]*Tabla1[[#This Row],[UM producto]]</f>
        <v>#VALUE!</v>
      </c>
    </row>
    <row r="2185" spans="1:19" x14ac:dyDescent="0.35">
      <c r="A2185" s="5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6"/>
      <c r="P2185" s="23" t="e">
        <f>TRIM(Tabla1[[#This Row],[Articulo]])</f>
        <v>#VALUE!</v>
      </c>
      <c r="Q2185" s="23" t="e">
        <f>_xlfn.XLOOKUP(Tabla1[[#This Row],[Ean Normalizado]],Consumos!A:A,Consumos!E:E)</f>
        <v>#VALUE!</v>
      </c>
      <c r="R2185" s="22" t="e">
        <f>_xlfn.XLOOKUP(Tabla1[[#This Row],[Ean Normalizado]],tabla_consumos[EAN],tabla_consumos[UM])</f>
        <v>#VALUE!</v>
      </c>
      <c r="S2185" s="22" t="e">
        <f>Tabla1[[#This Row],[StockDisp]]*Tabla1[[#This Row],[UM producto]]</f>
        <v>#VALUE!</v>
      </c>
    </row>
    <row r="2186" spans="1:19" x14ac:dyDescent="0.35">
      <c r="A2186" s="5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6"/>
      <c r="P2186" s="23" t="e">
        <f>TRIM(Tabla1[[#This Row],[Articulo]])</f>
        <v>#VALUE!</v>
      </c>
      <c r="Q2186" s="23" t="e">
        <f>_xlfn.XLOOKUP(Tabla1[[#This Row],[Ean Normalizado]],Consumos!A:A,Consumos!E:E)</f>
        <v>#VALUE!</v>
      </c>
      <c r="R2186" s="22" t="e">
        <f>_xlfn.XLOOKUP(Tabla1[[#This Row],[Ean Normalizado]],tabla_consumos[EAN],tabla_consumos[UM])</f>
        <v>#VALUE!</v>
      </c>
      <c r="S2186" s="22" t="e">
        <f>Tabla1[[#This Row],[StockDisp]]*Tabla1[[#This Row],[UM producto]]</f>
        <v>#VALUE!</v>
      </c>
    </row>
    <row r="2187" spans="1:19" x14ac:dyDescent="0.35">
      <c r="A2187" s="5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6"/>
      <c r="P2187" s="23" t="e">
        <f>TRIM(Tabla1[[#This Row],[Articulo]])</f>
        <v>#VALUE!</v>
      </c>
      <c r="Q2187" s="23" t="e">
        <f>_xlfn.XLOOKUP(Tabla1[[#This Row],[Ean Normalizado]],Consumos!A:A,Consumos!E:E)</f>
        <v>#VALUE!</v>
      </c>
      <c r="R2187" s="22" t="e">
        <f>_xlfn.XLOOKUP(Tabla1[[#This Row],[Ean Normalizado]],tabla_consumos[EAN],tabla_consumos[UM])</f>
        <v>#VALUE!</v>
      </c>
      <c r="S2187" s="22" t="e">
        <f>Tabla1[[#This Row],[StockDisp]]*Tabla1[[#This Row],[UM producto]]</f>
        <v>#VALUE!</v>
      </c>
    </row>
    <row r="2188" spans="1:19" x14ac:dyDescent="0.35">
      <c r="A2188" s="5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6"/>
      <c r="P2188" s="23" t="e">
        <f>TRIM(Tabla1[[#This Row],[Articulo]])</f>
        <v>#VALUE!</v>
      </c>
      <c r="Q2188" s="23" t="e">
        <f>_xlfn.XLOOKUP(Tabla1[[#This Row],[Ean Normalizado]],Consumos!A:A,Consumos!E:E)</f>
        <v>#VALUE!</v>
      </c>
      <c r="R2188" s="22" t="e">
        <f>_xlfn.XLOOKUP(Tabla1[[#This Row],[Ean Normalizado]],tabla_consumos[EAN],tabla_consumos[UM])</f>
        <v>#VALUE!</v>
      </c>
      <c r="S2188" s="22" t="e">
        <f>Tabla1[[#This Row],[StockDisp]]*Tabla1[[#This Row],[UM producto]]</f>
        <v>#VALUE!</v>
      </c>
    </row>
    <row r="2189" spans="1:19" x14ac:dyDescent="0.35">
      <c r="A2189" s="5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6"/>
      <c r="P2189" s="23" t="e">
        <f>TRIM(Tabla1[[#This Row],[Articulo]])</f>
        <v>#VALUE!</v>
      </c>
      <c r="Q2189" s="23" t="e">
        <f>_xlfn.XLOOKUP(Tabla1[[#This Row],[Ean Normalizado]],Consumos!A:A,Consumos!E:E)</f>
        <v>#VALUE!</v>
      </c>
      <c r="R2189" s="22" t="e">
        <f>_xlfn.XLOOKUP(Tabla1[[#This Row],[Ean Normalizado]],tabla_consumos[EAN],tabla_consumos[UM])</f>
        <v>#VALUE!</v>
      </c>
      <c r="S2189" s="22" t="e">
        <f>Tabla1[[#This Row],[StockDisp]]*Tabla1[[#This Row],[UM producto]]</f>
        <v>#VALUE!</v>
      </c>
    </row>
    <row r="2190" spans="1:19" x14ac:dyDescent="0.35">
      <c r="A2190" s="5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6"/>
      <c r="P2190" s="23" t="e">
        <f>TRIM(Tabla1[[#This Row],[Articulo]])</f>
        <v>#VALUE!</v>
      </c>
      <c r="Q2190" s="23" t="e">
        <f>_xlfn.XLOOKUP(Tabla1[[#This Row],[Ean Normalizado]],Consumos!A:A,Consumos!E:E)</f>
        <v>#VALUE!</v>
      </c>
      <c r="R2190" s="22" t="e">
        <f>_xlfn.XLOOKUP(Tabla1[[#This Row],[Ean Normalizado]],tabla_consumos[EAN],tabla_consumos[UM])</f>
        <v>#VALUE!</v>
      </c>
      <c r="S2190" s="22" t="e">
        <f>Tabla1[[#This Row],[StockDisp]]*Tabla1[[#This Row],[UM producto]]</f>
        <v>#VALUE!</v>
      </c>
    </row>
    <row r="2191" spans="1:19" x14ac:dyDescent="0.35">
      <c r="A2191" s="5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6"/>
      <c r="P2191" s="23" t="e">
        <f>TRIM(Tabla1[[#This Row],[Articulo]])</f>
        <v>#VALUE!</v>
      </c>
      <c r="Q2191" s="23" t="e">
        <f>_xlfn.XLOOKUP(Tabla1[[#This Row],[Ean Normalizado]],Consumos!A:A,Consumos!E:E)</f>
        <v>#VALUE!</v>
      </c>
      <c r="R2191" s="22" t="e">
        <f>_xlfn.XLOOKUP(Tabla1[[#This Row],[Ean Normalizado]],tabla_consumos[EAN],tabla_consumos[UM])</f>
        <v>#VALUE!</v>
      </c>
      <c r="S2191" s="22" t="e">
        <f>Tabla1[[#This Row],[StockDisp]]*Tabla1[[#This Row],[UM producto]]</f>
        <v>#VALUE!</v>
      </c>
    </row>
    <row r="2192" spans="1:19" x14ac:dyDescent="0.35">
      <c r="A2192" s="5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6"/>
      <c r="P2192" s="23" t="e">
        <f>TRIM(Tabla1[[#This Row],[Articulo]])</f>
        <v>#VALUE!</v>
      </c>
      <c r="Q2192" s="23" t="e">
        <f>_xlfn.XLOOKUP(Tabla1[[#This Row],[Ean Normalizado]],Consumos!A:A,Consumos!E:E)</f>
        <v>#VALUE!</v>
      </c>
      <c r="R2192" s="22" t="e">
        <f>_xlfn.XLOOKUP(Tabla1[[#This Row],[Ean Normalizado]],tabla_consumos[EAN],tabla_consumos[UM])</f>
        <v>#VALUE!</v>
      </c>
      <c r="S2192" s="22" t="e">
        <f>Tabla1[[#This Row],[StockDisp]]*Tabla1[[#This Row],[UM producto]]</f>
        <v>#VALUE!</v>
      </c>
    </row>
    <row r="2193" spans="1:19" x14ac:dyDescent="0.35">
      <c r="A2193" s="5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6"/>
      <c r="P2193" s="23" t="e">
        <f>TRIM(Tabla1[[#This Row],[Articulo]])</f>
        <v>#VALUE!</v>
      </c>
      <c r="Q2193" s="23" t="e">
        <f>_xlfn.XLOOKUP(Tabla1[[#This Row],[Ean Normalizado]],Consumos!A:A,Consumos!E:E)</f>
        <v>#VALUE!</v>
      </c>
      <c r="R2193" s="22" t="e">
        <f>_xlfn.XLOOKUP(Tabla1[[#This Row],[Ean Normalizado]],tabla_consumos[EAN],tabla_consumos[UM])</f>
        <v>#VALUE!</v>
      </c>
      <c r="S2193" s="22" t="e">
        <f>Tabla1[[#This Row],[StockDisp]]*Tabla1[[#This Row],[UM producto]]</f>
        <v>#VALUE!</v>
      </c>
    </row>
    <row r="2194" spans="1:19" x14ac:dyDescent="0.35">
      <c r="A2194" s="5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6"/>
      <c r="P2194" s="23" t="e">
        <f>TRIM(Tabla1[[#This Row],[Articulo]])</f>
        <v>#VALUE!</v>
      </c>
      <c r="Q2194" s="23" t="e">
        <f>_xlfn.XLOOKUP(Tabla1[[#This Row],[Ean Normalizado]],Consumos!A:A,Consumos!E:E)</f>
        <v>#VALUE!</v>
      </c>
      <c r="R2194" s="22" t="e">
        <f>_xlfn.XLOOKUP(Tabla1[[#This Row],[Ean Normalizado]],tabla_consumos[EAN],tabla_consumos[UM])</f>
        <v>#VALUE!</v>
      </c>
      <c r="S2194" s="22" t="e">
        <f>Tabla1[[#This Row],[StockDisp]]*Tabla1[[#This Row],[UM producto]]</f>
        <v>#VALUE!</v>
      </c>
    </row>
    <row r="2195" spans="1:19" x14ac:dyDescent="0.35">
      <c r="A2195" s="5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6"/>
      <c r="P2195" s="23" t="e">
        <f>TRIM(Tabla1[[#This Row],[Articulo]])</f>
        <v>#VALUE!</v>
      </c>
      <c r="Q2195" s="23" t="e">
        <f>_xlfn.XLOOKUP(Tabla1[[#This Row],[Ean Normalizado]],Consumos!A:A,Consumos!E:E)</f>
        <v>#VALUE!</v>
      </c>
      <c r="R2195" s="22" t="e">
        <f>_xlfn.XLOOKUP(Tabla1[[#This Row],[Ean Normalizado]],tabla_consumos[EAN],tabla_consumos[UM])</f>
        <v>#VALUE!</v>
      </c>
      <c r="S2195" s="22" t="e">
        <f>Tabla1[[#This Row],[StockDisp]]*Tabla1[[#This Row],[UM producto]]</f>
        <v>#VALUE!</v>
      </c>
    </row>
    <row r="2196" spans="1:19" x14ac:dyDescent="0.35">
      <c r="A2196" s="5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6"/>
      <c r="P2196" s="23" t="e">
        <f>TRIM(Tabla1[[#This Row],[Articulo]])</f>
        <v>#VALUE!</v>
      </c>
      <c r="Q2196" s="23" t="e">
        <f>_xlfn.XLOOKUP(Tabla1[[#This Row],[Ean Normalizado]],Consumos!A:A,Consumos!E:E)</f>
        <v>#VALUE!</v>
      </c>
      <c r="R2196" s="22" t="e">
        <f>_xlfn.XLOOKUP(Tabla1[[#This Row],[Ean Normalizado]],tabla_consumos[EAN],tabla_consumos[UM])</f>
        <v>#VALUE!</v>
      </c>
      <c r="S2196" s="22" t="e">
        <f>Tabla1[[#This Row],[StockDisp]]*Tabla1[[#This Row],[UM producto]]</f>
        <v>#VALUE!</v>
      </c>
    </row>
    <row r="2197" spans="1:19" x14ac:dyDescent="0.35">
      <c r="A2197" s="5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6"/>
      <c r="P2197" s="23" t="e">
        <f>TRIM(Tabla1[[#This Row],[Articulo]])</f>
        <v>#VALUE!</v>
      </c>
      <c r="Q2197" s="23" t="e">
        <f>_xlfn.XLOOKUP(Tabla1[[#This Row],[Ean Normalizado]],Consumos!A:A,Consumos!E:E)</f>
        <v>#VALUE!</v>
      </c>
      <c r="R2197" s="22" t="e">
        <f>_xlfn.XLOOKUP(Tabla1[[#This Row],[Ean Normalizado]],tabla_consumos[EAN],tabla_consumos[UM])</f>
        <v>#VALUE!</v>
      </c>
      <c r="S2197" s="22" t="e">
        <f>Tabla1[[#This Row],[StockDisp]]*Tabla1[[#This Row],[UM producto]]</f>
        <v>#VALUE!</v>
      </c>
    </row>
    <row r="2198" spans="1:19" x14ac:dyDescent="0.35">
      <c r="A2198" s="5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6"/>
      <c r="P2198" s="23" t="e">
        <f>TRIM(Tabla1[[#This Row],[Articulo]])</f>
        <v>#VALUE!</v>
      </c>
      <c r="Q2198" s="23" t="e">
        <f>_xlfn.XLOOKUP(Tabla1[[#This Row],[Ean Normalizado]],Consumos!A:A,Consumos!E:E)</f>
        <v>#VALUE!</v>
      </c>
      <c r="R2198" s="22" t="e">
        <f>_xlfn.XLOOKUP(Tabla1[[#This Row],[Ean Normalizado]],tabla_consumos[EAN],tabla_consumos[UM])</f>
        <v>#VALUE!</v>
      </c>
      <c r="S2198" s="22" t="e">
        <f>Tabla1[[#This Row],[StockDisp]]*Tabla1[[#This Row],[UM producto]]</f>
        <v>#VALUE!</v>
      </c>
    </row>
    <row r="2199" spans="1:19" x14ac:dyDescent="0.35">
      <c r="A2199" s="5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6"/>
      <c r="P2199" s="23" t="e">
        <f>TRIM(Tabla1[[#This Row],[Articulo]])</f>
        <v>#VALUE!</v>
      </c>
      <c r="Q2199" s="23" t="e">
        <f>_xlfn.XLOOKUP(Tabla1[[#This Row],[Ean Normalizado]],Consumos!A:A,Consumos!E:E)</f>
        <v>#VALUE!</v>
      </c>
      <c r="R2199" s="22" t="e">
        <f>_xlfn.XLOOKUP(Tabla1[[#This Row],[Ean Normalizado]],tabla_consumos[EAN],tabla_consumos[UM])</f>
        <v>#VALUE!</v>
      </c>
      <c r="S2199" s="22" t="e">
        <f>Tabla1[[#This Row],[StockDisp]]*Tabla1[[#This Row],[UM producto]]</f>
        <v>#VALUE!</v>
      </c>
    </row>
    <row r="2200" spans="1:19" x14ac:dyDescent="0.35">
      <c r="A2200" s="5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6"/>
      <c r="P2200" s="23" t="e">
        <f>TRIM(Tabla1[[#This Row],[Articulo]])</f>
        <v>#VALUE!</v>
      </c>
      <c r="Q2200" s="23" t="e">
        <f>_xlfn.XLOOKUP(Tabla1[[#This Row],[Ean Normalizado]],Consumos!A:A,Consumos!E:E)</f>
        <v>#VALUE!</v>
      </c>
      <c r="R2200" s="22" t="e">
        <f>_xlfn.XLOOKUP(Tabla1[[#This Row],[Ean Normalizado]],tabla_consumos[EAN],tabla_consumos[UM])</f>
        <v>#VALUE!</v>
      </c>
      <c r="S2200" s="22" t="e">
        <f>Tabla1[[#This Row],[StockDisp]]*Tabla1[[#This Row],[UM producto]]</f>
        <v>#VALUE!</v>
      </c>
    </row>
    <row r="2201" spans="1:19" x14ac:dyDescent="0.35">
      <c r="A2201" s="5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6"/>
      <c r="P2201" s="23" t="e">
        <f>TRIM(Tabla1[[#This Row],[Articulo]])</f>
        <v>#VALUE!</v>
      </c>
      <c r="Q2201" s="23" t="e">
        <f>_xlfn.XLOOKUP(Tabla1[[#This Row],[Ean Normalizado]],Consumos!A:A,Consumos!E:E)</f>
        <v>#VALUE!</v>
      </c>
      <c r="R2201" s="22" t="e">
        <f>_xlfn.XLOOKUP(Tabla1[[#This Row],[Ean Normalizado]],tabla_consumos[EAN],tabla_consumos[UM])</f>
        <v>#VALUE!</v>
      </c>
      <c r="S2201" s="22" t="e">
        <f>Tabla1[[#This Row],[StockDisp]]*Tabla1[[#This Row],[UM producto]]</f>
        <v>#VALUE!</v>
      </c>
    </row>
    <row r="2202" spans="1:19" x14ac:dyDescent="0.35">
      <c r="A2202" s="5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6"/>
      <c r="P2202" s="23" t="e">
        <f>TRIM(Tabla1[[#This Row],[Articulo]])</f>
        <v>#VALUE!</v>
      </c>
      <c r="Q2202" s="23" t="e">
        <f>_xlfn.XLOOKUP(Tabla1[[#This Row],[Ean Normalizado]],Consumos!A:A,Consumos!E:E)</f>
        <v>#VALUE!</v>
      </c>
      <c r="R2202" s="22" t="e">
        <f>_xlfn.XLOOKUP(Tabla1[[#This Row],[Ean Normalizado]],tabla_consumos[EAN],tabla_consumos[UM])</f>
        <v>#VALUE!</v>
      </c>
      <c r="S2202" s="22" t="e">
        <f>Tabla1[[#This Row],[StockDisp]]*Tabla1[[#This Row],[UM producto]]</f>
        <v>#VALUE!</v>
      </c>
    </row>
    <row r="2203" spans="1:19" x14ac:dyDescent="0.35">
      <c r="A2203" s="5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6"/>
      <c r="P2203" s="23" t="e">
        <f>TRIM(Tabla1[[#This Row],[Articulo]])</f>
        <v>#VALUE!</v>
      </c>
      <c r="Q2203" s="23" t="e">
        <f>_xlfn.XLOOKUP(Tabla1[[#This Row],[Ean Normalizado]],Consumos!A:A,Consumos!E:E)</f>
        <v>#VALUE!</v>
      </c>
      <c r="R2203" s="22" t="e">
        <f>_xlfn.XLOOKUP(Tabla1[[#This Row],[Ean Normalizado]],tabla_consumos[EAN],tabla_consumos[UM])</f>
        <v>#VALUE!</v>
      </c>
      <c r="S2203" s="22" t="e">
        <f>Tabla1[[#This Row],[StockDisp]]*Tabla1[[#This Row],[UM producto]]</f>
        <v>#VALUE!</v>
      </c>
    </row>
    <row r="2204" spans="1:19" x14ac:dyDescent="0.35">
      <c r="A2204" s="5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6"/>
      <c r="P2204" s="23" t="e">
        <f>TRIM(Tabla1[[#This Row],[Articulo]])</f>
        <v>#VALUE!</v>
      </c>
      <c r="Q2204" s="23" t="e">
        <f>_xlfn.XLOOKUP(Tabla1[[#This Row],[Ean Normalizado]],Consumos!A:A,Consumos!E:E)</f>
        <v>#VALUE!</v>
      </c>
      <c r="R2204" s="22" t="e">
        <f>_xlfn.XLOOKUP(Tabla1[[#This Row],[Ean Normalizado]],tabla_consumos[EAN],tabla_consumos[UM])</f>
        <v>#VALUE!</v>
      </c>
      <c r="S2204" s="22" t="e">
        <f>Tabla1[[#This Row],[StockDisp]]*Tabla1[[#This Row],[UM producto]]</f>
        <v>#VALUE!</v>
      </c>
    </row>
    <row r="2205" spans="1:19" x14ac:dyDescent="0.35">
      <c r="A2205" s="5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6"/>
      <c r="P2205" s="23" t="e">
        <f>TRIM(Tabla1[[#This Row],[Articulo]])</f>
        <v>#VALUE!</v>
      </c>
      <c r="Q2205" s="23" t="e">
        <f>_xlfn.XLOOKUP(Tabla1[[#This Row],[Ean Normalizado]],Consumos!A:A,Consumos!E:E)</f>
        <v>#VALUE!</v>
      </c>
      <c r="R2205" s="22" t="e">
        <f>_xlfn.XLOOKUP(Tabla1[[#This Row],[Ean Normalizado]],tabla_consumos[EAN],tabla_consumos[UM])</f>
        <v>#VALUE!</v>
      </c>
      <c r="S2205" s="22" t="e">
        <f>Tabla1[[#This Row],[StockDisp]]*Tabla1[[#This Row],[UM producto]]</f>
        <v>#VALUE!</v>
      </c>
    </row>
    <row r="2206" spans="1:19" x14ac:dyDescent="0.35">
      <c r="A2206" s="5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6"/>
      <c r="P2206" s="23" t="e">
        <f>TRIM(Tabla1[[#This Row],[Articulo]])</f>
        <v>#VALUE!</v>
      </c>
      <c r="Q2206" s="23" t="e">
        <f>_xlfn.XLOOKUP(Tabla1[[#This Row],[Ean Normalizado]],Consumos!A:A,Consumos!E:E)</f>
        <v>#VALUE!</v>
      </c>
      <c r="R2206" s="22" t="e">
        <f>_xlfn.XLOOKUP(Tabla1[[#This Row],[Ean Normalizado]],tabla_consumos[EAN],tabla_consumos[UM])</f>
        <v>#VALUE!</v>
      </c>
      <c r="S2206" s="22" t="e">
        <f>Tabla1[[#This Row],[StockDisp]]*Tabla1[[#This Row],[UM producto]]</f>
        <v>#VALUE!</v>
      </c>
    </row>
    <row r="2207" spans="1:19" x14ac:dyDescent="0.35">
      <c r="A2207" s="5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6"/>
      <c r="P2207" s="23" t="e">
        <f>TRIM(Tabla1[[#This Row],[Articulo]])</f>
        <v>#VALUE!</v>
      </c>
      <c r="Q2207" s="23" t="e">
        <f>_xlfn.XLOOKUP(Tabla1[[#This Row],[Ean Normalizado]],Consumos!A:A,Consumos!E:E)</f>
        <v>#VALUE!</v>
      </c>
      <c r="R2207" s="22" t="e">
        <f>_xlfn.XLOOKUP(Tabla1[[#This Row],[Ean Normalizado]],tabla_consumos[EAN],tabla_consumos[UM])</f>
        <v>#VALUE!</v>
      </c>
      <c r="S2207" s="22" t="e">
        <f>Tabla1[[#This Row],[StockDisp]]*Tabla1[[#This Row],[UM producto]]</f>
        <v>#VALUE!</v>
      </c>
    </row>
    <row r="2208" spans="1:19" x14ac:dyDescent="0.35">
      <c r="A2208" s="5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6"/>
      <c r="P2208" s="23" t="e">
        <f>TRIM(Tabla1[[#This Row],[Articulo]])</f>
        <v>#VALUE!</v>
      </c>
      <c r="Q2208" s="23" t="e">
        <f>_xlfn.XLOOKUP(Tabla1[[#This Row],[Ean Normalizado]],Consumos!A:A,Consumos!E:E)</f>
        <v>#VALUE!</v>
      </c>
      <c r="R2208" s="22" t="e">
        <f>_xlfn.XLOOKUP(Tabla1[[#This Row],[Ean Normalizado]],tabla_consumos[EAN],tabla_consumos[UM])</f>
        <v>#VALUE!</v>
      </c>
      <c r="S2208" s="22" t="e">
        <f>Tabla1[[#This Row],[StockDisp]]*Tabla1[[#This Row],[UM producto]]</f>
        <v>#VALUE!</v>
      </c>
    </row>
    <row r="2209" spans="1:19" x14ac:dyDescent="0.35">
      <c r="A2209" s="5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6"/>
      <c r="P2209" s="23" t="e">
        <f>TRIM(Tabla1[[#This Row],[Articulo]])</f>
        <v>#VALUE!</v>
      </c>
      <c r="Q2209" s="23" t="e">
        <f>_xlfn.XLOOKUP(Tabla1[[#This Row],[Ean Normalizado]],Consumos!A:A,Consumos!E:E)</f>
        <v>#VALUE!</v>
      </c>
      <c r="R2209" s="22" t="e">
        <f>_xlfn.XLOOKUP(Tabla1[[#This Row],[Ean Normalizado]],tabla_consumos[EAN],tabla_consumos[UM])</f>
        <v>#VALUE!</v>
      </c>
      <c r="S2209" s="22" t="e">
        <f>Tabla1[[#This Row],[StockDisp]]*Tabla1[[#This Row],[UM producto]]</f>
        <v>#VALUE!</v>
      </c>
    </row>
    <row r="2210" spans="1:19" x14ac:dyDescent="0.35">
      <c r="A2210" s="5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6"/>
      <c r="P2210" s="23" t="e">
        <f>TRIM(Tabla1[[#This Row],[Articulo]])</f>
        <v>#VALUE!</v>
      </c>
      <c r="Q2210" s="23" t="e">
        <f>_xlfn.XLOOKUP(Tabla1[[#This Row],[Ean Normalizado]],Consumos!A:A,Consumos!E:E)</f>
        <v>#VALUE!</v>
      </c>
      <c r="R2210" s="22" t="e">
        <f>_xlfn.XLOOKUP(Tabla1[[#This Row],[Ean Normalizado]],tabla_consumos[EAN],tabla_consumos[UM])</f>
        <v>#VALUE!</v>
      </c>
      <c r="S2210" s="22" t="e">
        <f>Tabla1[[#This Row],[StockDisp]]*Tabla1[[#This Row],[UM producto]]</f>
        <v>#VALUE!</v>
      </c>
    </row>
    <row r="2211" spans="1:19" x14ac:dyDescent="0.35">
      <c r="A2211" s="5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6"/>
      <c r="P2211" s="23" t="e">
        <f>TRIM(Tabla1[[#This Row],[Articulo]])</f>
        <v>#VALUE!</v>
      </c>
      <c r="Q2211" s="23" t="e">
        <f>_xlfn.XLOOKUP(Tabla1[[#This Row],[Ean Normalizado]],Consumos!A:A,Consumos!E:E)</f>
        <v>#VALUE!</v>
      </c>
      <c r="R2211" s="22" t="e">
        <f>_xlfn.XLOOKUP(Tabla1[[#This Row],[Ean Normalizado]],tabla_consumos[EAN],tabla_consumos[UM])</f>
        <v>#VALUE!</v>
      </c>
      <c r="S2211" s="22" t="e">
        <f>Tabla1[[#This Row],[StockDisp]]*Tabla1[[#This Row],[UM producto]]</f>
        <v>#VALUE!</v>
      </c>
    </row>
    <row r="2212" spans="1:19" x14ac:dyDescent="0.35">
      <c r="A2212" s="5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6"/>
      <c r="P2212" s="23" t="e">
        <f>TRIM(Tabla1[[#This Row],[Articulo]])</f>
        <v>#VALUE!</v>
      </c>
      <c r="Q2212" s="23" t="e">
        <f>_xlfn.XLOOKUP(Tabla1[[#This Row],[Ean Normalizado]],Consumos!A:A,Consumos!E:E)</f>
        <v>#VALUE!</v>
      </c>
      <c r="R2212" s="22" t="e">
        <f>_xlfn.XLOOKUP(Tabla1[[#This Row],[Ean Normalizado]],tabla_consumos[EAN],tabla_consumos[UM])</f>
        <v>#VALUE!</v>
      </c>
      <c r="S2212" s="22" t="e">
        <f>Tabla1[[#This Row],[StockDisp]]*Tabla1[[#This Row],[UM producto]]</f>
        <v>#VALUE!</v>
      </c>
    </row>
    <row r="2213" spans="1:19" x14ac:dyDescent="0.35">
      <c r="A2213" s="5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6"/>
      <c r="P2213" s="23" t="e">
        <f>TRIM(Tabla1[[#This Row],[Articulo]])</f>
        <v>#VALUE!</v>
      </c>
      <c r="Q2213" s="23" t="e">
        <f>_xlfn.XLOOKUP(Tabla1[[#This Row],[Ean Normalizado]],Consumos!A:A,Consumos!E:E)</f>
        <v>#VALUE!</v>
      </c>
      <c r="R2213" s="22" t="e">
        <f>_xlfn.XLOOKUP(Tabla1[[#This Row],[Ean Normalizado]],tabla_consumos[EAN],tabla_consumos[UM])</f>
        <v>#VALUE!</v>
      </c>
      <c r="S2213" s="22" t="e">
        <f>Tabla1[[#This Row],[StockDisp]]*Tabla1[[#This Row],[UM producto]]</f>
        <v>#VALUE!</v>
      </c>
    </row>
    <row r="2214" spans="1:19" x14ac:dyDescent="0.35">
      <c r="A2214" s="5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6"/>
      <c r="P2214" s="23" t="e">
        <f>TRIM(Tabla1[[#This Row],[Articulo]])</f>
        <v>#VALUE!</v>
      </c>
      <c r="Q2214" s="23" t="e">
        <f>_xlfn.XLOOKUP(Tabla1[[#This Row],[Ean Normalizado]],Consumos!A:A,Consumos!E:E)</f>
        <v>#VALUE!</v>
      </c>
      <c r="R2214" s="22" t="e">
        <f>_xlfn.XLOOKUP(Tabla1[[#This Row],[Ean Normalizado]],tabla_consumos[EAN],tabla_consumos[UM])</f>
        <v>#VALUE!</v>
      </c>
      <c r="S2214" s="22" t="e">
        <f>Tabla1[[#This Row],[StockDisp]]*Tabla1[[#This Row],[UM producto]]</f>
        <v>#VALUE!</v>
      </c>
    </row>
    <row r="2215" spans="1:19" x14ac:dyDescent="0.35">
      <c r="A2215" s="5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6"/>
      <c r="P2215" s="23" t="e">
        <f>TRIM(Tabla1[[#This Row],[Articulo]])</f>
        <v>#VALUE!</v>
      </c>
      <c r="Q2215" s="23" t="e">
        <f>_xlfn.XLOOKUP(Tabla1[[#This Row],[Ean Normalizado]],Consumos!A:A,Consumos!E:E)</f>
        <v>#VALUE!</v>
      </c>
      <c r="R2215" s="22" t="e">
        <f>_xlfn.XLOOKUP(Tabla1[[#This Row],[Ean Normalizado]],tabla_consumos[EAN],tabla_consumos[UM])</f>
        <v>#VALUE!</v>
      </c>
      <c r="S2215" s="22" t="e">
        <f>Tabla1[[#This Row],[StockDisp]]*Tabla1[[#This Row],[UM producto]]</f>
        <v>#VALUE!</v>
      </c>
    </row>
    <row r="2216" spans="1:19" x14ac:dyDescent="0.35">
      <c r="A2216" s="5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6"/>
      <c r="P2216" s="23" t="e">
        <f>TRIM(Tabla1[[#This Row],[Articulo]])</f>
        <v>#VALUE!</v>
      </c>
      <c r="Q2216" s="23" t="e">
        <f>_xlfn.XLOOKUP(Tabla1[[#This Row],[Ean Normalizado]],Consumos!A:A,Consumos!E:E)</f>
        <v>#VALUE!</v>
      </c>
      <c r="R2216" s="22" t="e">
        <f>_xlfn.XLOOKUP(Tabla1[[#This Row],[Ean Normalizado]],tabla_consumos[EAN],tabla_consumos[UM])</f>
        <v>#VALUE!</v>
      </c>
      <c r="S2216" s="22" t="e">
        <f>Tabla1[[#This Row],[StockDisp]]*Tabla1[[#This Row],[UM producto]]</f>
        <v>#VALUE!</v>
      </c>
    </row>
    <row r="2217" spans="1:19" x14ac:dyDescent="0.35">
      <c r="A2217" s="5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6"/>
      <c r="P2217" s="23" t="e">
        <f>TRIM(Tabla1[[#This Row],[Articulo]])</f>
        <v>#VALUE!</v>
      </c>
      <c r="Q2217" s="23" t="e">
        <f>_xlfn.XLOOKUP(Tabla1[[#This Row],[Ean Normalizado]],Consumos!A:A,Consumos!E:E)</f>
        <v>#VALUE!</v>
      </c>
      <c r="R2217" s="22" t="e">
        <f>_xlfn.XLOOKUP(Tabla1[[#This Row],[Ean Normalizado]],tabla_consumos[EAN],tabla_consumos[UM])</f>
        <v>#VALUE!</v>
      </c>
      <c r="S2217" s="22" t="e">
        <f>Tabla1[[#This Row],[StockDisp]]*Tabla1[[#This Row],[UM producto]]</f>
        <v>#VALUE!</v>
      </c>
    </row>
    <row r="2218" spans="1:19" x14ac:dyDescent="0.35">
      <c r="A2218" s="5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6"/>
      <c r="P2218" s="23" t="e">
        <f>TRIM(Tabla1[[#This Row],[Articulo]])</f>
        <v>#VALUE!</v>
      </c>
      <c r="Q2218" s="23" t="e">
        <f>_xlfn.XLOOKUP(Tabla1[[#This Row],[Ean Normalizado]],Consumos!A:A,Consumos!E:E)</f>
        <v>#VALUE!</v>
      </c>
      <c r="R2218" s="22" t="e">
        <f>_xlfn.XLOOKUP(Tabla1[[#This Row],[Ean Normalizado]],tabla_consumos[EAN],tabla_consumos[UM])</f>
        <v>#VALUE!</v>
      </c>
      <c r="S2218" s="22" t="e">
        <f>Tabla1[[#This Row],[StockDisp]]*Tabla1[[#This Row],[UM producto]]</f>
        <v>#VALUE!</v>
      </c>
    </row>
    <row r="2219" spans="1:19" x14ac:dyDescent="0.35">
      <c r="A2219" s="5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6"/>
      <c r="P2219" s="23" t="e">
        <f>TRIM(Tabla1[[#This Row],[Articulo]])</f>
        <v>#VALUE!</v>
      </c>
      <c r="Q2219" s="23" t="e">
        <f>_xlfn.XLOOKUP(Tabla1[[#This Row],[Ean Normalizado]],Consumos!A:A,Consumos!E:E)</f>
        <v>#VALUE!</v>
      </c>
      <c r="R2219" s="22" t="e">
        <f>_xlfn.XLOOKUP(Tabla1[[#This Row],[Ean Normalizado]],tabla_consumos[EAN],tabla_consumos[UM])</f>
        <v>#VALUE!</v>
      </c>
      <c r="S2219" s="22" t="e">
        <f>Tabla1[[#This Row],[StockDisp]]*Tabla1[[#This Row],[UM producto]]</f>
        <v>#VALUE!</v>
      </c>
    </row>
    <row r="2220" spans="1:19" x14ac:dyDescent="0.35">
      <c r="A2220" s="5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6"/>
      <c r="P2220" s="23" t="e">
        <f>TRIM(Tabla1[[#This Row],[Articulo]])</f>
        <v>#VALUE!</v>
      </c>
      <c r="Q2220" s="23" t="e">
        <f>_xlfn.XLOOKUP(Tabla1[[#This Row],[Ean Normalizado]],Consumos!A:A,Consumos!E:E)</f>
        <v>#VALUE!</v>
      </c>
      <c r="R2220" s="22" t="e">
        <f>_xlfn.XLOOKUP(Tabla1[[#This Row],[Ean Normalizado]],tabla_consumos[EAN],tabla_consumos[UM])</f>
        <v>#VALUE!</v>
      </c>
      <c r="S2220" s="22" t="e">
        <f>Tabla1[[#This Row],[StockDisp]]*Tabla1[[#This Row],[UM producto]]</f>
        <v>#VALUE!</v>
      </c>
    </row>
    <row r="2221" spans="1:19" x14ac:dyDescent="0.35">
      <c r="A2221" s="5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6"/>
      <c r="P2221" s="23" t="e">
        <f>TRIM(Tabla1[[#This Row],[Articulo]])</f>
        <v>#VALUE!</v>
      </c>
      <c r="Q2221" s="23" t="e">
        <f>_xlfn.XLOOKUP(Tabla1[[#This Row],[Ean Normalizado]],Consumos!A:A,Consumos!E:E)</f>
        <v>#VALUE!</v>
      </c>
      <c r="R2221" s="22" t="e">
        <f>_xlfn.XLOOKUP(Tabla1[[#This Row],[Ean Normalizado]],tabla_consumos[EAN],tabla_consumos[UM])</f>
        <v>#VALUE!</v>
      </c>
      <c r="S2221" s="22" t="e">
        <f>Tabla1[[#This Row],[StockDisp]]*Tabla1[[#This Row],[UM producto]]</f>
        <v>#VALUE!</v>
      </c>
    </row>
    <row r="2222" spans="1:19" x14ac:dyDescent="0.35">
      <c r="A2222" s="5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6"/>
      <c r="P2222" s="23" t="e">
        <f>TRIM(Tabla1[[#This Row],[Articulo]])</f>
        <v>#VALUE!</v>
      </c>
      <c r="Q2222" s="23" t="e">
        <f>_xlfn.XLOOKUP(Tabla1[[#This Row],[Ean Normalizado]],Consumos!A:A,Consumos!E:E)</f>
        <v>#VALUE!</v>
      </c>
      <c r="R2222" s="22" t="e">
        <f>_xlfn.XLOOKUP(Tabla1[[#This Row],[Ean Normalizado]],tabla_consumos[EAN],tabla_consumos[UM])</f>
        <v>#VALUE!</v>
      </c>
      <c r="S2222" s="22" t="e">
        <f>Tabla1[[#This Row],[StockDisp]]*Tabla1[[#This Row],[UM producto]]</f>
        <v>#VALUE!</v>
      </c>
    </row>
    <row r="2223" spans="1:19" x14ac:dyDescent="0.35">
      <c r="A2223" s="5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6"/>
      <c r="P2223" s="23" t="e">
        <f>TRIM(Tabla1[[#This Row],[Articulo]])</f>
        <v>#VALUE!</v>
      </c>
      <c r="Q2223" s="23" t="e">
        <f>_xlfn.XLOOKUP(Tabla1[[#This Row],[Ean Normalizado]],Consumos!A:A,Consumos!E:E)</f>
        <v>#VALUE!</v>
      </c>
      <c r="R2223" s="22" t="e">
        <f>_xlfn.XLOOKUP(Tabla1[[#This Row],[Ean Normalizado]],tabla_consumos[EAN],tabla_consumos[UM])</f>
        <v>#VALUE!</v>
      </c>
      <c r="S2223" s="22" t="e">
        <f>Tabla1[[#This Row],[StockDisp]]*Tabla1[[#This Row],[UM producto]]</f>
        <v>#VALUE!</v>
      </c>
    </row>
    <row r="2224" spans="1:19" x14ac:dyDescent="0.35">
      <c r="A2224" s="5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6"/>
      <c r="P2224" s="23" t="e">
        <f>TRIM(Tabla1[[#This Row],[Articulo]])</f>
        <v>#VALUE!</v>
      </c>
      <c r="Q2224" s="23" t="e">
        <f>_xlfn.XLOOKUP(Tabla1[[#This Row],[Ean Normalizado]],Consumos!A:A,Consumos!E:E)</f>
        <v>#VALUE!</v>
      </c>
      <c r="R2224" s="22" t="e">
        <f>_xlfn.XLOOKUP(Tabla1[[#This Row],[Ean Normalizado]],tabla_consumos[EAN],tabla_consumos[UM])</f>
        <v>#VALUE!</v>
      </c>
      <c r="S2224" s="22" t="e">
        <f>Tabla1[[#This Row],[StockDisp]]*Tabla1[[#This Row],[UM producto]]</f>
        <v>#VALUE!</v>
      </c>
    </row>
    <row r="2225" spans="1:19" x14ac:dyDescent="0.35">
      <c r="A2225" s="5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6"/>
      <c r="P2225" s="23" t="e">
        <f>TRIM(Tabla1[[#This Row],[Articulo]])</f>
        <v>#VALUE!</v>
      </c>
      <c r="Q2225" s="23" t="e">
        <f>_xlfn.XLOOKUP(Tabla1[[#This Row],[Ean Normalizado]],Consumos!A:A,Consumos!E:E)</f>
        <v>#VALUE!</v>
      </c>
      <c r="R2225" s="22" t="e">
        <f>_xlfn.XLOOKUP(Tabla1[[#This Row],[Ean Normalizado]],tabla_consumos[EAN],tabla_consumos[UM])</f>
        <v>#VALUE!</v>
      </c>
      <c r="S2225" s="22" t="e">
        <f>Tabla1[[#This Row],[StockDisp]]*Tabla1[[#This Row],[UM producto]]</f>
        <v>#VALUE!</v>
      </c>
    </row>
    <row r="2226" spans="1:19" x14ac:dyDescent="0.35">
      <c r="A2226" s="5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6"/>
      <c r="P2226" s="23" t="e">
        <f>TRIM(Tabla1[[#This Row],[Articulo]])</f>
        <v>#VALUE!</v>
      </c>
      <c r="Q2226" s="23" t="e">
        <f>_xlfn.XLOOKUP(Tabla1[[#This Row],[Ean Normalizado]],Consumos!A:A,Consumos!E:E)</f>
        <v>#VALUE!</v>
      </c>
      <c r="R2226" s="22" t="e">
        <f>_xlfn.XLOOKUP(Tabla1[[#This Row],[Ean Normalizado]],tabla_consumos[EAN],tabla_consumos[UM])</f>
        <v>#VALUE!</v>
      </c>
      <c r="S2226" s="22" t="e">
        <f>Tabla1[[#This Row],[StockDisp]]*Tabla1[[#This Row],[UM producto]]</f>
        <v>#VALUE!</v>
      </c>
    </row>
    <row r="2227" spans="1:19" x14ac:dyDescent="0.35">
      <c r="A2227" s="5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6"/>
      <c r="P2227" s="23" t="e">
        <f>TRIM(Tabla1[[#This Row],[Articulo]])</f>
        <v>#VALUE!</v>
      </c>
      <c r="Q2227" s="23" t="e">
        <f>_xlfn.XLOOKUP(Tabla1[[#This Row],[Ean Normalizado]],Consumos!A:A,Consumos!E:E)</f>
        <v>#VALUE!</v>
      </c>
      <c r="R2227" s="22" t="e">
        <f>_xlfn.XLOOKUP(Tabla1[[#This Row],[Ean Normalizado]],tabla_consumos[EAN],tabla_consumos[UM])</f>
        <v>#VALUE!</v>
      </c>
      <c r="S2227" s="22" t="e">
        <f>Tabla1[[#This Row],[StockDisp]]*Tabla1[[#This Row],[UM producto]]</f>
        <v>#VALUE!</v>
      </c>
    </row>
    <row r="2228" spans="1:19" x14ac:dyDescent="0.35">
      <c r="A2228" s="5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6"/>
      <c r="P2228" s="23" t="e">
        <f>TRIM(Tabla1[[#This Row],[Articulo]])</f>
        <v>#VALUE!</v>
      </c>
      <c r="Q2228" s="23" t="e">
        <f>_xlfn.XLOOKUP(Tabla1[[#This Row],[Ean Normalizado]],Consumos!A:A,Consumos!E:E)</f>
        <v>#VALUE!</v>
      </c>
      <c r="R2228" s="22" t="e">
        <f>_xlfn.XLOOKUP(Tabla1[[#This Row],[Ean Normalizado]],tabla_consumos[EAN],tabla_consumos[UM])</f>
        <v>#VALUE!</v>
      </c>
      <c r="S2228" s="22" t="e">
        <f>Tabla1[[#This Row],[StockDisp]]*Tabla1[[#This Row],[UM producto]]</f>
        <v>#VALUE!</v>
      </c>
    </row>
    <row r="2229" spans="1:19" x14ac:dyDescent="0.35">
      <c r="A2229" s="5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6"/>
      <c r="P2229" s="23" t="e">
        <f>TRIM(Tabla1[[#This Row],[Articulo]])</f>
        <v>#VALUE!</v>
      </c>
      <c r="Q2229" s="23" t="e">
        <f>_xlfn.XLOOKUP(Tabla1[[#This Row],[Ean Normalizado]],Consumos!A:A,Consumos!E:E)</f>
        <v>#VALUE!</v>
      </c>
      <c r="R2229" s="22" t="e">
        <f>_xlfn.XLOOKUP(Tabla1[[#This Row],[Ean Normalizado]],tabla_consumos[EAN],tabla_consumos[UM])</f>
        <v>#VALUE!</v>
      </c>
      <c r="S2229" s="22" t="e">
        <f>Tabla1[[#This Row],[StockDisp]]*Tabla1[[#This Row],[UM producto]]</f>
        <v>#VALUE!</v>
      </c>
    </row>
    <row r="2230" spans="1:19" x14ac:dyDescent="0.35">
      <c r="A2230" s="5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6"/>
      <c r="P2230" s="23" t="e">
        <f>TRIM(Tabla1[[#This Row],[Articulo]])</f>
        <v>#VALUE!</v>
      </c>
      <c r="Q2230" s="23" t="e">
        <f>_xlfn.XLOOKUP(Tabla1[[#This Row],[Ean Normalizado]],Consumos!A:A,Consumos!E:E)</f>
        <v>#VALUE!</v>
      </c>
      <c r="R2230" s="45" t="e">
        <f>_xlfn.XLOOKUP(Tabla1[[#This Row],[Ean Normalizado]],tabla_consumos[EAN],tabla_consumos[UM])</f>
        <v>#VALUE!</v>
      </c>
      <c r="S2230" s="45" t="e">
        <f>Tabla1[[#This Row],[StockDisp]]*Tabla1[[#This Row],[UM producto]]</f>
        <v>#VALUE!</v>
      </c>
    </row>
    <row r="2231" spans="1:19" x14ac:dyDescent="0.35">
      <c r="A2231" s="5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6"/>
      <c r="P2231" s="23" t="e">
        <f>TRIM(Tabla1[[#This Row],[Articulo]])</f>
        <v>#VALUE!</v>
      </c>
      <c r="Q2231" s="23" t="e">
        <f>_xlfn.XLOOKUP(Tabla1[[#This Row],[Ean Normalizado]],tabla_consumos[EAN],tabla_consumos[Familia])</f>
        <v>#VALUE!</v>
      </c>
      <c r="R2231" s="22" t="e">
        <f>_xlfn.XLOOKUP(Tabla1[[#This Row],[Ean Normalizado]],tabla_consumos[EAN],tabla_consumos[UM])</f>
        <v>#VALUE!</v>
      </c>
      <c r="S2231" s="22" t="e">
        <f>Tabla1[[#This Row],[StockDisp]]*Tabla1[[#This Row],[UM producto]]</f>
        <v>#VALUE!</v>
      </c>
    </row>
    <row r="2232" spans="1:19" x14ac:dyDescent="0.35">
      <c r="A2232" s="5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6"/>
      <c r="P2232" s="23" t="e">
        <f>TRIM(Tabla1[[#This Row],[Articulo]])</f>
        <v>#VALUE!</v>
      </c>
      <c r="Q2232" s="23" t="e">
        <f>_xlfn.XLOOKUP(Tabla1[[#This Row],[Ean Normalizado]],tabla_consumos[EAN],tabla_consumos[Familia])</f>
        <v>#VALUE!</v>
      </c>
      <c r="R2232" s="22" t="e">
        <f>_xlfn.XLOOKUP(Tabla1[[#This Row],[Ean Normalizado]],tabla_consumos[EAN],tabla_consumos[UM])</f>
        <v>#VALUE!</v>
      </c>
      <c r="S2232" s="22" t="e">
        <f>Tabla1[[#This Row],[StockDisp]]*Tabla1[[#This Row],[UM producto]]</f>
        <v>#VALUE!</v>
      </c>
    </row>
    <row r="2233" spans="1:19" x14ac:dyDescent="0.35">
      <c r="A2233" s="5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6"/>
      <c r="P2233" s="23" t="e">
        <f>TRIM(Tabla1[[#This Row],[Articulo]])</f>
        <v>#VALUE!</v>
      </c>
      <c r="Q2233" s="23" t="e">
        <f>_xlfn.XLOOKUP(Tabla1[[#This Row],[Ean Normalizado]],tabla_consumos[EAN],tabla_consumos[Familia])</f>
        <v>#VALUE!</v>
      </c>
      <c r="R2233" s="22" t="e">
        <f>_xlfn.XLOOKUP(Tabla1[[#This Row],[Ean Normalizado]],tabla_consumos[EAN],tabla_consumos[UM])</f>
        <v>#VALUE!</v>
      </c>
      <c r="S2233" s="22" t="e">
        <f>Tabla1[[#This Row],[StockDisp]]*Tabla1[[#This Row],[UM producto]]</f>
        <v>#VALUE!</v>
      </c>
    </row>
    <row r="2234" spans="1:19" x14ac:dyDescent="0.35">
      <c r="A2234" s="5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6"/>
      <c r="P2234" s="23" t="e">
        <f>TRIM(Tabla1[[#This Row],[Articulo]])</f>
        <v>#VALUE!</v>
      </c>
      <c r="Q2234" s="23" t="e">
        <f>_xlfn.XLOOKUP(Tabla1[[#This Row],[Ean Normalizado]],tabla_consumos[EAN],tabla_consumos[Familia])</f>
        <v>#VALUE!</v>
      </c>
      <c r="R2234" s="22" t="e">
        <f>_xlfn.XLOOKUP(Tabla1[[#This Row],[Ean Normalizado]],tabla_consumos[EAN],tabla_consumos[UM])</f>
        <v>#VALUE!</v>
      </c>
      <c r="S2234" s="22" t="e">
        <f>Tabla1[[#This Row],[StockDisp]]*Tabla1[[#This Row],[UM producto]]</f>
        <v>#VALUE!</v>
      </c>
    </row>
    <row r="2235" spans="1:19" x14ac:dyDescent="0.35">
      <c r="A2235" s="5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6"/>
      <c r="P2235" s="23" t="e">
        <f>TRIM(Tabla1[[#This Row],[Articulo]])</f>
        <v>#VALUE!</v>
      </c>
      <c r="Q2235" s="23" t="e">
        <f>_xlfn.XLOOKUP(Tabla1[[#This Row],[Ean Normalizado]],tabla_consumos[EAN],tabla_consumos[Familia])</f>
        <v>#VALUE!</v>
      </c>
      <c r="R2235" s="22" t="e">
        <f>_xlfn.XLOOKUP(Tabla1[[#This Row],[Ean Normalizado]],tabla_consumos[EAN],tabla_consumos[UM])</f>
        <v>#VALUE!</v>
      </c>
      <c r="S2235" s="22" t="e">
        <f>Tabla1[[#This Row],[StockDisp]]*Tabla1[[#This Row],[UM producto]]</f>
        <v>#VALUE!</v>
      </c>
    </row>
    <row r="2236" spans="1:19" x14ac:dyDescent="0.35">
      <c r="A2236" s="5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6"/>
      <c r="P2236" s="23" t="e">
        <f>TRIM(Tabla1[[#This Row],[Articulo]])</f>
        <v>#VALUE!</v>
      </c>
      <c r="Q2236" s="23" t="e">
        <f>_xlfn.XLOOKUP(Tabla1[[#This Row],[Ean Normalizado]],tabla_consumos[EAN],tabla_consumos[Familia])</f>
        <v>#VALUE!</v>
      </c>
      <c r="R2236" s="22" t="e">
        <f>_xlfn.XLOOKUP(Tabla1[[#This Row],[Ean Normalizado]],tabla_consumos[EAN],tabla_consumos[UM])</f>
        <v>#VALUE!</v>
      </c>
      <c r="S2236" s="22" t="e">
        <f>Tabla1[[#This Row],[StockDisp]]*Tabla1[[#This Row],[UM producto]]</f>
        <v>#VALUE!</v>
      </c>
    </row>
    <row r="2237" spans="1:19" x14ac:dyDescent="0.35">
      <c r="A2237" s="5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6"/>
      <c r="P2237" s="23" t="e">
        <f>TRIM(Tabla1[[#This Row],[Articulo]])</f>
        <v>#VALUE!</v>
      </c>
      <c r="Q2237" s="23" t="e">
        <f>_xlfn.XLOOKUP(Tabla1[[#This Row],[Ean Normalizado]],tabla_consumos[EAN],tabla_consumos[Familia])</f>
        <v>#VALUE!</v>
      </c>
      <c r="R2237" s="22" t="e">
        <f>_xlfn.XLOOKUP(Tabla1[[#This Row],[Ean Normalizado]],tabla_consumos[EAN],tabla_consumos[UM])</f>
        <v>#VALUE!</v>
      </c>
      <c r="S2237" s="22" t="e">
        <f>Tabla1[[#This Row],[StockDisp]]*Tabla1[[#This Row],[UM producto]]</f>
        <v>#VALUE!</v>
      </c>
    </row>
    <row r="2238" spans="1:19" x14ac:dyDescent="0.35">
      <c r="A2238" s="5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6"/>
      <c r="P2238" s="23" t="e">
        <f>TRIM(Tabla1[[#This Row],[Articulo]])</f>
        <v>#VALUE!</v>
      </c>
      <c r="Q2238" s="23" t="e">
        <f>_xlfn.XLOOKUP(Tabla1[[#This Row],[Ean Normalizado]],tabla_consumos[EAN],tabla_consumos[Familia])</f>
        <v>#VALUE!</v>
      </c>
      <c r="R2238" s="22" t="e">
        <f>_xlfn.XLOOKUP(Tabla1[[#This Row],[Ean Normalizado]],tabla_consumos[EAN],tabla_consumos[UM])</f>
        <v>#VALUE!</v>
      </c>
      <c r="S2238" s="22" t="e">
        <f>Tabla1[[#This Row],[StockDisp]]*Tabla1[[#This Row],[UM producto]]</f>
        <v>#VALUE!</v>
      </c>
    </row>
    <row r="2239" spans="1:19" x14ac:dyDescent="0.35">
      <c r="A2239" s="5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6"/>
      <c r="P2239" s="23" t="e">
        <f>TRIM(Tabla1[[#This Row],[Articulo]])</f>
        <v>#VALUE!</v>
      </c>
      <c r="Q2239" s="23" t="e">
        <f>_xlfn.XLOOKUP(Tabla1[[#This Row],[Ean Normalizado]],tabla_consumos[EAN],tabla_consumos[Familia])</f>
        <v>#VALUE!</v>
      </c>
      <c r="R2239" s="22" t="e">
        <f>_xlfn.XLOOKUP(Tabla1[[#This Row],[Ean Normalizado]],tabla_consumos[EAN],tabla_consumos[UM])</f>
        <v>#VALUE!</v>
      </c>
      <c r="S2239" s="22" t="e">
        <f>Tabla1[[#This Row],[StockDisp]]*Tabla1[[#This Row],[UM producto]]</f>
        <v>#VALUE!</v>
      </c>
    </row>
    <row r="2240" spans="1:19" x14ac:dyDescent="0.35">
      <c r="A2240" s="5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6"/>
      <c r="P2240" s="23" t="e">
        <f>TRIM(Tabla1[[#This Row],[Articulo]])</f>
        <v>#VALUE!</v>
      </c>
      <c r="Q2240" s="23" t="e">
        <f>_xlfn.XLOOKUP(Tabla1[[#This Row],[Ean Normalizado]],tabla_consumos[EAN],tabla_consumos[Familia])</f>
        <v>#VALUE!</v>
      </c>
      <c r="R2240" s="22" t="e">
        <f>_xlfn.XLOOKUP(Tabla1[[#This Row],[Ean Normalizado]],tabla_consumos[EAN],tabla_consumos[UM])</f>
        <v>#VALUE!</v>
      </c>
      <c r="S2240" s="22" t="e">
        <f>Tabla1[[#This Row],[StockDisp]]*Tabla1[[#This Row],[UM producto]]</f>
        <v>#VALUE!</v>
      </c>
    </row>
    <row r="2241" spans="1:19" x14ac:dyDescent="0.35">
      <c r="A2241" s="5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6"/>
      <c r="P2241" s="23" t="e">
        <f>TRIM(Tabla1[[#This Row],[Articulo]])</f>
        <v>#VALUE!</v>
      </c>
      <c r="Q2241" s="23" t="e">
        <f>_xlfn.XLOOKUP(Tabla1[[#This Row],[Ean Normalizado]],tabla_consumos[EAN],tabla_consumos[Familia])</f>
        <v>#VALUE!</v>
      </c>
      <c r="R2241" s="22" t="e">
        <f>_xlfn.XLOOKUP(Tabla1[[#This Row],[Ean Normalizado]],tabla_consumos[EAN],tabla_consumos[UM])</f>
        <v>#VALUE!</v>
      </c>
      <c r="S2241" s="22" t="e">
        <f>Tabla1[[#This Row],[StockDisp]]*Tabla1[[#This Row],[UM producto]]</f>
        <v>#VALUE!</v>
      </c>
    </row>
    <row r="2242" spans="1:19" x14ac:dyDescent="0.35">
      <c r="A2242" s="5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6"/>
      <c r="P2242" s="23" t="e">
        <f>TRIM(Tabla1[[#This Row],[Articulo]])</f>
        <v>#VALUE!</v>
      </c>
      <c r="Q2242" s="23" t="e">
        <f>_xlfn.XLOOKUP(Tabla1[[#This Row],[Ean Normalizado]],tabla_consumos[EAN],tabla_consumos[Familia])</f>
        <v>#VALUE!</v>
      </c>
      <c r="R2242" s="22" t="e">
        <f>_xlfn.XLOOKUP(Tabla1[[#This Row],[Ean Normalizado]],tabla_consumos[EAN],tabla_consumos[UM])</f>
        <v>#VALUE!</v>
      </c>
      <c r="S2242" s="22" t="e">
        <f>Tabla1[[#This Row],[StockDisp]]*Tabla1[[#This Row],[UM producto]]</f>
        <v>#VALUE!</v>
      </c>
    </row>
    <row r="2243" spans="1:19" x14ac:dyDescent="0.35">
      <c r="A2243" s="5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6"/>
      <c r="P2243" s="23" t="e">
        <f>TRIM(Tabla1[[#This Row],[Articulo]])</f>
        <v>#VALUE!</v>
      </c>
      <c r="Q2243" s="23" t="e">
        <f>_xlfn.XLOOKUP(Tabla1[[#This Row],[Ean Normalizado]],tabla_consumos[EAN],tabla_consumos[Familia])</f>
        <v>#VALUE!</v>
      </c>
      <c r="R2243" s="22" t="e">
        <f>_xlfn.XLOOKUP(Tabla1[[#This Row],[Ean Normalizado]],tabla_consumos[EAN],tabla_consumos[UM])</f>
        <v>#VALUE!</v>
      </c>
      <c r="S2243" s="22" t="e">
        <f>Tabla1[[#This Row],[StockDisp]]*Tabla1[[#This Row],[UM producto]]</f>
        <v>#VALUE!</v>
      </c>
    </row>
    <row r="2244" spans="1:19" x14ac:dyDescent="0.35">
      <c r="A2244" s="5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6"/>
      <c r="P2244" s="23" t="e">
        <f>TRIM(Tabla1[[#This Row],[Articulo]])</f>
        <v>#VALUE!</v>
      </c>
      <c r="Q2244" s="23" t="e">
        <f>_xlfn.XLOOKUP(Tabla1[[#This Row],[Ean Normalizado]],tabla_consumos[EAN],tabla_consumos[Familia])</f>
        <v>#VALUE!</v>
      </c>
      <c r="R2244" s="22" t="e">
        <f>_xlfn.XLOOKUP(Tabla1[[#This Row],[Ean Normalizado]],tabla_consumos[EAN],tabla_consumos[UM])</f>
        <v>#VALUE!</v>
      </c>
      <c r="S2244" s="22" t="e">
        <f>Tabla1[[#This Row],[StockDisp]]*Tabla1[[#This Row],[UM producto]]</f>
        <v>#VALUE!</v>
      </c>
    </row>
    <row r="2245" spans="1:19" x14ac:dyDescent="0.35">
      <c r="A2245" s="5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6"/>
      <c r="P2245" s="23" t="e">
        <f>TRIM(Tabla1[[#This Row],[Articulo]])</f>
        <v>#VALUE!</v>
      </c>
      <c r="Q2245" s="23" t="e">
        <f>_xlfn.XLOOKUP(Tabla1[[#This Row],[Ean Normalizado]],Consumos!A:A,Consumos!E:E)</f>
        <v>#VALUE!</v>
      </c>
      <c r="R2245" s="22" t="e">
        <f>_xlfn.XLOOKUP(Tabla1[[#This Row],[Ean Normalizado]],tabla_consumos[EAN],tabla_consumos[UM])</f>
        <v>#VALUE!</v>
      </c>
      <c r="S2245" s="22" t="e">
        <f>Tabla1[[#This Row],[StockDisp]]*Tabla1[[#This Row],[UM producto]]</f>
        <v>#VALUE!</v>
      </c>
    </row>
    <row r="2246" spans="1:19" x14ac:dyDescent="0.35">
      <c r="A2246" s="5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6"/>
      <c r="P2246" s="23" t="e">
        <f>TRIM(Tabla1[[#This Row],[Articulo]])</f>
        <v>#VALUE!</v>
      </c>
      <c r="Q2246" s="23" t="e">
        <f>_xlfn.XLOOKUP(Tabla1[[#This Row],[Ean Normalizado]],Consumos!A:A,Consumos!E:E)</f>
        <v>#VALUE!</v>
      </c>
      <c r="R2246" s="22" t="e">
        <f>_xlfn.XLOOKUP(Tabla1[[#This Row],[Ean Normalizado]],tabla_consumos[EAN],tabla_consumos[UM])</f>
        <v>#VALUE!</v>
      </c>
      <c r="S2246" s="22" t="e">
        <f>Tabla1[[#This Row],[StockDisp]]*Tabla1[[#This Row],[UM producto]]</f>
        <v>#VALUE!</v>
      </c>
    </row>
    <row r="2247" spans="1:19" x14ac:dyDescent="0.35">
      <c r="A2247" s="5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6"/>
      <c r="P2247" s="23" t="e">
        <f>TRIM(Tabla1[[#This Row],[Articulo]])</f>
        <v>#VALUE!</v>
      </c>
      <c r="Q2247" s="23" t="e">
        <f>_xlfn.XLOOKUP(Tabla1[[#This Row],[Ean Normalizado]],Consumos!A:A,Consumos!E:E)</f>
        <v>#VALUE!</v>
      </c>
      <c r="R2247" s="22" t="e">
        <f>_xlfn.XLOOKUP(Tabla1[[#This Row],[Ean Normalizado]],tabla_consumos[EAN],tabla_consumos[UM])</f>
        <v>#VALUE!</v>
      </c>
      <c r="S2247" s="22" t="e">
        <f>Tabla1[[#This Row],[StockDisp]]*Tabla1[[#This Row],[UM producto]]</f>
        <v>#VALUE!</v>
      </c>
    </row>
    <row r="2248" spans="1:19" x14ac:dyDescent="0.35">
      <c r="A2248" s="5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6"/>
      <c r="P2248" s="23" t="e">
        <f>TRIM(Tabla1[[#This Row],[Articulo]])</f>
        <v>#VALUE!</v>
      </c>
      <c r="Q2248" s="23" t="e">
        <f>_xlfn.XLOOKUP(Tabla1[[#This Row],[Ean Normalizado]],Consumos!A:A,Consumos!E:E)</f>
        <v>#VALUE!</v>
      </c>
      <c r="R2248" s="22" t="e">
        <f>_xlfn.XLOOKUP(Tabla1[[#This Row],[Ean Normalizado]],tabla_consumos[EAN],tabla_consumos[UM])</f>
        <v>#VALUE!</v>
      </c>
      <c r="S2248" s="22" t="e">
        <f>Tabla1[[#This Row],[StockDisp]]*Tabla1[[#This Row],[UM producto]]</f>
        <v>#VALUE!</v>
      </c>
    </row>
    <row r="2249" spans="1:19" x14ac:dyDescent="0.35">
      <c r="A2249" s="5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6"/>
      <c r="P2249" s="23" t="e">
        <f>TRIM(Tabla1[[#This Row],[Articulo]])</f>
        <v>#VALUE!</v>
      </c>
      <c r="Q2249" s="23" t="e">
        <f>_xlfn.XLOOKUP(Tabla1[[#This Row],[Ean Normalizado]],Consumos!A:A,Consumos!E:E)</f>
        <v>#VALUE!</v>
      </c>
      <c r="R2249" s="22" t="e">
        <f>_xlfn.XLOOKUP(Tabla1[[#This Row],[Ean Normalizado]],tabla_consumos[EAN],tabla_consumos[UM])</f>
        <v>#VALUE!</v>
      </c>
      <c r="S2249" s="22" t="e">
        <f>Tabla1[[#This Row],[StockDisp]]*Tabla1[[#This Row],[UM producto]]</f>
        <v>#VALUE!</v>
      </c>
    </row>
    <row r="2250" spans="1:19" x14ac:dyDescent="0.35">
      <c r="A2250" s="5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6"/>
      <c r="P2250" s="23" t="e">
        <f>TRIM(Tabla1[[#This Row],[Articulo]])</f>
        <v>#VALUE!</v>
      </c>
      <c r="Q2250" s="23" t="e">
        <f>_xlfn.XLOOKUP(Tabla1[[#This Row],[Ean Normalizado]],Consumos!A:A,Consumos!E:E)</f>
        <v>#VALUE!</v>
      </c>
      <c r="R2250" s="22" t="e">
        <f>_xlfn.XLOOKUP(Tabla1[[#This Row],[Ean Normalizado]],tabla_consumos[EAN],tabla_consumos[UM])</f>
        <v>#VALUE!</v>
      </c>
      <c r="S2250" s="22" t="e">
        <f>Tabla1[[#This Row],[StockDisp]]*Tabla1[[#This Row],[UM producto]]</f>
        <v>#VALUE!</v>
      </c>
    </row>
    <row r="2251" spans="1:19" x14ac:dyDescent="0.35">
      <c r="A2251" s="5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6"/>
      <c r="P2251" s="23" t="e">
        <f>TRIM(Tabla1[[#This Row],[Articulo]])</f>
        <v>#VALUE!</v>
      </c>
      <c r="Q2251" s="23" t="e">
        <f>_xlfn.XLOOKUP(Tabla1[[#This Row],[Ean Normalizado]],Consumos!A:A,Consumos!E:E)</f>
        <v>#VALUE!</v>
      </c>
      <c r="R2251" s="22" t="e">
        <f>_xlfn.XLOOKUP(Tabla1[[#This Row],[Ean Normalizado]],tabla_consumos[EAN],tabla_consumos[UM])</f>
        <v>#VALUE!</v>
      </c>
      <c r="S2251" s="22" t="e">
        <f>Tabla1[[#This Row],[StockDisp]]*Tabla1[[#This Row],[UM producto]]</f>
        <v>#VALUE!</v>
      </c>
    </row>
    <row r="2252" spans="1:19" x14ac:dyDescent="0.35">
      <c r="A2252" s="5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6"/>
      <c r="P2252" s="23" t="e">
        <f>TRIM(Tabla1[[#This Row],[Articulo]])</f>
        <v>#VALUE!</v>
      </c>
      <c r="Q2252" s="23" t="e">
        <f>_xlfn.XLOOKUP(Tabla1[[#This Row],[Ean Normalizado]],Consumos!A:A,Consumos!E:E)</f>
        <v>#VALUE!</v>
      </c>
      <c r="R2252" s="22" t="e">
        <f>_xlfn.XLOOKUP(Tabla1[[#This Row],[Ean Normalizado]],tabla_consumos[EAN],tabla_consumos[UM])</f>
        <v>#VALUE!</v>
      </c>
      <c r="S2252" s="22" t="e">
        <f>Tabla1[[#This Row],[StockDisp]]*Tabla1[[#This Row],[UM producto]]</f>
        <v>#VALUE!</v>
      </c>
    </row>
    <row r="2253" spans="1:19" x14ac:dyDescent="0.35">
      <c r="A2253" s="5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6"/>
      <c r="P2253" s="23" t="e">
        <f>TRIM(Tabla1[[#This Row],[Articulo]])</f>
        <v>#VALUE!</v>
      </c>
      <c r="Q2253" s="23" t="e">
        <f>_xlfn.XLOOKUP(Tabla1[[#This Row],[Ean Normalizado]],Consumos!A:A,Consumos!E:E)</f>
        <v>#VALUE!</v>
      </c>
      <c r="R2253" s="22" t="e">
        <f>_xlfn.XLOOKUP(Tabla1[[#This Row],[Ean Normalizado]],tabla_consumos[EAN],tabla_consumos[UM])</f>
        <v>#VALUE!</v>
      </c>
      <c r="S2253" s="22" t="e">
        <f>Tabla1[[#This Row],[StockDisp]]*Tabla1[[#This Row],[UM producto]]</f>
        <v>#VALUE!</v>
      </c>
    </row>
    <row r="2254" spans="1:19" x14ac:dyDescent="0.35">
      <c r="A2254" s="5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6"/>
      <c r="P2254" s="23" t="e">
        <f>TRIM(Tabla1[[#This Row],[Articulo]])</f>
        <v>#VALUE!</v>
      </c>
      <c r="Q2254" s="23" t="e">
        <f>_xlfn.XLOOKUP(Tabla1[[#This Row],[Ean Normalizado]],Consumos!A:A,Consumos!E:E)</f>
        <v>#VALUE!</v>
      </c>
      <c r="R2254" s="22" t="e">
        <f>_xlfn.XLOOKUP(Tabla1[[#This Row],[Ean Normalizado]],tabla_consumos[EAN],tabla_consumos[UM])</f>
        <v>#VALUE!</v>
      </c>
      <c r="S2254" s="22" t="e">
        <f>Tabla1[[#This Row],[StockDisp]]*Tabla1[[#This Row],[UM producto]]</f>
        <v>#VALUE!</v>
      </c>
    </row>
    <row r="2255" spans="1:19" x14ac:dyDescent="0.35">
      <c r="A2255" s="5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6"/>
      <c r="P2255" s="23" t="e">
        <f>TRIM(Tabla1[[#This Row],[Articulo]])</f>
        <v>#VALUE!</v>
      </c>
      <c r="Q2255" s="23" t="e">
        <f>_xlfn.XLOOKUP(Tabla1[[#This Row],[Ean Normalizado]],Consumos!A:A,Consumos!E:E)</f>
        <v>#VALUE!</v>
      </c>
      <c r="R2255" s="22" t="e">
        <f>_xlfn.XLOOKUP(Tabla1[[#This Row],[Ean Normalizado]],tabla_consumos[EAN],tabla_consumos[UM])</f>
        <v>#VALUE!</v>
      </c>
      <c r="S2255" s="22" t="e">
        <f>Tabla1[[#This Row],[StockDisp]]*Tabla1[[#This Row],[UM producto]]</f>
        <v>#VALUE!</v>
      </c>
    </row>
    <row r="2256" spans="1:19" x14ac:dyDescent="0.35">
      <c r="A2256" s="5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6"/>
      <c r="P2256" s="23" t="e">
        <f>TRIM(Tabla1[[#This Row],[Articulo]])</f>
        <v>#VALUE!</v>
      </c>
      <c r="Q2256" s="23" t="e">
        <f>_xlfn.XLOOKUP(Tabla1[[#This Row],[Ean Normalizado]],Consumos!A:A,Consumos!E:E)</f>
        <v>#VALUE!</v>
      </c>
      <c r="R2256" s="22" t="e">
        <f>_xlfn.XLOOKUP(Tabla1[[#This Row],[Ean Normalizado]],tabla_consumos[EAN],tabla_consumos[UM])</f>
        <v>#VALUE!</v>
      </c>
      <c r="S2256" s="22" t="e">
        <f>Tabla1[[#This Row],[StockDisp]]*Tabla1[[#This Row],[UM producto]]</f>
        <v>#VALUE!</v>
      </c>
    </row>
    <row r="2257" spans="1:19" x14ac:dyDescent="0.35">
      <c r="A2257" s="5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6"/>
      <c r="P2257" s="23" t="e">
        <f>TRIM(Tabla1[[#This Row],[Articulo]])</f>
        <v>#VALUE!</v>
      </c>
      <c r="Q2257" s="23" t="e">
        <f>_xlfn.XLOOKUP(Tabla1[[#This Row],[Ean Normalizado]],Consumos!A:A,Consumos!E:E)</f>
        <v>#VALUE!</v>
      </c>
      <c r="R2257" s="22" t="e">
        <f>_xlfn.XLOOKUP(Tabla1[[#This Row],[Ean Normalizado]],tabla_consumos[EAN],tabla_consumos[UM])</f>
        <v>#VALUE!</v>
      </c>
      <c r="S2257" s="22" t="e">
        <f>Tabla1[[#This Row],[StockDisp]]*Tabla1[[#This Row],[UM producto]]</f>
        <v>#VALUE!</v>
      </c>
    </row>
    <row r="2258" spans="1:19" x14ac:dyDescent="0.35">
      <c r="A2258" s="5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6"/>
      <c r="P2258" s="23" t="e">
        <f>TRIM(Tabla1[[#This Row],[Articulo]])</f>
        <v>#VALUE!</v>
      </c>
      <c r="Q2258" s="23" t="e">
        <f>_xlfn.XLOOKUP(Tabla1[[#This Row],[Ean Normalizado]],Consumos!A:A,Consumos!E:E)</f>
        <v>#VALUE!</v>
      </c>
      <c r="R2258" s="22" t="e">
        <f>_xlfn.XLOOKUP(Tabla1[[#This Row],[Ean Normalizado]],tabla_consumos[EAN],tabla_consumos[UM])</f>
        <v>#VALUE!</v>
      </c>
      <c r="S2258" s="22" t="e">
        <f>Tabla1[[#This Row],[StockDisp]]*Tabla1[[#This Row],[UM producto]]</f>
        <v>#VALUE!</v>
      </c>
    </row>
    <row r="2259" spans="1:19" x14ac:dyDescent="0.35">
      <c r="A2259" s="5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6"/>
      <c r="P2259" s="23" t="e">
        <f>TRIM(Tabla1[[#This Row],[Articulo]])</f>
        <v>#VALUE!</v>
      </c>
      <c r="Q2259" s="23" t="e">
        <f>_xlfn.XLOOKUP(Tabla1[[#This Row],[Ean Normalizado]],Consumos!A:A,Consumos!E:E)</f>
        <v>#VALUE!</v>
      </c>
      <c r="R2259" s="22" t="e">
        <f>_xlfn.XLOOKUP(Tabla1[[#This Row],[Ean Normalizado]],tabla_consumos[EAN],tabla_consumos[UM])</f>
        <v>#VALUE!</v>
      </c>
      <c r="S2259" s="22" t="e">
        <f>Tabla1[[#This Row],[StockDisp]]*Tabla1[[#This Row],[UM producto]]</f>
        <v>#VALUE!</v>
      </c>
    </row>
    <row r="2260" spans="1:19" x14ac:dyDescent="0.35">
      <c r="A2260" s="5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6"/>
      <c r="P2260" s="23" t="e">
        <f>TRIM(Tabla1[[#This Row],[Articulo]])</f>
        <v>#VALUE!</v>
      </c>
      <c r="Q2260" s="23" t="e">
        <f>_xlfn.XLOOKUP(Tabla1[[#This Row],[Ean Normalizado]],Consumos!A:A,Consumos!E:E)</f>
        <v>#VALUE!</v>
      </c>
      <c r="R2260" s="22" t="e">
        <f>_xlfn.XLOOKUP(Tabla1[[#This Row],[Ean Normalizado]],tabla_consumos[EAN],tabla_consumos[UM])</f>
        <v>#VALUE!</v>
      </c>
      <c r="S2260" s="22" t="e">
        <f>Tabla1[[#This Row],[StockDisp]]*Tabla1[[#This Row],[UM producto]]</f>
        <v>#VALUE!</v>
      </c>
    </row>
    <row r="2261" spans="1:19" x14ac:dyDescent="0.35">
      <c r="A2261" s="5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6"/>
      <c r="P2261" s="23" t="e">
        <f>TRIM(Tabla1[[#This Row],[Articulo]])</f>
        <v>#VALUE!</v>
      </c>
      <c r="Q2261" s="23" t="e">
        <f>_xlfn.XLOOKUP(Tabla1[[#This Row],[Ean Normalizado]],Consumos!A:A,Consumos!E:E)</f>
        <v>#VALUE!</v>
      </c>
      <c r="R2261" s="22" t="e">
        <f>_xlfn.XLOOKUP(Tabla1[[#This Row],[Ean Normalizado]],tabla_consumos[EAN],tabla_consumos[UM])</f>
        <v>#VALUE!</v>
      </c>
      <c r="S2261" s="22" t="e">
        <f>Tabla1[[#This Row],[StockDisp]]*Tabla1[[#This Row],[UM producto]]</f>
        <v>#VALUE!</v>
      </c>
    </row>
    <row r="2262" spans="1:19" x14ac:dyDescent="0.35">
      <c r="A2262" s="5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6"/>
      <c r="P2262" s="23" t="e">
        <f>TRIM(Tabla1[[#This Row],[Articulo]])</f>
        <v>#VALUE!</v>
      </c>
      <c r="Q2262" s="23" t="e">
        <f>_xlfn.XLOOKUP(Tabla1[[#This Row],[Ean Normalizado]],Consumos!A:A,Consumos!E:E)</f>
        <v>#VALUE!</v>
      </c>
      <c r="R2262" s="22" t="e">
        <f>_xlfn.XLOOKUP(Tabla1[[#This Row],[Ean Normalizado]],tabla_consumos[EAN],tabla_consumos[UM])</f>
        <v>#VALUE!</v>
      </c>
      <c r="S2262" s="22" t="e">
        <f>Tabla1[[#This Row],[StockDisp]]*Tabla1[[#This Row],[UM producto]]</f>
        <v>#VALUE!</v>
      </c>
    </row>
    <row r="2263" spans="1:19" x14ac:dyDescent="0.35">
      <c r="A2263" s="5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6"/>
      <c r="P2263" s="23" t="e">
        <f>TRIM(Tabla1[[#This Row],[Articulo]])</f>
        <v>#VALUE!</v>
      </c>
      <c r="Q2263" s="23" t="e">
        <f>_xlfn.XLOOKUP(Tabla1[[#This Row],[Ean Normalizado]],Consumos!A:A,Consumos!E:E)</f>
        <v>#VALUE!</v>
      </c>
      <c r="R2263" s="22" t="e">
        <f>_xlfn.XLOOKUP(Tabla1[[#This Row],[Ean Normalizado]],tabla_consumos[EAN],tabla_consumos[UM])</f>
        <v>#VALUE!</v>
      </c>
      <c r="S2263" s="22" t="e">
        <f>Tabla1[[#This Row],[StockDisp]]*Tabla1[[#This Row],[UM producto]]</f>
        <v>#VALUE!</v>
      </c>
    </row>
    <row r="2264" spans="1:19" x14ac:dyDescent="0.35">
      <c r="A2264" s="5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6"/>
      <c r="P2264" s="23" t="e">
        <f>TRIM(Tabla1[[#This Row],[Articulo]])</f>
        <v>#VALUE!</v>
      </c>
      <c r="Q2264" s="23" t="e">
        <f>_xlfn.XLOOKUP(Tabla1[[#This Row],[Ean Normalizado]],Consumos!A:A,Consumos!E:E)</f>
        <v>#VALUE!</v>
      </c>
      <c r="R2264" s="22" t="e">
        <f>_xlfn.XLOOKUP(Tabla1[[#This Row],[Ean Normalizado]],tabla_consumos[EAN],tabla_consumos[UM])</f>
        <v>#VALUE!</v>
      </c>
      <c r="S2264" s="22" t="e">
        <f>Tabla1[[#This Row],[StockDisp]]*Tabla1[[#This Row],[UM producto]]</f>
        <v>#VALUE!</v>
      </c>
    </row>
    <row r="2265" spans="1:19" x14ac:dyDescent="0.35">
      <c r="A2265" s="5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6"/>
      <c r="P2265" s="23" t="e">
        <f>TRIM(Tabla1[[#This Row],[Articulo]])</f>
        <v>#VALUE!</v>
      </c>
      <c r="Q2265" s="23" t="e">
        <f>_xlfn.XLOOKUP(Tabla1[[#This Row],[Ean Normalizado]],Consumos!A:A,Consumos!E:E)</f>
        <v>#VALUE!</v>
      </c>
      <c r="R2265" s="22" t="e">
        <f>_xlfn.XLOOKUP(Tabla1[[#This Row],[Ean Normalizado]],tabla_consumos[EAN],tabla_consumos[UM])</f>
        <v>#VALUE!</v>
      </c>
      <c r="S2265" s="22" t="e">
        <f>Tabla1[[#This Row],[StockDisp]]*Tabla1[[#This Row],[UM producto]]</f>
        <v>#VALUE!</v>
      </c>
    </row>
    <row r="2266" spans="1:19" x14ac:dyDescent="0.35">
      <c r="A2266" s="5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6"/>
      <c r="P2266" s="23" t="e">
        <f>TRIM(Tabla1[[#This Row],[Articulo]])</f>
        <v>#VALUE!</v>
      </c>
      <c r="Q2266" s="23" t="e">
        <f>_xlfn.XLOOKUP(Tabla1[[#This Row],[Ean Normalizado]],Consumos!A:A,Consumos!E:E)</f>
        <v>#VALUE!</v>
      </c>
      <c r="R2266" s="22" t="e">
        <f>_xlfn.XLOOKUP(Tabla1[[#This Row],[Ean Normalizado]],tabla_consumos[EAN],tabla_consumos[UM])</f>
        <v>#VALUE!</v>
      </c>
      <c r="S2266" s="22" t="e">
        <f>Tabla1[[#This Row],[StockDisp]]*Tabla1[[#This Row],[UM producto]]</f>
        <v>#VALUE!</v>
      </c>
    </row>
    <row r="2267" spans="1:19" x14ac:dyDescent="0.35">
      <c r="A2267" s="5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6"/>
      <c r="P2267" s="23" t="e">
        <f>TRIM(Tabla1[[#This Row],[Articulo]])</f>
        <v>#VALUE!</v>
      </c>
      <c r="Q2267" s="23" t="e">
        <f>_xlfn.XLOOKUP(Tabla1[[#This Row],[Ean Normalizado]],Consumos!A:A,Consumos!E:E)</f>
        <v>#VALUE!</v>
      </c>
      <c r="R2267" s="22" t="e">
        <f>_xlfn.XLOOKUP(Tabla1[[#This Row],[Ean Normalizado]],tabla_consumos[EAN],tabla_consumos[UM])</f>
        <v>#VALUE!</v>
      </c>
      <c r="S2267" s="22" t="e">
        <f>Tabla1[[#This Row],[StockDisp]]*Tabla1[[#This Row],[UM producto]]</f>
        <v>#VALUE!</v>
      </c>
    </row>
    <row r="2268" spans="1:19" x14ac:dyDescent="0.35">
      <c r="A2268" s="5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6"/>
      <c r="P2268" s="23" t="e">
        <f>TRIM(Tabla1[[#This Row],[Articulo]])</f>
        <v>#VALUE!</v>
      </c>
      <c r="Q2268" s="23" t="e">
        <f>_xlfn.XLOOKUP(Tabla1[[#This Row],[Ean Normalizado]],Consumos!A:A,Consumos!E:E)</f>
        <v>#VALUE!</v>
      </c>
      <c r="R2268" s="22" t="e">
        <f>_xlfn.XLOOKUP(Tabla1[[#This Row],[Ean Normalizado]],tabla_consumos[EAN],tabla_consumos[UM])</f>
        <v>#VALUE!</v>
      </c>
      <c r="S2268" s="22" t="e">
        <f>Tabla1[[#This Row],[StockDisp]]*Tabla1[[#This Row],[UM producto]]</f>
        <v>#VALUE!</v>
      </c>
    </row>
    <row r="2269" spans="1:19" x14ac:dyDescent="0.35">
      <c r="A2269" s="5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6"/>
      <c r="P2269" s="23" t="e">
        <f>TRIM(Tabla1[[#This Row],[Articulo]])</f>
        <v>#VALUE!</v>
      </c>
      <c r="Q2269" s="23" t="e">
        <f>_xlfn.XLOOKUP(Tabla1[[#This Row],[Ean Normalizado]],Consumos!A:A,Consumos!E:E)</f>
        <v>#VALUE!</v>
      </c>
      <c r="R2269" s="22" t="e">
        <f>_xlfn.XLOOKUP(Tabla1[[#This Row],[Ean Normalizado]],tabla_consumos[EAN],tabla_consumos[UM])</f>
        <v>#VALUE!</v>
      </c>
      <c r="S2269" s="22" t="e">
        <f>Tabla1[[#This Row],[StockDisp]]*Tabla1[[#This Row],[UM producto]]</f>
        <v>#VALUE!</v>
      </c>
    </row>
    <row r="2270" spans="1:19" x14ac:dyDescent="0.35">
      <c r="A2270" s="5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6"/>
      <c r="P2270" s="23" t="e">
        <f>TRIM(Tabla1[[#This Row],[Articulo]])</f>
        <v>#VALUE!</v>
      </c>
      <c r="Q2270" s="23" t="e">
        <f>_xlfn.XLOOKUP(Tabla1[[#This Row],[Ean Normalizado]],Consumos!A:A,Consumos!E:E)</f>
        <v>#VALUE!</v>
      </c>
      <c r="R2270" s="22" t="e">
        <f>_xlfn.XLOOKUP(Tabla1[[#This Row],[Ean Normalizado]],tabla_consumos[EAN],tabla_consumos[UM])</f>
        <v>#VALUE!</v>
      </c>
      <c r="S2270" s="22" t="e">
        <f>Tabla1[[#This Row],[StockDisp]]*Tabla1[[#This Row],[UM producto]]</f>
        <v>#VALUE!</v>
      </c>
    </row>
    <row r="2271" spans="1:19" x14ac:dyDescent="0.35">
      <c r="A2271" s="5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6"/>
      <c r="P2271" s="23" t="e">
        <f>TRIM(Tabla1[[#This Row],[Articulo]])</f>
        <v>#VALUE!</v>
      </c>
      <c r="Q2271" s="23" t="e">
        <f>_xlfn.XLOOKUP(Tabla1[[#This Row],[Ean Normalizado]],Consumos!A:A,Consumos!E:E)</f>
        <v>#VALUE!</v>
      </c>
      <c r="R2271" s="22" t="e">
        <f>_xlfn.XLOOKUP(Tabla1[[#This Row],[Ean Normalizado]],tabla_consumos[EAN],tabla_consumos[UM])</f>
        <v>#VALUE!</v>
      </c>
      <c r="S2271" s="22" t="e">
        <f>Tabla1[[#This Row],[StockDisp]]*Tabla1[[#This Row],[UM producto]]</f>
        <v>#VALUE!</v>
      </c>
    </row>
    <row r="2272" spans="1:19" x14ac:dyDescent="0.35">
      <c r="A2272" s="5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6"/>
      <c r="P2272" s="23" t="e">
        <f>TRIM(Tabla1[[#This Row],[Articulo]])</f>
        <v>#VALUE!</v>
      </c>
      <c r="Q2272" s="23" t="e">
        <f>_xlfn.XLOOKUP(Tabla1[[#This Row],[Ean Normalizado]],Consumos!A:A,Consumos!E:E)</f>
        <v>#VALUE!</v>
      </c>
      <c r="R2272" s="22" t="e">
        <f>_xlfn.XLOOKUP(Tabla1[[#This Row],[Ean Normalizado]],tabla_consumos[EAN],tabla_consumos[UM])</f>
        <v>#VALUE!</v>
      </c>
      <c r="S2272" s="22" t="e">
        <f>Tabla1[[#This Row],[StockDisp]]*Tabla1[[#This Row],[UM producto]]</f>
        <v>#VALUE!</v>
      </c>
    </row>
    <row r="2273" spans="1:19" x14ac:dyDescent="0.35">
      <c r="A2273" s="5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6"/>
      <c r="P2273" s="23" t="e">
        <f>TRIM(Tabla1[[#This Row],[Articulo]])</f>
        <v>#VALUE!</v>
      </c>
      <c r="Q2273" s="23" t="e">
        <f>_xlfn.XLOOKUP(Tabla1[[#This Row],[Ean Normalizado]],Consumos!A:A,Consumos!E:E)</f>
        <v>#VALUE!</v>
      </c>
      <c r="R2273" s="22" t="e">
        <f>_xlfn.XLOOKUP(Tabla1[[#This Row],[Ean Normalizado]],tabla_consumos[EAN],tabla_consumos[UM])</f>
        <v>#VALUE!</v>
      </c>
      <c r="S2273" s="22" t="e">
        <f>Tabla1[[#This Row],[StockDisp]]*Tabla1[[#This Row],[UM producto]]</f>
        <v>#VALUE!</v>
      </c>
    </row>
    <row r="2274" spans="1:19" x14ac:dyDescent="0.35">
      <c r="A2274" s="5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6"/>
      <c r="P2274" s="23" t="e">
        <f>TRIM(Tabla1[[#This Row],[Articulo]])</f>
        <v>#VALUE!</v>
      </c>
      <c r="Q2274" s="23" t="e">
        <f>_xlfn.XLOOKUP(Tabla1[[#This Row],[Ean Normalizado]],Consumos!A:A,Consumos!E:E)</f>
        <v>#VALUE!</v>
      </c>
      <c r="R2274" s="22" t="e">
        <f>_xlfn.XLOOKUP(Tabla1[[#This Row],[Ean Normalizado]],tabla_consumos[EAN],tabla_consumos[UM])</f>
        <v>#VALUE!</v>
      </c>
      <c r="S2274" s="22" t="e">
        <f>Tabla1[[#This Row],[StockDisp]]*Tabla1[[#This Row],[UM producto]]</f>
        <v>#VALUE!</v>
      </c>
    </row>
    <row r="2275" spans="1:19" x14ac:dyDescent="0.35">
      <c r="A2275" s="5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6"/>
      <c r="P2275" s="23" t="e">
        <f>TRIM(Tabla1[[#This Row],[Articulo]])</f>
        <v>#VALUE!</v>
      </c>
      <c r="Q2275" s="23" t="e">
        <f>_xlfn.XLOOKUP(Tabla1[[#This Row],[Ean Normalizado]],Consumos!A:A,Consumos!E:E)</f>
        <v>#VALUE!</v>
      </c>
      <c r="R2275" s="22" t="e">
        <f>_xlfn.XLOOKUP(Tabla1[[#This Row],[Ean Normalizado]],tabla_consumos[EAN],tabla_consumos[UM])</f>
        <v>#VALUE!</v>
      </c>
      <c r="S2275" s="22" t="e">
        <f>Tabla1[[#This Row],[StockDisp]]*Tabla1[[#This Row],[UM producto]]</f>
        <v>#VALUE!</v>
      </c>
    </row>
    <row r="2276" spans="1:19" x14ac:dyDescent="0.35">
      <c r="A2276" s="5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6"/>
      <c r="P2276" s="23" t="e">
        <f>TRIM(Tabla1[[#This Row],[Articulo]])</f>
        <v>#VALUE!</v>
      </c>
      <c r="Q2276" s="23" t="e">
        <f>_xlfn.XLOOKUP(Tabla1[[#This Row],[Ean Normalizado]],Consumos!A:A,Consumos!E:E)</f>
        <v>#VALUE!</v>
      </c>
      <c r="R2276" s="22" t="e">
        <f>_xlfn.XLOOKUP(Tabla1[[#This Row],[Ean Normalizado]],tabla_consumos[EAN],tabla_consumos[UM])</f>
        <v>#VALUE!</v>
      </c>
      <c r="S2276" s="22" t="e">
        <f>Tabla1[[#This Row],[StockDisp]]*Tabla1[[#This Row],[UM producto]]</f>
        <v>#VALUE!</v>
      </c>
    </row>
    <row r="2277" spans="1:19" x14ac:dyDescent="0.35">
      <c r="A2277" s="5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6"/>
      <c r="P2277" s="23" t="e">
        <f>TRIM(Tabla1[[#This Row],[Articulo]])</f>
        <v>#VALUE!</v>
      </c>
      <c r="Q2277" s="23" t="e">
        <f>_xlfn.XLOOKUP(Tabla1[[#This Row],[Ean Normalizado]],Consumos!A:A,Consumos!E:E)</f>
        <v>#VALUE!</v>
      </c>
      <c r="R2277" s="22" t="e">
        <f>_xlfn.XLOOKUP(Tabla1[[#This Row],[Ean Normalizado]],tabla_consumos[EAN],tabla_consumos[UM])</f>
        <v>#VALUE!</v>
      </c>
      <c r="S2277" s="22" t="e">
        <f>Tabla1[[#This Row],[StockDisp]]*Tabla1[[#This Row],[UM producto]]</f>
        <v>#VALUE!</v>
      </c>
    </row>
    <row r="2278" spans="1:19" x14ac:dyDescent="0.35">
      <c r="A2278" s="5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6"/>
      <c r="P2278" s="23" t="e">
        <f>TRIM(Tabla1[[#This Row],[Articulo]])</f>
        <v>#VALUE!</v>
      </c>
      <c r="Q2278" s="23" t="e">
        <f>_xlfn.XLOOKUP(Tabla1[[#This Row],[Ean Normalizado]],Consumos!A:A,Consumos!E:E)</f>
        <v>#VALUE!</v>
      </c>
      <c r="R2278" s="22" t="e">
        <f>_xlfn.XLOOKUP(Tabla1[[#This Row],[Ean Normalizado]],tabla_consumos[EAN],tabla_consumos[UM])</f>
        <v>#VALUE!</v>
      </c>
      <c r="S2278" s="22" t="e">
        <f>Tabla1[[#This Row],[StockDisp]]*Tabla1[[#This Row],[UM producto]]</f>
        <v>#VALUE!</v>
      </c>
    </row>
    <row r="2279" spans="1:19" x14ac:dyDescent="0.35">
      <c r="A2279" s="5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6"/>
      <c r="P2279" s="23" t="e">
        <f>TRIM(Tabla1[[#This Row],[Articulo]])</f>
        <v>#VALUE!</v>
      </c>
      <c r="Q2279" s="23" t="e">
        <f>_xlfn.XLOOKUP(Tabla1[[#This Row],[Ean Normalizado]],Consumos!A:A,Consumos!E:E)</f>
        <v>#VALUE!</v>
      </c>
      <c r="R2279" s="22" t="e">
        <f>_xlfn.XLOOKUP(Tabla1[[#This Row],[Ean Normalizado]],tabla_consumos[EAN],tabla_consumos[UM])</f>
        <v>#VALUE!</v>
      </c>
      <c r="S2279" s="22" t="e">
        <f>Tabla1[[#This Row],[StockDisp]]*Tabla1[[#This Row],[UM producto]]</f>
        <v>#VALUE!</v>
      </c>
    </row>
    <row r="2280" spans="1:19" x14ac:dyDescent="0.35">
      <c r="A2280" s="5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6"/>
      <c r="P2280" s="23" t="e">
        <f>TRIM(Tabla1[[#This Row],[Articulo]])</f>
        <v>#VALUE!</v>
      </c>
      <c r="Q2280" s="23" t="e">
        <f>_xlfn.XLOOKUP(Tabla1[[#This Row],[Ean Normalizado]],Consumos!A:A,Consumos!E:E)</f>
        <v>#VALUE!</v>
      </c>
      <c r="R2280" s="22" t="e">
        <f>_xlfn.XLOOKUP(Tabla1[[#This Row],[Ean Normalizado]],tabla_consumos[EAN],tabla_consumos[UM])</f>
        <v>#VALUE!</v>
      </c>
      <c r="S2280" s="22" t="e">
        <f>Tabla1[[#This Row],[StockDisp]]*Tabla1[[#This Row],[UM producto]]</f>
        <v>#VALUE!</v>
      </c>
    </row>
    <row r="2281" spans="1:19" x14ac:dyDescent="0.35">
      <c r="A2281" s="5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6"/>
      <c r="P2281" s="23" t="e">
        <f>TRIM(Tabla1[[#This Row],[Articulo]])</f>
        <v>#VALUE!</v>
      </c>
      <c r="Q2281" s="23" t="e">
        <f>_xlfn.XLOOKUP(Tabla1[[#This Row],[Ean Normalizado]],Consumos!A:A,Consumos!E:E)</f>
        <v>#VALUE!</v>
      </c>
      <c r="R2281" s="22" t="e">
        <f>_xlfn.XLOOKUP(Tabla1[[#This Row],[Ean Normalizado]],tabla_consumos[EAN],tabla_consumos[UM])</f>
        <v>#VALUE!</v>
      </c>
      <c r="S2281" s="22" t="e">
        <f>Tabla1[[#This Row],[StockDisp]]*Tabla1[[#This Row],[UM producto]]</f>
        <v>#VALUE!</v>
      </c>
    </row>
    <row r="2282" spans="1:19" x14ac:dyDescent="0.35">
      <c r="A2282" s="5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6"/>
      <c r="P2282" s="23" t="e">
        <f>TRIM(Tabla1[[#This Row],[Articulo]])</f>
        <v>#VALUE!</v>
      </c>
      <c r="Q2282" s="23" t="e">
        <f>_xlfn.XLOOKUP(Tabla1[[#This Row],[Ean Normalizado]],Consumos!A:A,Consumos!E:E)</f>
        <v>#VALUE!</v>
      </c>
      <c r="R2282" s="22" t="e">
        <f>_xlfn.XLOOKUP(Tabla1[[#This Row],[Ean Normalizado]],tabla_consumos[EAN],tabla_consumos[UM])</f>
        <v>#VALUE!</v>
      </c>
      <c r="S2282" s="22" t="e">
        <f>Tabla1[[#This Row],[StockDisp]]*Tabla1[[#This Row],[UM producto]]</f>
        <v>#VALUE!</v>
      </c>
    </row>
    <row r="2283" spans="1:19" x14ac:dyDescent="0.35">
      <c r="A2283" s="5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6"/>
      <c r="P2283" s="23" t="e">
        <f>TRIM(Tabla1[[#This Row],[Articulo]])</f>
        <v>#VALUE!</v>
      </c>
      <c r="Q2283" s="23" t="e">
        <f>_xlfn.XLOOKUP(Tabla1[[#This Row],[Ean Normalizado]],Consumos!A:A,Consumos!E:E)</f>
        <v>#VALUE!</v>
      </c>
      <c r="R2283" s="22" t="e">
        <f>_xlfn.XLOOKUP(Tabla1[[#This Row],[Ean Normalizado]],tabla_consumos[EAN],tabla_consumos[UM])</f>
        <v>#VALUE!</v>
      </c>
      <c r="S2283" s="22" t="e">
        <f>Tabla1[[#This Row],[StockDisp]]*Tabla1[[#This Row],[UM producto]]</f>
        <v>#VALUE!</v>
      </c>
    </row>
    <row r="2284" spans="1:19" x14ac:dyDescent="0.35">
      <c r="A2284" s="5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6"/>
      <c r="P2284" s="23" t="e">
        <f>TRIM(Tabla1[[#This Row],[Articulo]])</f>
        <v>#VALUE!</v>
      </c>
      <c r="Q2284" s="23" t="e">
        <f>_xlfn.XLOOKUP(Tabla1[[#This Row],[Ean Normalizado]],Consumos!A:A,Consumos!E:E)</f>
        <v>#VALUE!</v>
      </c>
      <c r="R2284" s="22" t="e">
        <f>_xlfn.XLOOKUP(Tabla1[[#This Row],[Ean Normalizado]],tabla_consumos[EAN],tabla_consumos[UM])</f>
        <v>#VALUE!</v>
      </c>
      <c r="S2284" s="22" t="e">
        <f>Tabla1[[#This Row],[StockDisp]]*Tabla1[[#This Row],[UM producto]]</f>
        <v>#VALUE!</v>
      </c>
    </row>
    <row r="2285" spans="1:19" x14ac:dyDescent="0.35">
      <c r="A2285" s="5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6"/>
      <c r="P2285" s="23" t="e">
        <f>TRIM(Tabla1[[#This Row],[Articulo]])</f>
        <v>#VALUE!</v>
      </c>
      <c r="Q2285" s="23" t="e">
        <f>_xlfn.XLOOKUP(Tabla1[[#This Row],[Ean Normalizado]],Consumos!A:A,Consumos!E:E)</f>
        <v>#VALUE!</v>
      </c>
      <c r="R2285" s="22" t="e">
        <f>_xlfn.XLOOKUP(Tabla1[[#This Row],[Ean Normalizado]],tabla_consumos[EAN],tabla_consumos[UM])</f>
        <v>#VALUE!</v>
      </c>
      <c r="S2285" s="22" t="e">
        <f>Tabla1[[#This Row],[StockDisp]]*Tabla1[[#This Row],[UM producto]]</f>
        <v>#VALUE!</v>
      </c>
    </row>
    <row r="2286" spans="1:19" x14ac:dyDescent="0.35">
      <c r="A2286" s="5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6"/>
      <c r="P2286" s="23" t="e">
        <f>TRIM(Tabla1[[#This Row],[Articulo]])</f>
        <v>#VALUE!</v>
      </c>
      <c r="Q2286" s="23" t="e">
        <f>_xlfn.XLOOKUP(Tabla1[[#This Row],[Ean Normalizado]],Consumos!A:A,Consumos!E:E)</f>
        <v>#VALUE!</v>
      </c>
      <c r="R2286" s="22" t="e">
        <f>_xlfn.XLOOKUP(Tabla1[[#This Row],[Ean Normalizado]],tabla_consumos[EAN],tabla_consumos[UM])</f>
        <v>#VALUE!</v>
      </c>
      <c r="S2286" s="22" t="e">
        <f>Tabla1[[#This Row],[StockDisp]]*Tabla1[[#This Row],[UM producto]]</f>
        <v>#VALUE!</v>
      </c>
    </row>
    <row r="2287" spans="1:19" x14ac:dyDescent="0.35">
      <c r="A2287" s="5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6"/>
      <c r="P2287" s="23" t="e">
        <f>TRIM(Tabla1[[#This Row],[Articulo]])</f>
        <v>#VALUE!</v>
      </c>
      <c r="Q2287" s="23" t="e">
        <f>_xlfn.XLOOKUP(Tabla1[[#This Row],[Ean Normalizado]],Consumos!A:A,Consumos!E:E)</f>
        <v>#VALUE!</v>
      </c>
      <c r="R2287" s="22" t="e">
        <f>_xlfn.XLOOKUP(Tabla1[[#This Row],[Ean Normalizado]],tabla_consumos[EAN],tabla_consumos[UM])</f>
        <v>#VALUE!</v>
      </c>
      <c r="S2287" s="22" t="e">
        <f>Tabla1[[#This Row],[StockDisp]]*Tabla1[[#This Row],[UM producto]]</f>
        <v>#VALUE!</v>
      </c>
    </row>
    <row r="2288" spans="1:19" x14ac:dyDescent="0.35">
      <c r="A2288" s="5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6"/>
      <c r="P2288" s="23" t="e">
        <f>TRIM(Tabla1[[#This Row],[Articulo]])</f>
        <v>#VALUE!</v>
      </c>
      <c r="Q2288" s="23" t="e">
        <f>_xlfn.XLOOKUP(Tabla1[[#This Row],[Ean Normalizado]],Consumos!A:A,Consumos!E:E)</f>
        <v>#VALUE!</v>
      </c>
      <c r="R2288" s="22" t="e">
        <f>_xlfn.XLOOKUP(Tabla1[[#This Row],[Ean Normalizado]],tabla_consumos[EAN],tabla_consumos[UM])</f>
        <v>#VALUE!</v>
      </c>
      <c r="S2288" s="22" t="e">
        <f>Tabla1[[#This Row],[StockDisp]]*Tabla1[[#This Row],[UM producto]]</f>
        <v>#VALUE!</v>
      </c>
    </row>
    <row r="2289" spans="1:19" x14ac:dyDescent="0.35">
      <c r="A2289" s="5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6"/>
      <c r="P2289" s="23" t="e">
        <f>TRIM(Tabla1[[#This Row],[Articulo]])</f>
        <v>#VALUE!</v>
      </c>
      <c r="Q2289" s="23" t="e">
        <f>_xlfn.XLOOKUP(Tabla1[[#This Row],[Ean Normalizado]],Consumos!A:A,Consumos!E:E)</f>
        <v>#VALUE!</v>
      </c>
      <c r="R2289" s="22" t="e">
        <f>_xlfn.XLOOKUP(Tabla1[[#This Row],[Ean Normalizado]],tabla_consumos[EAN],tabla_consumos[UM])</f>
        <v>#VALUE!</v>
      </c>
      <c r="S2289" s="22" t="e">
        <f>Tabla1[[#This Row],[StockDisp]]*Tabla1[[#This Row],[UM producto]]</f>
        <v>#VALUE!</v>
      </c>
    </row>
    <row r="2290" spans="1:19" x14ac:dyDescent="0.35">
      <c r="A2290" s="5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6"/>
      <c r="P2290" s="23" t="e">
        <f>TRIM(Tabla1[[#This Row],[Articulo]])</f>
        <v>#VALUE!</v>
      </c>
      <c r="Q2290" s="23" t="e">
        <f>_xlfn.XLOOKUP(Tabla1[[#This Row],[Ean Normalizado]],Consumos!A:A,Consumos!E:E)</f>
        <v>#VALUE!</v>
      </c>
      <c r="R2290" s="22" t="e">
        <f>_xlfn.XLOOKUP(Tabla1[[#This Row],[Ean Normalizado]],tabla_consumos[EAN],tabla_consumos[UM])</f>
        <v>#VALUE!</v>
      </c>
      <c r="S2290" s="22" t="e">
        <f>Tabla1[[#This Row],[StockDisp]]*Tabla1[[#This Row],[UM producto]]</f>
        <v>#VALUE!</v>
      </c>
    </row>
    <row r="2291" spans="1:19" x14ac:dyDescent="0.35">
      <c r="A2291" s="5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6"/>
      <c r="P2291" s="23" t="e">
        <f>TRIM(Tabla1[[#This Row],[Articulo]])</f>
        <v>#VALUE!</v>
      </c>
      <c r="Q2291" s="23" t="e">
        <f>_xlfn.XLOOKUP(Tabla1[[#This Row],[Ean Normalizado]],Consumos!A:A,Consumos!E:E)</f>
        <v>#VALUE!</v>
      </c>
      <c r="R2291" s="38" t="e">
        <f>_xlfn.XLOOKUP(Tabla1[[#This Row],[Ean Normalizado]],tabla_consumos[EAN],tabla_consumos[UM])</f>
        <v>#VALUE!</v>
      </c>
      <c r="S2291" s="38" t="e">
        <f>Tabla1[[#This Row],[StockDisp]]*Tabla1[[#This Row],[UM producto]]</f>
        <v>#VALUE!</v>
      </c>
    </row>
    <row r="2292" spans="1:19" x14ac:dyDescent="0.35">
      <c r="A2292" s="5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6"/>
      <c r="P2292" s="23" t="e">
        <f>TRIM(Tabla1[[#This Row],[Articulo]])</f>
        <v>#VALUE!</v>
      </c>
      <c r="Q2292" s="23" t="e">
        <f>_xlfn.XLOOKUP(Tabla1[[#This Row],[Ean Normalizado]],Consumos!A:A,Consumos!E:E)</f>
        <v>#VALUE!</v>
      </c>
      <c r="R2292" s="38" t="e">
        <f>_xlfn.XLOOKUP(Tabla1[[#This Row],[Ean Normalizado]],tabla_consumos[EAN],tabla_consumos[UM])</f>
        <v>#VALUE!</v>
      </c>
      <c r="S2292" s="38" t="e">
        <f>Tabla1[[#This Row],[StockDisp]]*Tabla1[[#This Row],[UM producto]]</f>
        <v>#VALUE!</v>
      </c>
    </row>
    <row r="2293" spans="1:19" x14ac:dyDescent="0.35">
      <c r="A2293" s="5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6"/>
      <c r="P2293" s="23" t="e">
        <f>TRIM(Tabla1[[#This Row],[Articulo]])</f>
        <v>#VALUE!</v>
      </c>
      <c r="Q2293" s="23" t="e">
        <f>_xlfn.XLOOKUP(Tabla1[[#This Row],[Ean Normalizado]],Consumos!A:A,Consumos!E:E)</f>
        <v>#VALUE!</v>
      </c>
      <c r="R2293" s="38" t="e">
        <f>_xlfn.XLOOKUP(Tabla1[[#This Row],[Ean Normalizado]],tabla_consumos[EAN],tabla_consumos[UM])</f>
        <v>#VALUE!</v>
      </c>
      <c r="S2293" s="38" t="e">
        <f>Tabla1[[#This Row],[StockDisp]]*Tabla1[[#This Row],[UM producto]]</f>
        <v>#VALUE!</v>
      </c>
    </row>
    <row r="2294" spans="1:19" x14ac:dyDescent="0.35">
      <c r="A2294" s="5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6"/>
      <c r="P2294" s="23" t="e">
        <f>TRIM(Tabla1[[#This Row],[Articulo]])</f>
        <v>#VALUE!</v>
      </c>
      <c r="Q2294" s="23" t="e">
        <f>_xlfn.XLOOKUP(Tabla1[[#This Row],[Ean Normalizado]],Consumos!A:A,Consumos!E:E)</f>
        <v>#VALUE!</v>
      </c>
      <c r="R2294" s="38" t="e">
        <f>_xlfn.XLOOKUP(Tabla1[[#This Row],[Ean Normalizado]],tabla_consumos[EAN],tabla_consumos[UM])</f>
        <v>#VALUE!</v>
      </c>
      <c r="S2294" s="38" t="e">
        <f>Tabla1[[#This Row],[StockDisp]]*Tabla1[[#This Row],[UM producto]]</f>
        <v>#VALUE!</v>
      </c>
    </row>
    <row r="2295" spans="1:19" x14ac:dyDescent="0.35">
      <c r="A2295" s="5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6"/>
      <c r="P2295" s="23" t="e">
        <f>TRIM(Tabla1[[#This Row],[Articulo]])</f>
        <v>#VALUE!</v>
      </c>
      <c r="Q2295" s="23" t="e">
        <f>_xlfn.XLOOKUP(Tabla1[[#This Row],[Ean Normalizado]],Consumos!A:A,Consumos!E:E)</f>
        <v>#VALUE!</v>
      </c>
      <c r="R2295" s="38" t="e">
        <f>_xlfn.XLOOKUP(Tabla1[[#This Row],[Ean Normalizado]],tabla_consumos[EAN],tabla_consumos[UM])</f>
        <v>#VALUE!</v>
      </c>
      <c r="S2295" s="38" t="e">
        <f>Tabla1[[#This Row],[StockDisp]]*Tabla1[[#This Row],[UM producto]]</f>
        <v>#VALUE!</v>
      </c>
    </row>
    <row r="2296" spans="1:19" x14ac:dyDescent="0.35">
      <c r="A2296" s="5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6"/>
      <c r="P2296" s="23" t="e">
        <f>TRIM(Tabla1[[#This Row],[Articulo]])</f>
        <v>#VALUE!</v>
      </c>
      <c r="Q2296" s="23" t="e">
        <f>_xlfn.XLOOKUP(Tabla1[[#This Row],[Ean Normalizado]],Consumos!A:A,Consumos!E:E)</f>
        <v>#VALUE!</v>
      </c>
      <c r="R2296" s="38" t="e">
        <f>_xlfn.XLOOKUP(Tabla1[[#This Row],[Ean Normalizado]],tabla_consumos[EAN],tabla_consumos[UM])</f>
        <v>#VALUE!</v>
      </c>
      <c r="S2296" s="38" t="e">
        <f>Tabla1[[#This Row],[StockDisp]]*Tabla1[[#This Row],[UM producto]]</f>
        <v>#VALUE!</v>
      </c>
    </row>
    <row r="2297" spans="1:19" x14ac:dyDescent="0.35">
      <c r="A2297" s="5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6"/>
      <c r="P2297" s="23" t="e">
        <f>TRIM(Tabla1[[#This Row],[Articulo]])</f>
        <v>#VALUE!</v>
      </c>
      <c r="Q2297" s="23" t="e">
        <f>_xlfn.XLOOKUP(Tabla1[[#This Row],[Ean Normalizado]],Consumos!A:A,Consumos!E:E)</f>
        <v>#VALUE!</v>
      </c>
      <c r="R2297" s="38" t="e">
        <f>_xlfn.XLOOKUP(Tabla1[[#This Row],[Ean Normalizado]],tabla_consumos[EAN],tabla_consumos[UM])</f>
        <v>#VALUE!</v>
      </c>
      <c r="S2297" s="38" t="e">
        <f>Tabla1[[#This Row],[StockDisp]]*Tabla1[[#This Row],[UM producto]]</f>
        <v>#VALUE!</v>
      </c>
    </row>
    <row r="2298" spans="1:19" x14ac:dyDescent="0.35">
      <c r="A2298" s="5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6"/>
      <c r="P2298" s="23" t="e">
        <f>TRIM(Tabla1[[#This Row],[Articulo]])</f>
        <v>#VALUE!</v>
      </c>
      <c r="Q2298" s="23" t="e">
        <f>_xlfn.XLOOKUP(Tabla1[[#This Row],[Ean Normalizado]],Consumos!A:A,Consumos!E:E)</f>
        <v>#VALUE!</v>
      </c>
      <c r="R2298" s="38" t="e">
        <f>_xlfn.XLOOKUP(Tabla1[[#This Row],[Ean Normalizado]],tabla_consumos[EAN],tabla_consumos[UM])</f>
        <v>#VALUE!</v>
      </c>
      <c r="S2298" s="38" t="e">
        <f>Tabla1[[#This Row],[StockDisp]]*Tabla1[[#This Row],[UM producto]]</f>
        <v>#VALUE!</v>
      </c>
    </row>
    <row r="2299" spans="1:19" x14ac:dyDescent="0.35">
      <c r="A2299" s="5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6"/>
      <c r="P2299" s="23" t="e">
        <f>TRIM(Tabla1[[#This Row],[Articulo]])</f>
        <v>#VALUE!</v>
      </c>
      <c r="Q2299" s="23" t="e">
        <f>_xlfn.XLOOKUP(Tabla1[[#This Row],[Ean Normalizado]],Consumos!A:A,Consumos!E:E)</f>
        <v>#VALUE!</v>
      </c>
      <c r="R2299" s="38" t="e">
        <f>_xlfn.XLOOKUP(Tabla1[[#This Row],[Ean Normalizado]],tabla_consumos[EAN],tabla_consumos[UM])</f>
        <v>#VALUE!</v>
      </c>
      <c r="S2299" s="38" t="e">
        <f>Tabla1[[#This Row],[StockDisp]]*Tabla1[[#This Row],[UM producto]]</f>
        <v>#VALUE!</v>
      </c>
    </row>
    <row r="2300" spans="1:19" x14ac:dyDescent="0.35">
      <c r="A2300" s="5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6"/>
      <c r="P2300" s="23" t="e">
        <f>TRIM(Tabla1[[#This Row],[Articulo]])</f>
        <v>#VALUE!</v>
      </c>
      <c r="Q2300" s="23" t="e">
        <f>_xlfn.XLOOKUP(Tabla1[[#This Row],[Ean Normalizado]],Consumos!A:A,Consumos!E:E)</f>
        <v>#VALUE!</v>
      </c>
      <c r="R2300" s="38" t="e">
        <f>_xlfn.XLOOKUP(Tabla1[[#This Row],[Ean Normalizado]],tabla_consumos[EAN],tabla_consumos[UM])</f>
        <v>#VALUE!</v>
      </c>
      <c r="S2300" s="38" t="e">
        <f>Tabla1[[#This Row],[StockDisp]]*Tabla1[[#This Row],[UM producto]]</f>
        <v>#VALUE!</v>
      </c>
    </row>
    <row r="2301" spans="1:19" x14ac:dyDescent="0.35">
      <c r="A2301" s="5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6"/>
      <c r="P2301" s="23" t="e">
        <f>TRIM(Tabla1[[#This Row],[Articulo]])</f>
        <v>#VALUE!</v>
      </c>
      <c r="Q2301" s="23" t="e">
        <f>_xlfn.XLOOKUP(Tabla1[[#This Row],[Ean Normalizado]],Consumos!A:A,Consumos!E:E)</f>
        <v>#VALUE!</v>
      </c>
      <c r="R2301" s="38" t="e">
        <f>_xlfn.XLOOKUP(Tabla1[[#This Row],[Ean Normalizado]],tabla_consumos[EAN],tabla_consumos[UM])</f>
        <v>#VALUE!</v>
      </c>
      <c r="S2301" s="38" t="e">
        <f>Tabla1[[#This Row],[StockDisp]]*Tabla1[[#This Row],[UM producto]]</f>
        <v>#VALUE!</v>
      </c>
    </row>
    <row r="2302" spans="1:19" x14ac:dyDescent="0.35">
      <c r="A2302" s="5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6"/>
      <c r="P2302" s="23" t="e">
        <f>TRIM(Tabla1[[#This Row],[Articulo]])</f>
        <v>#VALUE!</v>
      </c>
      <c r="Q2302" s="23" t="e">
        <f>_xlfn.XLOOKUP(Tabla1[[#This Row],[Ean Normalizado]],Consumos!A:A,Consumos!E:E)</f>
        <v>#VALUE!</v>
      </c>
      <c r="R2302" s="38" t="e">
        <f>_xlfn.XLOOKUP(Tabla1[[#This Row],[Ean Normalizado]],tabla_consumos[EAN],tabla_consumos[UM])</f>
        <v>#VALUE!</v>
      </c>
      <c r="S2302" s="38" t="e">
        <f>Tabla1[[#This Row],[StockDisp]]*Tabla1[[#This Row],[UM producto]]</f>
        <v>#VALUE!</v>
      </c>
    </row>
    <row r="2303" spans="1:19" x14ac:dyDescent="0.35">
      <c r="A2303" s="5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6"/>
      <c r="P2303" s="23" t="e">
        <f>TRIM(Tabla1[[#This Row],[Articulo]])</f>
        <v>#VALUE!</v>
      </c>
      <c r="Q2303" s="23" t="e">
        <f>_xlfn.XLOOKUP(Tabla1[[#This Row],[Ean Normalizado]],Consumos!A:A,Consumos!E:E)</f>
        <v>#VALUE!</v>
      </c>
      <c r="R2303" s="38" t="e">
        <f>_xlfn.XLOOKUP(Tabla1[[#This Row],[Ean Normalizado]],tabla_consumos[EAN],tabla_consumos[UM])</f>
        <v>#VALUE!</v>
      </c>
      <c r="S2303" s="38" t="e">
        <f>Tabla1[[#This Row],[StockDisp]]*Tabla1[[#This Row],[UM producto]]</f>
        <v>#VALUE!</v>
      </c>
    </row>
    <row r="2304" spans="1:19" x14ac:dyDescent="0.35">
      <c r="A2304" s="5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6"/>
      <c r="P2304" s="23" t="e">
        <f>TRIM(Tabla1[[#This Row],[Articulo]])</f>
        <v>#VALUE!</v>
      </c>
      <c r="Q2304" s="23" t="e">
        <f>_xlfn.XLOOKUP(Tabla1[[#This Row],[Ean Normalizado]],Consumos!A:A,Consumos!E:E)</f>
        <v>#VALUE!</v>
      </c>
      <c r="R2304" s="38" t="e">
        <f>_xlfn.XLOOKUP(Tabla1[[#This Row],[Ean Normalizado]],tabla_consumos[EAN],tabla_consumos[UM])</f>
        <v>#VALUE!</v>
      </c>
      <c r="S2304" s="38" t="e">
        <f>Tabla1[[#This Row],[StockDisp]]*Tabla1[[#This Row],[UM producto]]</f>
        <v>#VALUE!</v>
      </c>
    </row>
    <row r="2305" spans="1:19" x14ac:dyDescent="0.35">
      <c r="A2305" s="5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6"/>
      <c r="P2305" s="23" t="e">
        <f>TRIM(Tabla1[[#This Row],[Articulo]])</f>
        <v>#VALUE!</v>
      </c>
      <c r="Q2305" s="23" t="e">
        <f>_xlfn.XLOOKUP(Tabla1[[#This Row],[Ean Normalizado]],Consumos!A:A,Consumos!E:E)</f>
        <v>#VALUE!</v>
      </c>
      <c r="R2305" s="38" t="e">
        <f>_xlfn.XLOOKUP(Tabla1[[#This Row],[Ean Normalizado]],tabla_consumos[EAN],tabla_consumos[UM])</f>
        <v>#VALUE!</v>
      </c>
      <c r="S2305" s="38" t="e">
        <f>Tabla1[[#This Row],[StockDisp]]*Tabla1[[#This Row],[UM producto]]</f>
        <v>#VALUE!</v>
      </c>
    </row>
    <row r="2306" spans="1:19" x14ac:dyDescent="0.35">
      <c r="A2306" s="5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6"/>
      <c r="P2306" s="23" t="e">
        <f>TRIM(Tabla1[[#This Row],[Articulo]])</f>
        <v>#VALUE!</v>
      </c>
      <c r="Q2306" s="23" t="e">
        <f>_xlfn.XLOOKUP(Tabla1[[#This Row],[Ean Normalizado]],Consumos!A:A,Consumos!E:E)</f>
        <v>#VALUE!</v>
      </c>
      <c r="R2306" s="38" t="e">
        <f>_xlfn.XLOOKUP(Tabla1[[#This Row],[Ean Normalizado]],tabla_consumos[EAN],tabla_consumos[UM])</f>
        <v>#VALUE!</v>
      </c>
      <c r="S2306" s="38" t="e">
        <f>Tabla1[[#This Row],[StockDisp]]*Tabla1[[#This Row],[UM producto]]</f>
        <v>#VALUE!</v>
      </c>
    </row>
    <row r="2307" spans="1:19" x14ac:dyDescent="0.35">
      <c r="A2307" s="5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6"/>
      <c r="P2307" s="23" t="e">
        <f>TRIM(Tabla1[[#This Row],[Articulo]])</f>
        <v>#VALUE!</v>
      </c>
      <c r="Q2307" s="23" t="e">
        <f>_xlfn.XLOOKUP(Tabla1[[#This Row],[Ean Normalizado]],Consumos!A:A,Consumos!E:E)</f>
        <v>#VALUE!</v>
      </c>
      <c r="R2307" s="38" t="e">
        <f>_xlfn.XLOOKUP(Tabla1[[#This Row],[Ean Normalizado]],tabla_consumos[EAN],tabla_consumos[UM])</f>
        <v>#VALUE!</v>
      </c>
      <c r="S2307" s="38" t="e">
        <f>Tabla1[[#This Row],[StockDisp]]*Tabla1[[#This Row],[UM producto]]</f>
        <v>#VALUE!</v>
      </c>
    </row>
    <row r="2308" spans="1:19" x14ac:dyDescent="0.35">
      <c r="A2308" s="5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6"/>
      <c r="P2308" s="23" t="e">
        <f>TRIM(Tabla1[[#This Row],[Articulo]])</f>
        <v>#VALUE!</v>
      </c>
      <c r="Q2308" s="23" t="e">
        <f>_xlfn.XLOOKUP(Tabla1[[#This Row],[Ean Normalizado]],Consumos!A:A,Consumos!E:E)</f>
        <v>#VALUE!</v>
      </c>
      <c r="R2308" s="38" t="e">
        <f>_xlfn.XLOOKUP(Tabla1[[#This Row],[Ean Normalizado]],tabla_consumos[EAN],tabla_consumos[UM])</f>
        <v>#VALUE!</v>
      </c>
      <c r="S2308" s="38" t="e">
        <f>Tabla1[[#This Row],[StockDisp]]*Tabla1[[#This Row],[UM producto]]</f>
        <v>#VALUE!</v>
      </c>
    </row>
    <row r="2309" spans="1:19" x14ac:dyDescent="0.35">
      <c r="A2309" s="5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6"/>
      <c r="P2309" s="23" t="e">
        <f>TRIM(Tabla1[[#This Row],[Articulo]])</f>
        <v>#VALUE!</v>
      </c>
      <c r="Q2309" s="23" t="e">
        <f>_xlfn.XLOOKUP(Tabla1[[#This Row],[Ean Normalizado]],Consumos!A:A,Consumos!E:E)</f>
        <v>#VALUE!</v>
      </c>
      <c r="R2309" s="38" t="e">
        <f>_xlfn.XLOOKUP(Tabla1[[#This Row],[Ean Normalizado]],tabla_consumos[EAN],tabla_consumos[UM])</f>
        <v>#VALUE!</v>
      </c>
      <c r="S2309" s="38" t="e">
        <f>Tabla1[[#This Row],[StockDisp]]*Tabla1[[#This Row],[UM producto]]</f>
        <v>#VALUE!</v>
      </c>
    </row>
    <row r="2310" spans="1:19" x14ac:dyDescent="0.35">
      <c r="A2310" s="5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6"/>
      <c r="P2310" s="23" t="e">
        <f>TRIM(Tabla1[[#This Row],[Articulo]])</f>
        <v>#VALUE!</v>
      </c>
      <c r="Q2310" s="23" t="e">
        <f>_xlfn.XLOOKUP(Tabla1[[#This Row],[Ean Normalizado]],Consumos!A:A,Consumos!E:E)</f>
        <v>#VALUE!</v>
      </c>
      <c r="R2310" s="38" t="e">
        <f>_xlfn.XLOOKUP(Tabla1[[#This Row],[Ean Normalizado]],tabla_consumos[EAN],tabla_consumos[UM])</f>
        <v>#VALUE!</v>
      </c>
      <c r="S2310" s="38" t="e">
        <f>Tabla1[[#This Row],[StockDisp]]*Tabla1[[#This Row],[UM producto]]</f>
        <v>#VALUE!</v>
      </c>
    </row>
    <row r="2311" spans="1:19" x14ac:dyDescent="0.35">
      <c r="A2311" s="5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6"/>
      <c r="P2311" s="23" t="e">
        <f>TRIM(Tabla1[[#This Row],[Articulo]])</f>
        <v>#VALUE!</v>
      </c>
      <c r="Q2311" s="23" t="e">
        <f>_xlfn.XLOOKUP(Tabla1[[#This Row],[Ean Normalizado]],Consumos!A:A,Consumos!E:E)</f>
        <v>#VALUE!</v>
      </c>
      <c r="R2311" s="38" t="e">
        <f>_xlfn.XLOOKUP(Tabla1[[#This Row],[Ean Normalizado]],tabla_consumos[EAN],tabla_consumos[UM])</f>
        <v>#VALUE!</v>
      </c>
      <c r="S2311" s="38" t="e">
        <f>Tabla1[[#This Row],[StockDisp]]*Tabla1[[#This Row],[UM producto]]</f>
        <v>#VALUE!</v>
      </c>
    </row>
    <row r="2312" spans="1:19" x14ac:dyDescent="0.35">
      <c r="A2312" s="5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6"/>
      <c r="P2312" s="23" t="e">
        <f>TRIM(Tabla1[[#This Row],[Articulo]])</f>
        <v>#VALUE!</v>
      </c>
      <c r="Q2312" s="23" t="e">
        <f>_xlfn.XLOOKUP(Tabla1[[#This Row],[Ean Normalizado]],Consumos!A:A,Consumos!E:E)</f>
        <v>#VALUE!</v>
      </c>
      <c r="R2312" s="38" t="e">
        <f>_xlfn.XLOOKUP(Tabla1[[#This Row],[Ean Normalizado]],tabla_consumos[EAN],tabla_consumos[UM])</f>
        <v>#VALUE!</v>
      </c>
      <c r="S2312" s="38" t="e">
        <f>Tabla1[[#This Row],[StockDisp]]*Tabla1[[#This Row],[UM producto]]</f>
        <v>#VALUE!</v>
      </c>
    </row>
    <row r="2313" spans="1:19" x14ac:dyDescent="0.35">
      <c r="A2313" s="5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6"/>
      <c r="P2313" s="23" t="e">
        <f>TRIM(Tabla1[[#This Row],[Articulo]])</f>
        <v>#VALUE!</v>
      </c>
      <c r="Q2313" s="23" t="e">
        <f>_xlfn.XLOOKUP(Tabla1[[#This Row],[Ean Normalizado]],Consumos!A:A,Consumos!E:E)</f>
        <v>#VALUE!</v>
      </c>
      <c r="R2313" s="38" t="e">
        <f>_xlfn.XLOOKUP(Tabla1[[#This Row],[Ean Normalizado]],tabla_consumos[EAN],tabla_consumos[UM])</f>
        <v>#VALUE!</v>
      </c>
      <c r="S2313" s="38" t="e">
        <f>Tabla1[[#This Row],[StockDisp]]*Tabla1[[#This Row],[UM producto]]</f>
        <v>#VALUE!</v>
      </c>
    </row>
    <row r="2314" spans="1:19" x14ac:dyDescent="0.35">
      <c r="A2314" s="5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6"/>
      <c r="P2314" s="23" t="e">
        <f>TRIM(Tabla1[[#This Row],[Articulo]])</f>
        <v>#VALUE!</v>
      </c>
      <c r="Q2314" s="23" t="e">
        <f>_xlfn.XLOOKUP(Tabla1[[#This Row],[Ean Normalizado]],Consumos!A:A,Consumos!E:E)</f>
        <v>#VALUE!</v>
      </c>
      <c r="R2314" s="38" t="e">
        <f>_xlfn.XLOOKUP(Tabla1[[#This Row],[Ean Normalizado]],tabla_consumos[EAN],tabla_consumos[UM])</f>
        <v>#VALUE!</v>
      </c>
      <c r="S2314" s="38" t="e">
        <f>Tabla1[[#This Row],[StockDisp]]*Tabla1[[#This Row],[UM producto]]</f>
        <v>#VALUE!</v>
      </c>
    </row>
    <row r="2315" spans="1:19" x14ac:dyDescent="0.35">
      <c r="A2315" s="5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6"/>
      <c r="P2315" s="23" t="e">
        <f>TRIM(Tabla1[[#This Row],[Articulo]])</f>
        <v>#VALUE!</v>
      </c>
      <c r="Q2315" s="23" t="e">
        <f>_xlfn.XLOOKUP(Tabla1[[#This Row],[Ean Normalizado]],Consumos!A:A,Consumos!E:E)</f>
        <v>#VALUE!</v>
      </c>
      <c r="R2315" s="38" t="e">
        <f>_xlfn.XLOOKUP(Tabla1[[#This Row],[Ean Normalizado]],tabla_consumos[EAN],tabla_consumos[UM])</f>
        <v>#VALUE!</v>
      </c>
      <c r="S2315" s="38" t="e">
        <f>Tabla1[[#This Row],[StockDisp]]*Tabla1[[#This Row],[UM producto]]</f>
        <v>#VALUE!</v>
      </c>
    </row>
    <row r="2316" spans="1:19" x14ac:dyDescent="0.35">
      <c r="A2316" s="5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6"/>
      <c r="P2316" s="23" t="e">
        <f>TRIM(Tabla1[[#This Row],[Articulo]])</f>
        <v>#VALUE!</v>
      </c>
      <c r="Q2316" s="23" t="e">
        <f>_xlfn.XLOOKUP(Tabla1[[#This Row],[Ean Normalizado]],Consumos!A:A,Consumos!E:E)</f>
        <v>#VALUE!</v>
      </c>
      <c r="R2316" s="38" t="e">
        <f>_xlfn.XLOOKUP(Tabla1[[#This Row],[Ean Normalizado]],tabla_consumos[EAN],tabla_consumos[UM])</f>
        <v>#VALUE!</v>
      </c>
      <c r="S2316" s="38" t="e">
        <f>Tabla1[[#This Row],[StockDisp]]*Tabla1[[#This Row],[UM producto]]</f>
        <v>#VALUE!</v>
      </c>
    </row>
    <row r="2317" spans="1:19" x14ac:dyDescent="0.35">
      <c r="A2317" s="5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6"/>
      <c r="P2317" s="23" t="e">
        <f>TRIM(Tabla1[[#This Row],[Articulo]])</f>
        <v>#VALUE!</v>
      </c>
      <c r="Q2317" s="23" t="e">
        <f>_xlfn.XLOOKUP(Tabla1[[#This Row],[Ean Normalizado]],Consumos!A:A,Consumos!E:E)</f>
        <v>#VALUE!</v>
      </c>
      <c r="R2317" s="38" t="e">
        <f>_xlfn.XLOOKUP(Tabla1[[#This Row],[Ean Normalizado]],tabla_consumos[EAN],tabla_consumos[UM])</f>
        <v>#VALUE!</v>
      </c>
      <c r="S2317" s="38" t="e">
        <f>Tabla1[[#This Row],[StockDisp]]*Tabla1[[#This Row],[UM producto]]</f>
        <v>#VALUE!</v>
      </c>
    </row>
    <row r="2318" spans="1:19" x14ac:dyDescent="0.35">
      <c r="A2318" s="5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6"/>
      <c r="P2318" s="23" t="e">
        <f>TRIM(Tabla1[[#This Row],[Articulo]])</f>
        <v>#VALUE!</v>
      </c>
      <c r="Q2318" s="23" t="e">
        <f>_xlfn.XLOOKUP(Tabla1[[#This Row],[Ean Normalizado]],Consumos!A:A,Consumos!E:E)</f>
        <v>#VALUE!</v>
      </c>
      <c r="R2318" s="38" t="e">
        <f>_xlfn.XLOOKUP(Tabla1[[#This Row],[Ean Normalizado]],tabla_consumos[EAN],tabla_consumos[UM])</f>
        <v>#VALUE!</v>
      </c>
      <c r="S2318" s="38" t="e">
        <f>Tabla1[[#This Row],[StockDisp]]*Tabla1[[#This Row],[UM producto]]</f>
        <v>#VALUE!</v>
      </c>
    </row>
    <row r="2319" spans="1:19" x14ac:dyDescent="0.35">
      <c r="A2319" s="5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6"/>
      <c r="P2319" s="23" t="e">
        <f>TRIM(Tabla1[[#This Row],[Articulo]])</f>
        <v>#VALUE!</v>
      </c>
      <c r="Q2319" s="23" t="e">
        <f>_xlfn.XLOOKUP(Tabla1[[#This Row],[Ean Normalizado]],Consumos!A:A,Consumos!E:E)</f>
        <v>#VALUE!</v>
      </c>
      <c r="R2319" s="38" t="e">
        <f>_xlfn.XLOOKUP(Tabla1[[#This Row],[Ean Normalizado]],tabla_consumos[EAN],tabla_consumos[UM])</f>
        <v>#VALUE!</v>
      </c>
      <c r="S2319" s="38" t="e">
        <f>Tabla1[[#This Row],[StockDisp]]*Tabla1[[#This Row],[UM producto]]</f>
        <v>#VALUE!</v>
      </c>
    </row>
    <row r="2320" spans="1:19" x14ac:dyDescent="0.35">
      <c r="A2320" s="5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6"/>
      <c r="P2320" s="23" t="e">
        <f>TRIM(Tabla1[[#This Row],[Articulo]])</f>
        <v>#VALUE!</v>
      </c>
      <c r="Q2320" s="23" t="e">
        <f>_xlfn.XLOOKUP(Tabla1[[#This Row],[Ean Normalizado]],Consumos!A:A,Consumos!E:E)</f>
        <v>#VALUE!</v>
      </c>
      <c r="R2320" s="38" t="e">
        <f>_xlfn.XLOOKUP(Tabla1[[#This Row],[Ean Normalizado]],tabla_consumos[EAN],tabla_consumos[UM])</f>
        <v>#VALUE!</v>
      </c>
      <c r="S2320" s="38" t="e">
        <f>Tabla1[[#This Row],[StockDisp]]*Tabla1[[#This Row],[UM producto]]</f>
        <v>#VALUE!</v>
      </c>
    </row>
    <row r="2321" spans="1:19" x14ac:dyDescent="0.35">
      <c r="A2321" s="5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6"/>
      <c r="P2321" s="23" t="e">
        <f>TRIM(Tabla1[[#This Row],[Articulo]])</f>
        <v>#VALUE!</v>
      </c>
      <c r="Q2321" s="23" t="e">
        <f>_xlfn.XLOOKUP(Tabla1[[#This Row],[Ean Normalizado]],Consumos!A:A,Consumos!E:E)</f>
        <v>#VALUE!</v>
      </c>
      <c r="R2321" s="38" t="e">
        <f>_xlfn.XLOOKUP(Tabla1[[#This Row],[Ean Normalizado]],tabla_consumos[EAN],tabla_consumos[UM])</f>
        <v>#VALUE!</v>
      </c>
      <c r="S2321" s="38" t="e">
        <f>Tabla1[[#This Row],[StockDisp]]*Tabla1[[#This Row],[UM producto]]</f>
        <v>#VALUE!</v>
      </c>
    </row>
    <row r="2322" spans="1:19" x14ac:dyDescent="0.35">
      <c r="A2322" s="5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6"/>
      <c r="P2322" s="23" t="e">
        <f>TRIM(Tabla1[[#This Row],[Articulo]])</f>
        <v>#VALUE!</v>
      </c>
      <c r="Q2322" s="23" t="e">
        <f>_xlfn.XLOOKUP(Tabla1[[#This Row],[Ean Normalizado]],Consumos!A:A,Consumos!E:E)</f>
        <v>#VALUE!</v>
      </c>
      <c r="R2322" s="38" t="e">
        <f>_xlfn.XLOOKUP(Tabla1[[#This Row],[Ean Normalizado]],tabla_consumos[EAN],tabla_consumos[UM])</f>
        <v>#VALUE!</v>
      </c>
      <c r="S2322" s="38" t="e">
        <f>Tabla1[[#This Row],[StockDisp]]*Tabla1[[#This Row],[UM producto]]</f>
        <v>#VALUE!</v>
      </c>
    </row>
    <row r="2323" spans="1:19" x14ac:dyDescent="0.35">
      <c r="A2323" s="5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6"/>
      <c r="P2323" s="23" t="e">
        <f>TRIM(Tabla1[[#This Row],[Articulo]])</f>
        <v>#VALUE!</v>
      </c>
      <c r="Q2323" s="23" t="e">
        <f>_xlfn.XLOOKUP(Tabla1[[#This Row],[Ean Normalizado]],Consumos!A:A,Consumos!E:E)</f>
        <v>#VALUE!</v>
      </c>
      <c r="R2323" s="38" t="e">
        <f>_xlfn.XLOOKUP(Tabla1[[#This Row],[Ean Normalizado]],tabla_consumos[EAN],tabla_consumos[UM])</f>
        <v>#VALUE!</v>
      </c>
      <c r="S2323" s="38" t="e">
        <f>Tabla1[[#This Row],[StockDisp]]*Tabla1[[#This Row],[UM producto]]</f>
        <v>#VALUE!</v>
      </c>
    </row>
    <row r="2324" spans="1:19" x14ac:dyDescent="0.35">
      <c r="A2324" s="5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6"/>
      <c r="P2324" s="23" t="e">
        <f>TRIM(Tabla1[[#This Row],[Articulo]])</f>
        <v>#VALUE!</v>
      </c>
      <c r="Q2324" s="23" t="e">
        <f>_xlfn.XLOOKUP(Tabla1[[#This Row],[Ean Normalizado]],Consumos!A:A,Consumos!E:E)</f>
        <v>#VALUE!</v>
      </c>
      <c r="R2324" s="38" t="e">
        <f>_xlfn.XLOOKUP(Tabla1[[#This Row],[Ean Normalizado]],tabla_consumos[EAN],tabla_consumos[UM])</f>
        <v>#VALUE!</v>
      </c>
      <c r="S2324" s="38" t="e">
        <f>Tabla1[[#This Row],[StockDisp]]*Tabla1[[#This Row],[UM producto]]</f>
        <v>#VALUE!</v>
      </c>
    </row>
    <row r="2325" spans="1:19" x14ac:dyDescent="0.35">
      <c r="A2325" s="5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6"/>
      <c r="P2325" s="23" t="e">
        <f>TRIM(Tabla1[[#This Row],[Articulo]])</f>
        <v>#VALUE!</v>
      </c>
      <c r="Q2325" s="23" t="e">
        <f>_xlfn.XLOOKUP(Tabla1[[#This Row],[Ean Normalizado]],Consumos!A:A,Consumos!E:E)</f>
        <v>#VALUE!</v>
      </c>
      <c r="R2325" s="38" t="e">
        <f>_xlfn.XLOOKUP(Tabla1[[#This Row],[Ean Normalizado]],tabla_consumos[EAN],tabla_consumos[UM])</f>
        <v>#VALUE!</v>
      </c>
      <c r="S2325" s="38" t="e">
        <f>Tabla1[[#This Row],[StockDisp]]*Tabla1[[#This Row],[UM producto]]</f>
        <v>#VALUE!</v>
      </c>
    </row>
    <row r="2326" spans="1:19" x14ac:dyDescent="0.35">
      <c r="A2326" s="5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6"/>
      <c r="P2326" s="23" t="e">
        <f>TRIM(Tabla1[[#This Row],[Articulo]])</f>
        <v>#VALUE!</v>
      </c>
      <c r="Q2326" s="23" t="e">
        <f>_xlfn.XLOOKUP(Tabla1[[#This Row],[Ean Normalizado]],Consumos!A:A,Consumos!E:E)</f>
        <v>#VALUE!</v>
      </c>
      <c r="R2326" s="38" t="e">
        <f>_xlfn.XLOOKUP(Tabla1[[#This Row],[Ean Normalizado]],tabla_consumos[EAN],tabla_consumos[UM])</f>
        <v>#VALUE!</v>
      </c>
      <c r="S2326" s="38" t="e">
        <f>Tabla1[[#This Row],[StockDisp]]*Tabla1[[#This Row],[UM producto]]</f>
        <v>#VALUE!</v>
      </c>
    </row>
    <row r="2327" spans="1:19" x14ac:dyDescent="0.35">
      <c r="A2327" s="5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6"/>
      <c r="P2327" s="23" t="e">
        <f>TRIM(Tabla1[[#This Row],[Articulo]])</f>
        <v>#VALUE!</v>
      </c>
      <c r="Q2327" s="23" t="e">
        <f>_xlfn.XLOOKUP(Tabla1[[#This Row],[Ean Normalizado]],Consumos!A:A,Consumos!E:E)</f>
        <v>#VALUE!</v>
      </c>
      <c r="R2327" s="38" t="e">
        <f>_xlfn.XLOOKUP(Tabla1[[#This Row],[Ean Normalizado]],tabla_consumos[EAN],tabla_consumos[UM])</f>
        <v>#VALUE!</v>
      </c>
      <c r="S2327" s="38" t="e">
        <f>Tabla1[[#This Row],[StockDisp]]*Tabla1[[#This Row],[UM producto]]</f>
        <v>#VALUE!</v>
      </c>
    </row>
    <row r="2328" spans="1:19" x14ac:dyDescent="0.35">
      <c r="A2328" s="5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6"/>
      <c r="P2328" s="23" t="e">
        <f>TRIM(Tabla1[[#This Row],[Articulo]])</f>
        <v>#VALUE!</v>
      </c>
      <c r="Q2328" s="23" t="e">
        <f>_xlfn.XLOOKUP(Tabla1[[#This Row],[Ean Normalizado]],Consumos!A:A,Consumos!E:E)</f>
        <v>#VALUE!</v>
      </c>
      <c r="R2328" s="38" t="e">
        <f>_xlfn.XLOOKUP(Tabla1[[#This Row],[Ean Normalizado]],tabla_consumos[EAN],tabla_consumos[UM])</f>
        <v>#VALUE!</v>
      </c>
      <c r="S2328" s="38" t="e">
        <f>Tabla1[[#This Row],[StockDisp]]*Tabla1[[#This Row],[UM producto]]</f>
        <v>#VALUE!</v>
      </c>
    </row>
    <row r="2329" spans="1:19" x14ac:dyDescent="0.35">
      <c r="A2329" s="5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6"/>
      <c r="P2329" s="23" t="e">
        <f>TRIM(Tabla1[[#This Row],[Articulo]])</f>
        <v>#VALUE!</v>
      </c>
      <c r="Q2329" s="23" t="e">
        <f>_xlfn.XLOOKUP(Tabla1[[#This Row],[Ean Normalizado]],Consumos!A:A,Consumos!E:E)</f>
        <v>#VALUE!</v>
      </c>
      <c r="R2329" s="38" t="e">
        <f>_xlfn.XLOOKUP(Tabla1[[#This Row],[Ean Normalizado]],tabla_consumos[EAN],tabla_consumos[UM])</f>
        <v>#VALUE!</v>
      </c>
      <c r="S2329" s="38" t="e">
        <f>Tabla1[[#This Row],[StockDisp]]*Tabla1[[#This Row],[UM producto]]</f>
        <v>#VALUE!</v>
      </c>
    </row>
    <row r="2330" spans="1:19" x14ac:dyDescent="0.35">
      <c r="A2330" s="5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6"/>
      <c r="P2330" s="23" t="e">
        <f>TRIM(Tabla1[[#This Row],[Articulo]])</f>
        <v>#VALUE!</v>
      </c>
      <c r="Q2330" s="23" t="e">
        <f>_xlfn.XLOOKUP(Tabla1[[#This Row],[Ean Normalizado]],Consumos!A:A,Consumos!E:E)</f>
        <v>#VALUE!</v>
      </c>
      <c r="R2330" s="38" t="e">
        <f>_xlfn.XLOOKUP(Tabla1[[#This Row],[Ean Normalizado]],tabla_consumos[EAN],tabla_consumos[UM])</f>
        <v>#VALUE!</v>
      </c>
      <c r="S2330" s="38" t="e">
        <f>Tabla1[[#This Row],[StockDisp]]*Tabla1[[#This Row],[UM producto]]</f>
        <v>#VALUE!</v>
      </c>
    </row>
    <row r="2331" spans="1:19" x14ac:dyDescent="0.35">
      <c r="A2331" s="5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6"/>
      <c r="P2331" s="23" t="e">
        <f>TRIM(Tabla1[[#This Row],[Articulo]])</f>
        <v>#VALUE!</v>
      </c>
      <c r="Q2331" s="23" t="e">
        <f>_xlfn.XLOOKUP(Tabla1[[#This Row],[Ean Normalizado]],Consumos!A:A,Consumos!E:E)</f>
        <v>#VALUE!</v>
      </c>
      <c r="R2331" s="38" t="e">
        <f>_xlfn.XLOOKUP(Tabla1[[#This Row],[Ean Normalizado]],tabla_consumos[EAN],tabla_consumos[UM])</f>
        <v>#VALUE!</v>
      </c>
      <c r="S2331" s="38" t="e">
        <f>Tabla1[[#This Row],[StockDisp]]*Tabla1[[#This Row],[UM producto]]</f>
        <v>#VALUE!</v>
      </c>
    </row>
    <row r="2332" spans="1:19" x14ac:dyDescent="0.35">
      <c r="A2332" s="5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6"/>
      <c r="P2332" s="23" t="e">
        <f>TRIM(Tabla1[[#This Row],[Articulo]])</f>
        <v>#VALUE!</v>
      </c>
      <c r="Q2332" s="23" t="e">
        <f>_xlfn.XLOOKUP(Tabla1[[#This Row],[Ean Normalizado]],Consumos!A:A,Consumos!E:E)</f>
        <v>#VALUE!</v>
      </c>
      <c r="R2332" s="38" t="e">
        <f>_xlfn.XLOOKUP(Tabla1[[#This Row],[Ean Normalizado]],tabla_consumos[EAN],tabla_consumos[UM])</f>
        <v>#VALUE!</v>
      </c>
      <c r="S2332" s="38" t="e">
        <f>Tabla1[[#This Row],[StockDisp]]*Tabla1[[#This Row],[UM producto]]</f>
        <v>#VALUE!</v>
      </c>
    </row>
    <row r="2333" spans="1:19" x14ac:dyDescent="0.35">
      <c r="A2333" s="5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6"/>
      <c r="P2333" s="23" t="e">
        <f>TRIM(Tabla1[[#This Row],[Articulo]])</f>
        <v>#VALUE!</v>
      </c>
      <c r="Q2333" s="23" t="e">
        <f>_xlfn.XLOOKUP(Tabla1[[#This Row],[Ean Normalizado]],Consumos!A:A,Consumos!E:E)</f>
        <v>#VALUE!</v>
      </c>
      <c r="R2333" s="38" t="e">
        <f>_xlfn.XLOOKUP(Tabla1[[#This Row],[Ean Normalizado]],tabla_consumos[EAN],tabla_consumos[UM])</f>
        <v>#VALUE!</v>
      </c>
      <c r="S2333" s="38" t="e">
        <f>Tabla1[[#This Row],[StockDisp]]*Tabla1[[#This Row],[UM producto]]</f>
        <v>#VALUE!</v>
      </c>
    </row>
    <row r="2334" spans="1:19" x14ac:dyDescent="0.35">
      <c r="A2334" s="5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6"/>
      <c r="P2334" s="23" t="e">
        <f>TRIM(Tabla1[[#This Row],[Articulo]])</f>
        <v>#VALUE!</v>
      </c>
      <c r="Q2334" s="23" t="e">
        <f>_xlfn.XLOOKUP(Tabla1[[#This Row],[Ean Normalizado]],Consumos!A:A,Consumos!E:E)</f>
        <v>#VALUE!</v>
      </c>
      <c r="R2334" s="38" t="e">
        <f>_xlfn.XLOOKUP(Tabla1[[#This Row],[Ean Normalizado]],tabla_consumos[EAN],tabla_consumos[UM])</f>
        <v>#VALUE!</v>
      </c>
      <c r="S2334" s="38" t="e">
        <f>Tabla1[[#This Row],[StockDisp]]*Tabla1[[#This Row],[UM producto]]</f>
        <v>#VALUE!</v>
      </c>
    </row>
    <row r="2335" spans="1:19" x14ac:dyDescent="0.35">
      <c r="A2335" s="5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6"/>
      <c r="P2335" s="23" t="e">
        <f>TRIM(Tabla1[[#This Row],[Articulo]])</f>
        <v>#VALUE!</v>
      </c>
      <c r="Q2335" s="23" t="e">
        <f>_xlfn.XLOOKUP(Tabla1[[#This Row],[Ean Normalizado]],Consumos!A:A,Consumos!E:E)</f>
        <v>#VALUE!</v>
      </c>
      <c r="R2335" s="38" t="e">
        <f>_xlfn.XLOOKUP(Tabla1[[#This Row],[Ean Normalizado]],tabla_consumos[EAN],tabla_consumos[UM])</f>
        <v>#VALUE!</v>
      </c>
      <c r="S2335" s="38" t="e">
        <f>Tabla1[[#This Row],[StockDisp]]*Tabla1[[#This Row],[UM producto]]</f>
        <v>#VALUE!</v>
      </c>
    </row>
    <row r="2336" spans="1:19" x14ac:dyDescent="0.35">
      <c r="A2336" s="5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6"/>
      <c r="P2336" s="23" t="e">
        <f>TRIM(Tabla1[[#This Row],[Articulo]])</f>
        <v>#VALUE!</v>
      </c>
      <c r="Q2336" s="23" t="e">
        <f>_xlfn.XLOOKUP(Tabla1[[#This Row],[Ean Normalizado]],Consumos!A:A,Consumos!E:E)</f>
        <v>#VALUE!</v>
      </c>
      <c r="R2336" s="38" t="e">
        <f>_xlfn.XLOOKUP(Tabla1[[#This Row],[Ean Normalizado]],tabla_consumos[EAN],tabla_consumos[UM])</f>
        <v>#VALUE!</v>
      </c>
      <c r="S2336" s="38" t="e">
        <f>Tabla1[[#This Row],[StockDisp]]*Tabla1[[#This Row],[UM producto]]</f>
        <v>#VALUE!</v>
      </c>
    </row>
    <row r="2337" spans="1:19" x14ac:dyDescent="0.35">
      <c r="A2337" s="5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6"/>
      <c r="P2337" s="23" t="e">
        <f>TRIM(Tabla1[[#This Row],[Articulo]])</f>
        <v>#VALUE!</v>
      </c>
      <c r="Q2337" s="23" t="e">
        <f>_xlfn.XLOOKUP(Tabla1[[#This Row],[Ean Normalizado]],Consumos!A:A,Consumos!E:E)</f>
        <v>#VALUE!</v>
      </c>
      <c r="R2337" s="38" t="e">
        <f>_xlfn.XLOOKUP(Tabla1[[#This Row],[Ean Normalizado]],tabla_consumos[EAN],tabla_consumos[UM])</f>
        <v>#VALUE!</v>
      </c>
      <c r="S2337" s="38" t="e">
        <f>Tabla1[[#This Row],[StockDisp]]*Tabla1[[#This Row],[UM producto]]</f>
        <v>#VALUE!</v>
      </c>
    </row>
    <row r="2338" spans="1:19" x14ac:dyDescent="0.35">
      <c r="A2338" s="5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6"/>
      <c r="P2338" s="23" t="e">
        <f>TRIM(Tabla1[[#This Row],[Articulo]])</f>
        <v>#VALUE!</v>
      </c>
      <c r="Q2338" s="23" t="e">
        <f>_xlfn.XLOOKUP(Tabla1[[#This Row],[Ean Normalizado]],Consumos!A:A,Consumos!E:E)</f>
        <v>#VALUE!</v>
      </c>
      <c r="R2338" s="38" t="e">
        <f>_xlfn.XLOOKUP(Tabla1[[#This Row],[Ean Normalizado]],tabla_consumos[EAN],tabla_consumos[UM])</f>
        <v>#VALUE!</v>
      </c>
      <c r="S2338" s="38" t="e">
        <f>Tabla1[[#This Row],[StockDisp]]*Tabla1[[#This Row],[UM producto]]</f>
        <v>#VALUE!</v>
      </c>
    </row>
    <row r="2339" spans="1:19" x14ac:dyDescent="0.35">
      <c r="A2339" s="5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6"/>
      <c r="P2339" s="23" t="e">
        <f>TRIM(Tabla1[[#This Row],[Articulo]])</f>
        <v>#VALUE!</v>
      </c>
      <c r="Q2339" s="23" t="e">
        <f>_xlfn.XLOOKUP(Tabla1[[#This Row],[Ean Normalizado]],Consumos!A:A,Consumos!E:E)</f>
        <v>#VALUE!</v>
      </c>
      <c r="R2339" s="38" t="e">
        <f>_xlfn.XLOOKUP(Tabla1[[#This Row],[Ean Normalizado]],tabla_consumos[EAN],tabla_consumos[UM])</f>
        <v>#VALUE!</v>
      </c>
      <c r="S2339" s="38" t="e">
        <f>Tabla1[[#This Row],[StockDisp]]*Tabla1[[#This Row],[UM producto]]</f>
        <v>#VALUE!</v>
      </c>
    </row>
    <row r="2340" spans="1:19" x14ac:dyDescent="0.35">
      <c r="A2340" s="5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6"/>
      <c r="P2340" s="23" t="e">
        <f>TRIM(Tabla1[[#This Row],[Articulo]])</f>
        <v>#VALUE!</v>
      </c>
      <c r="Q2340" s="23" t="e">
        <f>_xlfn.XLOOKUP(Tabla1[[#This Row],[Ean Normalizado]],Consumos!A:A,Consumos!E:E)</f>
        <v>#VALUE!</v>
      </c>
      <c r="R2340" s="38" t="e">
        <f>_xlfn.XLOOKUP(Tabla1[[#This Row],[Ean Normalizado]],tabla_consumos[EAN],tabla_consumos[UM])</f>
        <v>#VALUE!</v>
      </c>
      <c r="S2340" s="38" t="e">
        <f>Tabla1[[#This Row],[StockDisp]]*Tabla1[[#This Row],[UM producto]]</f>
        <v>#VALUE!</v>
      </c>
    </row>
    <row r="2341" spans="1:19" x14ac:dyDescent="0.35">
      <c r="A2341" s="5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6"/>
      <c r="P2341" s="23" t="e">
        <f>TRIM(Tabla1[[#This Row],[Articulo]])</f>
        <v>#VALUE!</v>
      </c>
      <c r="Q2341" s="23" t="e">
        <f>_xlfn.XLOOKUP(Tabla1[[#This Row],[Ean Normalizado]],Consumos!A:A,Consumos!E:E)</f>
        <v>#VALUE!</v>
      </c>
      <c r="R2341" s="38" t="e">
        <f>_xlfn.XLOOKUP(Tabla1[[#This Row],[Ean Normalizado]],tabla_consumos[EAN],tabla_consumos[UM])</f>
        <v>#VALUE!</v>
      </c>
      <c r="S2341" s="38" t="e">
        <f>Tabla1[[#This Row],[StockDisp]]*Tabla1[[#This Row],[UM producto]]</f>
        <v>#VALUE!</v>
      </c>
    </row>
    <row r="2342" spans="1:19" x14ac:dyDescent="0.35">
      <c r="A2342" s="5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6"/>
      <c r="P2342" s="23" t="e">
        <f>TRIM(Tabla1[[#This Row],[Articulo]])</f>
        <v>#VALUE!</v>
      </c>
      <c r="Q2342" s="23" t="e">
        <f>_xlfn.XLOOKUP(Tabla1[[#This Row],[Ean Normalizado]],Consumos!A:A,Consumos!E:E)</f>
        <v>#VALUE!</v>
      </c>
      <c r="R2342" s="38" t="e">
        <f>_xlfn.XLOOKUP(Tabla1[[#This Row],[Ean Normalizado]],tabla_consumos[EAN],tabla_consumos[UM])</f>
        <v>#VALUE!</v>
      </c>
      <c r="S2342" s="38" t="e">
        <f>Tabla1[[#This Row],[StockDisp]]*Tabla1[[#This Row],[UM producto]]</f>
        <v>#VALUE!</v>
      </c>
    </row>
    <row r="2343" spans="1:19" x14ac:dyDescent="0.35">
      <c r="A2343" s="5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6"/>
      <c r="P2343" s="23" t="e">
        <f>TRIM(Tabla1[[#This Row],[Articulo]])</f>
        <v>#VALUE!</v>
      </c>
      <c r="Q2343" s="23" t="e">
        <f>_xlfn.XLOOKUP(Tabla1[[#This Row],[Ean Normalizado]],Consumos!A:A,Consumos!E:E)</f>
        <v>#VALUE!</v>
      </c>
      <c r="R2343" s="38" t="e">
        <f>_xlfn.XLOOKUP(Tabla1[[#This Row],[Ean Normalizado]],tabla_consumos[EAN],tabla_consumos[UM])</f>
        <v>#VALUE!</v>
      </c>
      <c r="S2343" s="38" t="e">
        <f>Tabla1[[#This Row],[StockDisp]]*Tabla1[[#This Row],[UM producto]]</f>
        <v>#VALUE!</v>
      </c>
    </row>
    <row r="2344" spans="1:19" x14ac:dyDescent="0.35">
      <c r="A2344" s="5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6"/>
      <c r="P2344" s="23" t="e">
        <f>TRIM(Tabla1[[#This Row],[Articulo]])</f>
        <v>#VALUE!</v>
      </c>
      <c r="Q2344" s="23" t="e">
        <f>_xlfn.XLOOKUP(Tabla1[[#This Row],[Ean Normalizado]],Consumos!A:A,Consumos!E:E)</f>
        <v>#VALUE!</v>
      </c>
      <c r="R2344" s="38" t="e">
        <f>_xlfn.XLOOKUP(Tabla1[[#This Row],[Ean Normalizado]],tabla_consumos[EAN],tabla_consumos[UM])</f>
        <v>#VALUE!</v>
      </c>
      <c r="S2344" s="38" t="e">
        <f>Tabla1[[#This Row],[StockDisp]]*Tabla1[[#This Row],[UM producto]]</f>
        <v>#VALUE!</v>
      </c>
    </row>
    <row r="2345" spans="1:19" x14ac:dyDescent="0.35">
      <c r="A2345" s="5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6"/>
      <c r="P2345" s="23" t="e">
        <f>TRIM(Tabla1[[#This Row],[Articulo]])</f>
        <v>#VALUE!</v>
      </c>
      <c r="Q2345" s="23" t="e">
        <f>_xlfn.XLOOKUP(Tabla1[[#This Row],[Ean Normalizado]],Consumos!A:A,Consumos!E:E)</f>
        <v>#VALUE!</v>
      </c>
      <c r="R2345" s="38" t="e">
        <f>_xlfn.XLOOKUP(Tabla1[[#This Row],[Ean Normalizado]],tabla_consumos[EAN],tabla_consumos[UM])</f>
        <v>#VALUE!</v>
      </c>
      <c r="S2345" s="38" t="e">
        <f>Tabla1[[#This Row],[StockDisp]]*Tabla1[[#This Row],[UM producto]]</f>
        <v>#VALUE!</v>
      </c>
    </row>
    <row r="2346" spans="1:19" x14ac:dyDescent="0.35">
      <c r="A2346" s="5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6"/>
      <c r="P2346" s="23" t="e">
        <f>TRIM(Tabla1[[#This Row],[Articulo]])</f>
        <v>#VALUE!</v>
      </c>
      <c r="Q2346" s="23" t="e">
        <f>_xlfn.XLOOKUP(Tabla1[[#This Row],[Ean Normalizado]],Consumos!A:A,Consumos!E:E)</f>
        <v>#VALUE!</v>
      </c>
      <c r="R2346" s="38" t="e">
        <f>_xlfn.XLOOKUP(Tabla1[[#This Row],[Ean Normalizado]],tabla_consumos[EAN],tabla_consumos[UM])</f>
        <v>#VALUE!</v>
      </c>
      <c r="S2346" s="38" t="e">
        <f>Tabla1[[#This Row],[StockDisp]]*Tabla1[[#This Row],[UM producto]]</f>
        <v>#VALUE!</v>
      </c>
    </row>
    <row r="2347" spans="1:19" x14ac:dyDescent="0.35">
      <c r="A2347" s="5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6"/>
      <c r="P2347" s="23" t="e">
        <f>TRIM(Tabla1[[#This Row],[Articulo]])</f>
        <v>#VALUE!</v>
      </c>
      <c r="Q2347" s="23" t="e">
        <f>_xlfn.XLOOKUP(Tabla1[[#This Row],[Ean Normalizado]],Consumos!A:A,Consumos!E:E)</f>
        <v>#VALUE!</v>
      </c>
      <c r="R2347" s="38" t="e">
        <f>_xlfn.XLOOKUP(Tabla1[[#This Row],[Ean Normalizado]],tabla_consumos[EAN],tabla_consumos[UM])</f>
        <v>#VALUE!</v>
      </c>
      <c r="S2347" s="38" t="e">
        <f>Tabla1[[#This Row],[StockDisp]]*Tabla1[[#This Row],[UM producto]]</f>
        <v>#VALUE!</v>
      </c>
    </row>
    <row r="2348" spans="1:19" x14ac:dyDescent="0.35">
      <c r="A2348" s="5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6"/>
      <c r="P2348" s="23" t="e">
        <f>TRIM(Tabla1[[#This Row],[Articulo]])</f>
        <v>#VALUE!</v>
      </c>
      <c r="Q2348" s="23" t="e">
        <f>_xlfn.XLOOKUP(Tabla1[[#This Row],[Ean Normalizado]],Consumos!A:A,Consumos!E:E)</f>
        <v>#VALUE!</v>
      </c>
      <c r="R2348" s="38" t="e">
        <f>_xlfn.XLOOKUP(Tabla1[[#This Row],[Ean Normalizado]],tabla_consumos[EAN],tabla_consumos[UM])</f>
        <v>#VALUE!</v>
      </c>
      <c r="S2348" s="38" t="e">
        <f>Tabla1[[#This Row],[StockDisp]]*Tabla1[[#This Row],[UM producto]]</f>
        <v>#VALUE!</v>
      </c>
    </row>
    <row r="2349" spans="1:19" x14ac:dyDescent="0.35">
      <c r="A2349" s="5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6"/>
      <c r="P2349" s="23" t="e">
        <f>TRIM(Tabla1[[#This Row],[Articulo]])</f>
        <v>#VALUE!</v>
      </c>
      <c r="Q2349" s="23" t="e">
        <f>_xlfn.XLOOKUP(Tabla1[[#This Row],[Ean Normalizado]],Consumos!A:A,Consumos!E:E)</f>
        <v>#VALUE!</v>
      </c>
      <c r="R2349" s="38" t="e">
        <f>_xlfn.XLOOKUP(Tabla1[[#This Row],[Ean Normalizado]],tabla_consumos[EAN],tabla_consumos[UM])</f>
        <v>#VALUE!</v>
      </c>
      <c r="S2349" s="38" t="e">
        <f>Tabla1[[#This Row],[StockDisp]]*Tabla1[[#This Row],[UM producto]]</f>
        <v>#VALUE!</v>
      </c>
    </row>
    <row r="2350" spans="1:19" x14ac:dyDescent="0.35">
      <c r="A2350" s="5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6"/>
      <c r="P2350" s="23" t="e">
        <f>TRIM(Tabla1[[#This Row],[Articulo]])</f>
        <v>#VALUE!</v>
      </c>
      <c r="Q2350" s="23" t="e">
        <f>_xlfn.XLOOKUP(Tabla1[[#This Row],[Ean Normalizado]],Consumos!A:A,Consumos!E:E)</f>
        <v>#VALUE!</v>
      </c>
      <c r="R2350" s="38" t="e">
        <f>_xlfn.XLOOKUP(Tabla1[[#This Row],[Ean Normalizado]],tabla_consumos[EAN],tabla_consumos[UM])</f>
        <v>#VALUE!</v>
      </c>
      <c r="S2350" s="38" t="e">
        <f>Tabla1[[#This Row],[StockDisp]]*Tabla1[[#This Row],[UM producto]]</f>
        <v>#VALUE!</v>
      </c>
    </row>
    <row r="2351" spans="1:19" x14ac:dyDescent="0.35">
      <c r="A2351" s="5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6"/>
      <c r="P2351" s="23" t="e">
        <f>TRIM(Tabla1[[#This Row],[Articulo]])</f>
        <v>#VALUE!</v>
      </c>
      <c r="Q2351" s="23" t="e">
        <f>_xlfn.XLOOKUP(Tabla1[[#This Row],[Ean Normalizado]],Consumos!A:A,Consumos!E:E)</f>
        <v>#VALUE!</v>
      </c>
      <c r="R2351" s="38" t="e">
        <f>_xlfn.XLOOKUP(Tabla1[[#This Row],[Ean Normalizado]],tabla_consumos[EAN],tabla_consumos[UM])</f>
        <v>#VALUE!</v>
      </c>
      <c r="S2351" s="38" t="e">
        <f>Tabla1[[#This Row],[StockDisp]]*Tabla1[[#This Row],[UM producto]]</f>
        <v>#VALUE!</v>
      </c>
    </row>
    <row r="2352" spans="1:19" x14ac:dyDescent="0.35">
      <c r="A2352" s="5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6"/>
      <c r="P2352" s="23" t="e">
        <f>TRIM(Tabla1[[#This Row],[Articulo]])</f>
        <v>#VALUE!</v>
      </c>
      <c r="Q2352" s="23" t="e">
        <f>_xlfn.XLOOKUP(Tabla1[[#This Row],[Ean Normalizado]],Consumos!A:A,Consumos!E:E)</f>
        <v>#VALUE!</v>
      </c>
      <c r="R2352" s="38" t="e">
        <f>_xlfn.XLOOKUP(Tabla1[[#This Row],[Ean Normalizado]],tabla_consumos[EAN],tabla_consumos[UM])</f>
        <v>#VALUE!</v>
      </c>
      <c r="S2352" s="38" t="e">
        <f>Tabla1[[#This Row],[StockDisp]]*Tabla1[[#This Row],[UM producto]]</f>
        <v>#VALUE!</v>
      </c>
    </row>
    <row r="2353" spans="1:19" x14ac:dyDescent="0.35">
      <c r="A2353" s="5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6"/>
      <c r="P2353" s="23" t="e">
        <f>TRIM(Tabla1[[#This Row],[Articulo]])</f>
        <v>#VALUE!</v>
      </c>
      <c r="Q2353" s="23" t="e">
        <f>_xlfn.XLOOKUP(Tabla1[[#This Row],[Ean Normalizado]],Consumos!A:A,Consumos!E:E)</f>
        <v>#VALUE!</v>
      </c>
      <c r="R2353" s="38" t="e">
        <f>_xlfn.XLOOKUP(Tabla1[[#This Row],[Ean Normalizado]],tabla_consumos[EAN],tabla_consumos[UM])</f>
        <v>#VALUE!</v>
      </c>
      <c r="S2353" s="38" t="e">
        <f>Tabla1[[#This Row],[StockDisp]]*Tabla1[[#This Row],[UM producto]]</f>
        <v>#VALUE!</v>
      </c>
    </row>
    <row r="2354" spans="1:19" x14ac:dyDescent="0.35">
      <c r="A2354" s="5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6"/>
      <c r="P2354" s="23" t="e">
        <f>TRIM(Tabla1[[#This Row],[Articulo]])</f>
        <v>#VALUE!</v>
      </c>
      <c r="Q2354" s="23" t="e">
        <f>_xlfn.XLOOKUP(Tabla1[[#This Row],[Ean Normalizado]],Consumos!A:A,Consumos!E:E)</f>
        <v>#VALUE!</v>
      </c>
      <c r="R2354" s="38" t="e">
        <f>_xlfn.XLOOKUP(Tabla1[[#This Row],[Ean Normalizado]],tabla_consumos[EAN],tabla_consumos[UM])</f>
        <v>#VALUE!</v>
      </c>
      <c r="S2354" s="38" t="e">
        <f>Tabla1[[#This Row],[StockDisp]]*Tabla1[[#This Row],[UM producto]]</f>
        <v>#VALUE!</v>
      </c>
    </row>
    <row r="2355" spans="1:19" x14ac:dyDescent="0.35">
      <c r="A2355" s="5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6"/>
      <c r="P2355" s="23" t="e">
        <f>TRIM(Tabla1[[#This Row],[Articulo]])</f>
        <v>#VALUE!</v>
      </c>
      <c r="Q2355" s="23" t="e">
        <f>_xlfn.XLOOKUP(Tabla1[[#This Row],[Ean Normalizado]],Consumos!A:A,Consumos!E:E)</f>
        <v>#VALUE!</v>
      </c>
      <c r="R2355" s="38" t="e">
        <f>_xlfn.XLOOKUP(Tabla1[[#This Row],[Ean Normalizado]],tabla_consumos[EAN],tabla_consumos[UM])</f>
        <v>#VALUE!</v>
      </c>
      <c r="S2355" s="38" t="e">
        <f>Tabla1[[#This Row],[StockDisp]]*Tabla1[[#This Row],[UM producto]]</f>
        <v>#VALUE!</v>
      </c>
    </row>
    <row r="2356" spans="1:19" x14ac:dyDescent="0.35">
      <c r="A2356" s="5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6"/>
      <c r="P2356" s="23" t="e">
        <f>TRIM(Tabla1[[#This Row],[Articulo]])</f>
        <v>#VALUE!</v>
      </c>
      <c r="Q2356" s="23" t="e">
        <f>_xlfn.XLOOKUP(Tabla1[[#This Row],[Ean Normalizado]],Consumos!A:A,Consumos!E:E)</f>
        <v>#VALUE!</v>
      </c>
      <c r="R2356" s="38" t="e">
        <f>_xlfn.XLOOKUP(Tabla1[[#This Row],[Ean Normalizado]],tabla_consumos[EAN],tabla_consumos[UM])</f>
        <v>#VALUE!</v>
      </c>
      <c r="S2356" s="38" t="e">
        <f>Tabla1[[#This Row],[StockDisp]]*Tabla1[[#This Row],[UM producto]]</f>
        <v>#VALUE!</v>
      </c>
    </row>
    <row r="2357" spans="1:19" x14ac:dyDescent="0.35">
      <c r="A2357" s="5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6"/>
      <c r="P2357" s="23" t="e">
        <f>TRIM(Tabla1[[#This Row],[Articulo]])</f>
        <v>#VALUE!</v>
      </c>
      <c r="Q2357" s="23" t="e">
        <f>_xlfn.XLOOKUP(Tabla1[[#This Row],[Ean Normalizado]],Consumos!A:A,Consumos!E:E)</f>
        <v>#VALUE!</v>
      </c>
      <c r="R2357" s="38" t="e">
        <f>_xlfn.XLOOKUP(Tabla1[[#This Row],[Ean Normalizado]],tabla_consumos[EAN],tabla_consumos[UM])</f>
        <v>#VALUE!</v>
      </c>
      <c r="S2357" s="38" t="e">
        <f>Tabla1[[#This Row],[StockDisp]]*Tabla1[[#This Row],[UM producto]]</f>
        <v>#VALUE!</v>
      </c>
    </row>
    <row r="2358" spans="1:19" x14ac:dyDescent="0.35">
      <c r="A2358" s="5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6"/>
      <c r="P2358" s="23" t="e">
        <f>TRIM(Tabla1[[#This Row],[Articulo]])</f>
        <v>#VALUE!</v>
      </c>
      <c r="Q2358" s="23" t="e">
        <f>_xlfn.XLOOKUP(Tabla1[[#This Row],[Ean Normalizado]],Consumos!A:A,Consumos!E:E)</f>
        <v>#VALUE!</v>
      </c>
      <c r="R2358" s="38" t="e">
        <f>_xlfn.XLOOKUP(Tabla1[[#This Row],[Ean Normalizado]],tabla_consumos[EAN],tabla_consumos[UM])</f>
        <v>#VALUE!</v>
      </c>
      <c r="S2358" s="38" t="e">
        <f>Tabla1[[#This Row],[StockDisp]]*Tabla1[[#This Row],[UM producto]]</f>
        <v>#VALUE!</v>
      </c>
    </row>
    <row r="2359" spans="1:19" x14ac:dyDescent="0.35">
      <c r="A2359" s="5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6"/>
      <c r="P2359" s="23" t="e">
        <f>TRIM(Tabla1[[#This Row],[Articulo]])</f>
        <v>#VALUE!</v>
      </c>
      <c r="Q2359" s="23" t="e">
        <f>_xlfn.XLOOKUP(Tabla1[[#This Row],[Ean Normalizado]],Consumos!A:A,Consumos!E:E)</f>
        <v>#VALUE!</v>
      </c>
      <c r="R2359" s="38" t="e">
        <f>_xlfn.XLOOKUP(Tabla1[[#This Row],[Ean Normalizado]],tabla_consumos[EAN],tabla_consumos[UM])</f>
        <v>#VALUE!</v>
      </c>
      <c r="S2359" s="38" t="e">
        <f>Tabla1[[#This Row],[StockDisp]]*Tabla1[[#This Row],[UM producto]]</f>
        <v>#VALUE!</v>
      </c>
    </row>
    <row r="2360" spans="1:19" x14ac:dyDescent="0.35">
      <c r="A2360" s="5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6"/>
      <c r="P2360" s="23" t="e">
        <f>TRIM(Tabla1[[#This Row],[Articulo]])</f>
        <v>#VALUE!</v>
      </c>
      <c r="Q2360" s="23" t="e">
        <f>_xlfn.XLOOKUP(Tabla1[[#This Row],[Ean Normalizado]],Consumos!A:A,Consumos!E:E)</f>
        <v>#VALUE!</v>
      </c>
      <c r="R2360" s="38" t="e">
        <f>_xlfn.XLOOKUP(Tabla1[[#This Row],[Ean Normalizado]],tabla_consumos[EAN],tabla_consumos[UM])</f>
        <v>#VALUE!</v>
      </c>
      <c r="S2360" s="38" t="e">
        <f>Tabla1[[#This Row],[StockDisp]]*Tabla1[[#This Row],[UM producto]]</f>
        <v>#VALUE!</v>
      </c>
    </row>
    <row r="2361" spans="1:19" x14ac:dyDescent="0.35">
      <c r="A2361" s="5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6"/>
      <c r="P2361" s="23" t="e">
        <f>TRIM(Tabla1[[#This Row],[Articulo]])</f>
        <v>#VALUE!</v>
      </c>
      <c r="Q2361" s="23" t="e">
        <f>_xlfn.XLOOKUP(Tabla1[[#This Row],[Ean Normalizado]],Consumos!A:A,Consumos!E:E)</f>
        <v>#VALUE!</v>
      </c>
      <c r="R2361" s="38" t="e">
        <f>_xlfn.XLOOKUP(Tabla1[[#This Row],[Ean Normalizado]],tabla_consumos[EAN],tabla_consumos[UM])</f>
        <v>#VALUE!</v>
      </c>
      <c r="S2361" s="38" t="e">
        <f>Tabla1[[#This Row],[StockDisp]]*Tabla1[[#This Row],[UM producto]]</f>
        <v>#VALUE!</v>
      </c>
    </row>
    <row r="2362" spans="1:19" x14ac:dyDescent="0.35">
      <c r="A2362" s="5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6"/>
      <c r="P2362" s="23" t="e">
        <f>TRIM(Tabla1[[#This Row],[Articulo]])</f>
        <v>#VALUE!</v>
      </c>
      <c r="Q2362" s="23" t="e">
        <f>_xlfn.XLOOKUP(Tabla1[[#This Row],[Ean Normalizado]],Consumos!A:A,Consumos!E:E)</f>
        <v>#VALUE!</v>
      </c>
      <c r="R2362" s="38" t="e">
        <f>_xlfn.XLOOKUP(Tabla1[[#This Row],[Ean Normalizado]],tabla_consumos[EAN],tabla_consumos[UM])</f>
        <v>#VALUE!</v>
      </c>
      <c r="S2362" s="38" t="e">
        <f>Tabla1[[#This Row],[StockDisp]]*Tabla1[[#This Row],[UM producto]]</f>
        <v>#VALUE!</v>
      </c>
    </row>
    <row r="2363" spans="1:19" x14ac:dyDescent="0.35">
      <c r="A2363" s="5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6"/>
      <c r="P2363" s="23" t="e">
        <f>TRIM(Tabla1[[#This Row],[Articulo]])</f>
        <v>#VALUE!</v>
      </c>
      <c r="Q2363" s="23" t="e">
        <f>_xlfn.XLOOKUP(Tabla1[[#This Row],[Ean Normalizado]],Consumos!A:A,Consumos!E:E)</f>
        <v>#VALUE!</v>
      </c>
      <c r="R2363" s="38" t="e">
        <f>_xlfn.XLOOKUP(Tabla1[[#This Row],[Ean Normalizado]],tabla_consumos[EAN],tabla_consumos[UM])</f>
        <v>#VALUE!</v>
      </c>
      <c r="S2363" s="38" t="e">
        <f>Tabla1[[#This Row],[StockDisp]]*Tabla1[[#This Row],[UM producto]]</f>
        <v>#VALUE!</v>
      </c>
    </row>
    <row r="2364" spans="1:19" x14ac:dyDescent="0.35">
      <c r="A2364" s="5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6"/>
      <c r="P2364" s="23" t="e">
        <f>TRIM(Tabla1[[#This Row],[Articulo]])</f>
        <v>#VALUE!</v>
      </c>
      <c r="Q2364" s="23" t="e">
        <f>_xlfn.XLOOKUP(Tabla1[[#This Row],[Ean Normalizado]],Consumos!A:A,Consumos!E:E)</f>
        <v>#VALUE!</v>
      </c>
      <c r="R2364" s="38" t="e">
        <f>_xlfn.XLOOKUP(Tabla1[[#This Row],[Ean Normalizado]],tabla_consumos[EAN],tabla_consumos[UM])</f>
        <v>#VALUE!</v>
      </c>
      <c r="S2364" s="38" t="e">
        <f>Tabla1[[#This Row],[StockDisp]]*Tabla1[[#This Row],[UM producto]]</f>
        <v>#VALUE!</v>
      </c>
    </row>
    <row r="2365" spans="1:19" x14ac:dyDescent="0.35">
      <c r="A2365" s="5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6"/>
      <c r="P2365" s="23" t="e">
        <f>TRIM(Tabla1[[#This Row],[Articulo]])</f>
        <v>#VALUE!</v>
      </c>
      <c r="Q2365" s="23" t="e">
        <f>_xlfn.XLOOKUP(Tabla1[[#This Row],[Ean Normalizado]],Consumos!A:A,Consumos!E:E)</f>
        <v>#VALUE!</v>
      </c>
      <c r="R2365" s="38" t="e">
        <f>_xlfn.XLOOKUP(Tabla1[[#This Row],[Ean Normalizado]],tabla_consumos[EAN],tabla_consumos[UM])</f>
        <v>#VALUE!</v>
      </c>
      <c r="S2365" s="38" t="e">
        <f>Tabla1[[#This Row],[StockDisp]]*Tabla1[[#This Row],[UM producto]]</f>
        <v>#VALUE!</v>
      </c>
    </row>
    <row r="2366" spans="1:19" x14ac:dyDescent="0.35">
      <c r="A2366" s="5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6"/>
      <c r="P2366" s="23" t="e">
        <f>TRIM(Tabla1[[#This Row],[Articulo]])</f>
        <v>#VALUE!</v>
      </c>
      <c r="Q2366" s="23" t="e">
        <f>_xlfn.XLOOKUP(Tabla1[[#This Row],[Ean Normalizado]],Consumos!A:A,Consumos!E:E)</f>
        <v>#VALUE!</v>
      </c>
      <c r="R2366" s="38" t="e">
        <f>_xlfn.XLOOKUP(Tabla1[[#This Row],[Ean Normalizado]],tabla_consumos[EAN],tabla_consumos[UM])</f>
        <v>#VALUE!</v>
      </c>
      <c r="S2366" s="38" t="e">
        <f>Tabla1[[#This Row],[StockDisp]]*Tabla1[[#This Row],[UM producto]]</f>
        <v>#VALUE!</v>
      </c>
    </row>
    <row r="2367" spans="1:19" x14ac:dyDescent="0.35">
      <c r="A2367" s="5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6"/>
      <c r="P2367" s="23" t="e">
        <f>TRIM(Tabla1[[#This Row],[Articulo]])</f>
        <v>#VALUE!</v>
      </c>
      <c r="Q2367" s="23" t="e">
        <f>_xlfn.XLOOKUP(Tabla1[[#This Row],[Ean Normalizado]],Consumos!A:A,Consumos!E:E)</f>
        <v>#VALUE!</v>
      </c>
      <c r="R2367" s="38" t="e">
        <f>_xlfn.XLOOKUP(Tabla1[[#This Row],[Ean Normalizado]],tabla_consumos[EAN],tabla_consumos[UM])</f>
        <v>#VALUE!</v>
      </c>
      <c r="S2367" s="38" t="e">
        <f>Tabla1[[#This Row],[StockDisp]]*Tabla1[[#This Row],[UM producto]]</f>
        <v>#VALUE!</v>
      </c>
    </row>
    <row r="2368" spans="1:19" x14ac:dyDescent="0.35">
      <c r="A2368" s="5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6"/>
      <c r="P2368" s="23" t="e">
        <f>TRIM(Tabla1[[#This Row],[Articulo]])</f>
        <v>#VALUE!</v>
      </c>
      <c r="Q2368" s="23" t="e">
        <f>_xlfn.XLOOKUP(Tabla1[[#This Row],[Ean Normalizado]],Consumos!A:A,Consumos!E:E)</f>
        <v>#VALUE!</v>
      </c>
      <c r="R2368" s="38" t="e">
        <f>_xlfn.XLOOKUP(Tabla1[[#This Row],[Ean Normalizado]],tabla_consumos[EAN],tabla_consumos[UM])</f>
        <v>#VALUE!</v>
      </c>
      <c r="S2368" s="38" t="e">
        <f>Tabla1[[#This Row],[StockDisp]]*Tabla1[[#This Row],[UM producto]]</f>
        <v>#VALUE!</v>
      </c>
    </row>
    <row r="2369" spans="1:19" x14ac:dyDescent="0.35">
      <c r="A2369" s="5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6"/>
      <c r="P2369" s="23" t="e">
        <f>TRIM(Tabla1[[#This Row],[Articulo]])</f>
        <v>#VALUE!</v>
      </c>
      <c r="Q2369" s="23" t="e">
        <f>_xlfn.XLOOKUP(Tabla1[[#This Row],[Ean Normalizado]],Consumos!A:A,Consumos!E:E)</f>
        <v>#VALUE!</v>
      </c>
      <c r="R2369" s="38" t="e">
        <f>_xlfn.XLOOKUP(Tabla1[[#This Row],[Ean Normalizado]],tabla_consumos[EAN],tabla_consumos[UM])</f>
        <v>#VALUE!</v>
      </c>
      <c r="S2369" s="38" t="e">
        <f>Tabla1[[#This Row],[StockDisp]]*Tabla1[[#This Row],[UM producto]]</f>
        <v>#VALUE!</v>
      </c>
    </row>
    <row r="2370" spans="1:19" x14ac:dyDescent="0.35">
      <c r="A2370" s="5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6"/>
      <c r="P2370" s="23" t="e">
        <f>TRIM(Tabla1[[#This Row],[Articulo]])</f>
        <v>#VALUE!</v>
      </c>
      <c r="Q2370" s="23" t="e">
        <f>_xlfn.XLOOKUP(Tabla1[[#This Row],[Ean Normalizado]],Consumos!A:A,Consumos!E:E)</f>
        <v>#VALUE!</v>
      </c>
      <c r="R2370" s="38" t="e">
        <f>_xlfn.XLOOKUP(Tabla1[[#This Row],[Ean Normalizado]],tabla_consumos[EAN],tabla_consumos[UM])</f>
        <v>#VALUE!</v>
      </c>
      <c r="S2370" s="38" t="e">
        <f>Tabla1[[#This Row],[StockDisp]]*Tabla1[[#This Row],[UM producto]]</f>
        <v>#VALUE!</v>
      </c>
    </row>
    <row r="2371" spans="1:19" x14ac:dyDescent="0.35">
      <c r="A2371" s="5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6"/>
      <c r="P2371" s="23" t="e">
        <f>TRIM(Tabla1[[#This Row],[Articulo]])</f>
        <v>#VALUE!</v>
      </c>
      <c r="Q2371" s="23" t="e">
        <f>_xlfn.XLOOKUP(Tabla1[[#This Row],[Ean Normalizado]],Consumos!A:A,Consumos!E:E)</f>
        <v>#VALUE!</v>
      </c>
      <c r="R2371" s="38" t="e">
        <f>_xlfn.XLOOKUP(Tabla1[[#This Row],[Ean Normalizado]],tabla_consumos[EAN],tabla_consumos[UM])</f>
        <v>#VALUE!</v>
      </c>
      <c r="S2371" s="38" t="e">
        <f>Tabla1[[#This Row],[StockDisp]]*Tabla1[[#This Row],[UM producto]]</f>
        <v>#VALUE!</v>
      </c>
    </row>
    <row r="2372" spans="1:19" x14ac:dyDescent="0.35">
      <c r="A2372" s="5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6"/>
      <c r="P2372" s="23" t="e">
        <f>TRIM(Tabla1[[#This Row],[Articulo]])</f>
        <v>#VALUE!</v>
      </c>
      <c r="Q2372" s="23" t="e">
        <f>_xlfn.XLOOKUP(Tabla1[[#This Row],[Ean Normalizado]],Consumos!A:A,Consumos!E:E)</f>
        <v>#VALUE!</v>
      </c>
      <c r="R2372" s="38" t="e">
        <f>_xlfn.XLOOKUP(Tabla1[[#This Row],[Ean Normalizado]],tabla_consumos[EAN],tabla_consumos[UM])</f>
        <v>#VALUE!</v>
      </c>
      <c r="S2372" s="38" t="e">
        <f>Tabla1[[#This Row],[StockDisp]]*Tabla1[[#This Row],[UM producto]]</f>
        <v>#VALUE!</v>
      </c>
    </row>
    <row r="2373" spans="1:19" x14ac:dyDescent="0.35">
      <c r="A2373" s="5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6"/>
      <c r="P2373" s="23" t="e">
        <f>TRIM(Tabla1[[#This Row],[Articulo]])</f>
        <v>#VALUE!</v>
      </c>
      <c r="Q2373" s="23" t="e">
        <f>_xlfn.XLOOKUP(Tabla1[[#This Row],[Ean Normalizado]],Consumos!A:A,Consumos!E:E)</f>
        <v>#VALUE!</v>
      </c>
      <c r="R2373" s="38" t="e">
        <f>_xlfn.XLOOKUP(Tabla1[[#This Row],[Ean Normalizado]],tabla_consumos[EAN],tabla_consumos[UM])</f>
        <v>#VALUE!</v>
      </c>
      <c r="S2373" s="38" t="e">
        <f>Tabla1[[#This Row],[StockDisp]]*Tabla1[[#This Row],[UM producto]]</f>
        <v>#VALUE!</v>
      </c>
    </row>
    <row r="2374" spans="1:19" x14ac:dyDescent="0.35">
      <c r="A2374" s="5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6"/>
      <c r="P2374" s="23" t="e">
        <f>TRIM(Tabla1[[#This Row],[Articulo]])</f>
        <v>#VALUE!</v>
      </c>
      <c r="Q2374" s="23" t="e">
        <f>_xlfn.XLOOKUP(Tabla1[[#This Row],[Ean Normalizado]],Consumos!A:A,Consumos!E:E)</f>
        <v>#VALUE!</v>
      </c>
      <c r="R2374" s="38" t="e">
        <f>_xlfn.XLOOKUP(Tabla1[[#This Row],[Ean Normalizado]],tabla_consumos[EAN],tabla_consumos[UM])</f>
        <v>#VALUE!</v>
      </c>
      <c r="S2374" s="38" t="e">
        <f>Tabla1[[#This Row],[StockDisp]]*Tabla1[[#This Row],[UM producto]]</f>
        <v>#VALUE!</v>
      </c>
    </row>
    <row r="2375" spans="1:19" x14ac:dyDescent="0.35">
      <c r="A2375" s="5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6"/>
      <c r="P2375" s="23" t="e">
        <f>TRIM(Tabla1[[#This Row],[Articulo]])</f>
        <v>#VALUE!</v>
      </c>
      <c r="Q2375" s="23" t="e">
        <f>_xlfn.XLOOKUP(Tabla1[[#This Row],[Ean Normalizado]],Consumos!A:A,Consumos!E:E)</f>
        <v>#VALUE!</v>
      </c>
      <c r="R2375" s="38" t="e">
        <f>_xlfn.XLOOKUP(Tabla1[[#This Row],[Ean Normalizado]],tabla_consumos[EAN],tabla_consumos[UM])</f>
        <v>#VALUE!</v>
      </c>
      <c r="S2375" s="38" t="e">
        <f>Tabla1[[#This Row],[StockDisp]]*Tabla1[[#This Row],[UM producto]]</f>
        <v>#VALUE!</v>
      </c>
    </row>
    <row r="2376" spans="1:19" x14ac:dyDescent="0.35">
      <c r="A2376" s="5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6"/>
      <c r="P2376" s="23" t="e">
        <f>TRIM(Tabla1[[#This Row],[Articulo]])</f>
        <v>#VALUE!</v>
      </c>
      <c r="Q2376" s="23" t="e">
        <f>_xlfn.XLOOKUP(Tabla1[[#This Row],[Ean Normalizado]],Consumos!A:A,Consumos!E:E)</f>
        <v>#VALUE!</v>
      </c>
      <c r="R2376" s="38" t="e">
        <f>_xlfn.XLOOKUP(Tabla1[[#This Row],[Ean Normalizado]],tabla_consumos[EAN],tabla_consumos[UM])</f>
        <v>#VALUE!</v>
      </c>
      <c r="S2376" s="38" t="e">
        <f>Tabla1[[#This Row],[StockDisp]]*Tabla1[[#This Row],[UM producto]]</f>
        <v>#VALUE!</v>
      </c>
    </row>
    <row r="2377" spans="1:19" x14ac:dyDescent="0.35">
      <c r="A2377" s="5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6"/>
      <c r="P2377" s="23" t="e">
        <f>TRIM(Tabla1[[#This Row],[Articulo]])</f>
        <v>#VALUE!</v>
      </c>
      <c r="Q2377" s="23" t="e">
        <f>_xlfn.XLOOKUP(Tabla1[[#This Row],[Ean Normalizado]],Consumos!A:A,Consumos!E:E)</f>
        <v>#VALUE!</v>
      </c>
      <c r="R2377" s="38" t="e">
        <f>_xlfn.XLOOKUP(Tabla1[[#This Row],[Ean Normalizado]],tabla_consumos[EAN],tabla_consumos[UM])</f>
        <v>#VALUE!</v>
      </c>
      <c r="S2377" s="38" t="e">
        <f>Tabla1[[#This Row],[StockDisp]]*Tabla1[[#This Row],[UM producto]]</f>
        <v>#VALUE!</v>
      </c>
    </row>
    <row r="2378" spans="1:19" x14ac:dyDescent="0.35">
      <c r="A2378" s="5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6"/>
      <c r="P2378" s="23" t="e">
        <f>TRIM(Tabla1[[#This Row],[Articulo]])</f>
        <v>#VALUE!</v>
      </c>
      <c r="Q2378" s="23" t="e">
        <f>_xlfn.XLOOKUP(Tabla1[[#This Row],[Ean Normalizado]],Consumos!A:A,Consumos!E:E)</f>
        <v>#VALUE!</v>
      </c>
      <c r="R2378" s="38" t="e">
        <f>_xlfn.XLOOKUP(Tabla1[[#This Row],[Ean Normalizado]],tabla_consumos[EAN],tabla_consumos[UM])</f>
        <v>#VALUE!</v>
      </c>
      <c r="S2378" s="38" t="e">
        <f>Tabla1[[#This Row],[StockDisp]]*Tabla1[[#This Row],[UM producto]]</f>
        <v>#VALUE!</v>
      </c>
    </row>
    <row r="2379" spans="1:19" x14ac:dyDescent="0.35">
      <c r="A2379" s="5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6"/>
      <c r="P2379" s="23" t="e">
        <f>TRIM(Tabla1[[#This Row],[Articulo]])</f>
        <v>#VALUE!</v>
      </c>
      <c r="Q2379" s="23" t="e">
        <f>_xlfn.XLOOKUP(Tabla1[[#This Row],[Ean Normalizado]],Consumos!A:A,Consumos!E:E)</f>
        <v>#VALUE!</v>
      </c>
      <c r="R2379" s="38" t="e">
        <f>_xlfn.XLOOKUP(Tabla1[[#This Row],[Ean Normalizado]],tabla_consumos[EAN],tabla_consumos[UM])</f>
        <v>#VALUE!</v>
      </c>
      <c r="S2379" s="38" t="e">
        <f>Tabla1[[#This Row],[StockDisp]]*Tabla1[[#This Row],[UM producto]]</f>
        <v>#VALUE!</v>
      </c>
    </row>
    <row r="2380" spans="1:19" x14ac:dyDescent="0.35">
      <c r="A2380" s="5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6"/>
      <c r="P2380" s="23" t="e">
        <f>TRIM(Tabla1[[#This Row],[Articulo]])</f>
        <v>#VALUE!</v>
      </c>
      <c r="Q2380" s="23" t="e">
        <f>_xlfn.XLOOKUP(Tabla1[[#This Row],[Ean Normalizado]],Consumos!A:A,Consumos!E:E)</f>
        <v>#VALUE!</v>
      </c>
      <c r="R2380" s="38" t="e">
        <f>_xlfn.XLOOKUP(Tabla1[[#This Row],[Ean Normalizado]],tabla_consumos[EAN],tabla_consumos[UM])</f>
        <v>#VALUE!</v>
      </c>
      <c r="S2380" s="38" t="e">
        <f>Tabla1[[#This Row],[StockDisp]]*Tabla1[[#This Row],[UM producto]]</f>
        <v>#VALUE!</v>
      </c>
    </row>
    <row r="2381" spans="1:19" x14ac:dyDescent="0.35">
      <c r="A2381" s="5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6"/>
      <c r="P2381" s="23" t="e">
        <f>TRIM(Tabla1[[#This Row],[Articulo]])</f>
        <v>#VALUE!</v>
      </c>
      <c r="Q2381" s="23" t="e">
        <f>_xlfn.XLOOKUP(Tabla1[[#This Row],[Ean Normalizado]],Consumos!A:A,Consumos!E:E)</f>
        <v>#VALUE!</v>
      </c>
      <c r="R2381" s="38" t="e">
        <f>_xlfn.XLOOKUP(Tabla1[[#This Row],[Ean Normalizado]],tabla_consumos[EAN],tabla_consumos[UM])</f>
        <v>#VALUE!</v>
      </c>
      <c r="S2381" s="38" t="e">
        <f>Tabla1[[#This Row],[StockDisp]]*Tabla1[[#This Row],[UM producto]]</f>
        <v>#VALUE!</v>
      </c>
    </row>
    <row r="2382" spans="1:19" x14ac:dyDescent="0.35">
      <c r="A2382" s="5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6"/>
      <c r="P2382" s="23" t="e">
        <f>TRIM(Tabla1[[#This Row],[Articulo]])</f>
        <v>#VALUE!</v>
      </c>
      <c r="Q2382" s="23" t="e">
        <f>_xlfn.XLOOKUP(Tabla1[[#This Row],[Ean Normalizado]],Consumos!A:A,Consumos!E:E)</f>
        <v>#VALUE!</v>
      </c>
      <c r="R2382" s="38" t="e">
        <f>_xlfn.XLOOKUP(Tabla1[[#This Row],[Ean Normalizado]],tabla_consumos[EAN],tabla_consumos[UM])</f>
        <v>#VALUE!</v>
      </c>
      <c r="S2382" s="38" t="e">
        <f>Tabla1[[#This Row],[StockDisp]]*Tabla1[[#This Row],[UM producto]]</f>
        <v>#VALUE!</v>
      </c>
    </row>
    <row r="2383" spans="1:19" x14ac:dyDescent="0.35">
      <c r="A2383" s="5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6"/>
      <c r="P2383" s="23" t="e">
        <f>TRIM(Tabla1[[#This Row],[Articulo]])</f>
        <v>#VALUE!</v>
      </c>
      <c r="Q2383" s="23" t="e">
        <f>_xlfn.XLOOKUP(Tabla1[[#This Row],[Ean Normalizado]],Consumos!A:A,Consumos!E:E)</f>
        <v>#VALUE!</v>
      </c>
      <c r="R2383" s="38" t="e">
        <f>_xlfn.XLOOKUP(Tabla1[[#This Row],[Ean Normalizado]],tabla_consumos[EAN],tabla_consumos[UM])</f>
        <v>#VALUE!</v>
      </c>
      <c r="S2383" s="38" t="e">
        <f>Tabla1[[#This Row],[StockDisp]]*Tabla1[[#This Row],[UM producto]]</f>
        <v>#VALUE!</v>
      </c>
    </row>
    <row r="2384" spans="1:19" x14ac:dyDescent="0.35">
      <c r="A2384" s="5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6"/>
      <c r="P2384" s="23" t="e">
        <f>TRIM(Tabla1[[#This Row],[Articulo]])</f>
        <v>#VALUE!</v>
      </c>
      <c r="Q2384" s="23" t="e">
        <f>_xlfn.XLOOKUP(Tabla1[[#This Row],[Ean Normalizado]],Consumos!A:A,Consumos!E:E)</f>
        <v>#VALUE!</v>
      </c>
      <c r="R2384" s="38" t="e">
        <f>_xlfn.XLOOKUP(Tabla1[[#This Row],[Ean Normalizado]],tabla_consumos[EAN],tabla_consumos[UM])</f>
        <v>#VALUE!</v>
      </c>
      <c r="S2384" s="38" t="e">
        <f>Tabla1[[#This Row],[StockDisp]]*Tabla1[[#This Row],[UM producto]]</f>
        <v>#VALUE!</v>
      </c>
    </row>
    <row r="2385" spans="1:19" x14ac:dyDescent="0.35">
      <c r="A2385" s="5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6"/>
      <c r="P2385" s="23" t="e">
        <f>TRIM(Tabla1[[#This Row],[Articulo]])</f>
        <v>#VALUE!</v>
      </c>
      <c r="Q2385" s="23" t="e">
        <f>_xlfn.XLOOKUP(Tabla1[[#This Row],[Ean Normalizado]],Consumos!A:A,Consumos!E:E)</f>
        <v>#VALUE!</v>
      </c>
      <c r="R2385" s="38" t="e">
        <f>_xlfn.XLOOKUP(Tabla1[[#This Row],[Ean Normalizado]],tabla_consumos[EAN],tabla_consumos[UM])</f>
        <v>#VALUE!</v>
      </c>
      <c r="S2385" s="38" t="e">
        <f>Tabla1[[#This Row],[StockDisp]]*Tabla1[[#This Row],[UM producto]]</f>
        <v>#VALUE!</v>
      </c>
    </row>
    <row r="2386" spans="1:19" x14ac:dyDescent="0.35">
      <c r="A2386" s="5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6"/>
      <c r="P2386" s="23" t="e">
        <f>TRIM(Tabla1[[#This Row],[Articulo]])</f>
        <v>#VALUE!</v>
      </c>
      <c r="Q2386" s="23" t="e">
        <f>_xlfn.XLOOKUP(Tabla1[[#This Row],[Ean Normalizado]],Consumos!A:A,Consumos!E:E)</f>
        <v>#VALUE!</v>
      </c>
      <c r="R2386" s="38" t="e">
        <f>_xlfn.XLOOKUP(Tabla1[[#This Row],[Ean Normalizado]],tabla_consumos[EAN],tabla_consumos[UM])</f>
        <v>#VALUE!</v>
      </c>
      <c r="S2386" s="38" t="e">
        <f>Tabla1[[#This Row],[StockDisp]]*Tabla1[[#This Row],[UM producto]]</f>
        <v>#VALUE!</v>
      </c>
    </row>
    <row r="2387" spans="1:19" x14ac:dyDescent="0.35">
      <c r="A2387" s="5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6"/>
      <c r="P2387" s="23" t="e">
        <f>TRIM(Tabla1[[#This Row],[Articulo]])</f>
        <v>#VALUE!</v>
      </c>
      <c r="Q2387" s="23" t="e">
        <f>_xlfn.XLOOKUP(Tabla1[[#This Row],[Ean Normalizado]],Consumos!A:A,Consumos!E:E)</f>
        <v>#VALUE!</v>
      </c>
      <c r="R2387" s="38" t="e">
        <f>_xlfn.XLOOKUP(Tabla1[[#This Row],[Ean Normalizado]],tabla_consumos[EAN],tabla_consumos[UM])</f>
        <v>#VALUE!</v>
      </c>
      <c r="S2387" s="38" t="e">
        <f>Tabla1[[#This Row],[StockDisp]]*Tabla1[[#This Row],[UM producto]]</f>
        <v>#VALUE!</v>
      </c>
    </row>
    <row r="2388" spans="1:19" x14ac:dyDescent="0.35">
      <c r="A2388" s="5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6"/>
      <c r="P2388" s="23" t="e">
        <f>TRIM(Tabla1[[#This Row],[Articulo]])</f>
        <v>#VALUE!</v>
      </c>
      <c r="Q2388" s="23" t="e">
        <f>_xlfn.XLOOKUP(Tabla1[[#This Row],[Ean Normalizado]],Consumos!A:A,Consumos!E:E)</f>
        <v>#VALUE!</v>
      </c>
      <c r="R2388" s="38" t="e">
        <f>_xlfn.XLOOKUP(Tabla1[[#This Row],[Ean Normalizado]],tabla_consumos[EAN],tabla_consumos[UM])</f>
        <v>#VALUE!</v>
      </c>
      <c r="S2388" s="38" t="e">
        <f>Tabla1[[#This Row],[StockDisp]]*Tabla1[[#This Row],[UM producto]]</f>
        <v>#VALUE!</v>
      </c>
    </row>
    <row r="2389" spans="1:19" x14ac:dyDescent="0.35">
      <c r="A2389" s="5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6"/>
      <c r="P2389" s="23" t="e">
        <f>TRIM(Tabla1[[#This Row],[Articulo]])</f>
        <v>#VALUE!</v>
      </c>
      <c r="Q2389" s="23" t="e">
        <f>_xlfn.XLOOKUP(Tabla1[[#This Row],[Ean Normalizado]],Consumos!A:A,Consumos!E:E)</f>
        <v>#VALUE!</v>
      </c>
      <c r="R2389" s="38" t="e">
        <f>_xlfn.XLOOKUP(Tabla1[[#This Row],[Ean Normalizado]],tabla_consumos[EAN],tabla_consumos[UM])</f>
        <v>#VALUE!</v>
      </c>
      <c r="S2389" s="38" t="e">
        <f>Tabla1[[#This Row],[StockDisp]]*Tabla1[[#This Row],[UM producto]]</f>
        <v>#VALUE!</v>
      </c>
    </row>
    <row r="2390" spans="1:19" x14ac:dyDescent="0.35">
      <c r="A2390" s="5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6"/>
      <c r="P2390" s="23" t="e">
        <f>TRIM(Tabla1[[#This Row],[Articulo]])</f>
        <v>#VALUE!</v>
      </c>
      <c r="Q2390" s="23" t="e">
        <f>_xlfn.XLOOKUP(Tabla1[[#This Row],[Ean Normalizado]],Consumos!A:A,Consumos!E:E)</f>
        <v>#VALUE!</v>
      </c>
      <c r="R2390" s="38" t="e">
        <f>_xlfn.XLOOKUP(Tabla1[[#This Row],[Ean Normalizado]],tabla_consumos[EAN],tabla_consumos[UM])</f>
        <v>#VALUE!</v>
      </c>
      <c r="S2390" s="38" t="e">
        <f>Tabla1[[#This Row],[StockDisp]]*Tabla1[[#This Row],[UM producto]]</f>
        <v>#VALUE!</v>
      </c>
    </row>
    <row r="2391" spans="1:19" x14ac:dyDescent="0.35">
      <c r="A2391" s="5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6"/>
      <c r="P2391" s="23" t="e">
        <f>TRIM(Tabla1[[#This Row],[Articulo]])</f>
        <v>#VALUE!</v>
      </c>
      <c r="Q2391" s="23" t="e">
        <f>_xlfn.XLOOKUP(Tabla1[[#This Row],[Ean Normalizado]],Consumos!A:A,Consumos!E:E)</f>
        <v>#VALUE!</v>
      </c>
      <c r="R2391" s="38" t="e">
        <f>_xlfn.XLOOKUP(Tabla1[[#This Row],[Ean Normalizado]],tabla_consumos[EAN],tabla_consumos[UM])</f>
        <v>#VALUE!</v>
      </c>
      <c r="S2391" s="38" t="e">
        <f>Tabla1[[#This Row],[StockDisp]]*Tabla1[[#This Row],[UM producto]]</f>
        <v>#VALUE!</v>
      </c>
    </row>
    <row r="2392" spans="1:19" x14ac:dyDescent="0.35">
      <c r="A2392" s="5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6"/>
      <c r="P2392" s="23" t="e">
        <f>TRIM(Tabla1[[#This Row],[Articulo]])</f>
        <v>#VALUE!</v>
      </c>
      <c r="Q2392" s="23" t="e">
        <f>_xlfn.XLOOKUP(Tabla1[[#This Row],[Ean Normalizado]],Consumos!A:A,Consumos!E:E)</f>
        <v>#VALUE!</v>
      </c>
      <c r="R2392" s="38" t="e">
        <f>_xlfn.XLOOKUP(Tabla1[[#This Row],[Ean Normalizado]],tabla_consumos[EAN],tabla_consumos[UM])</f>
        <v>#VALUE!</v>
      </c>
      <c r="S2392" s="38" t="e">
        <f>Tabla1[[#This Row],[StockDisp]]*Tabla1[[#This Row],[UM producto]]</f>
        <v>#VALUE!</v>
      </c>
    </row>
    <row r="2393" spans="1:19" x14ac:dyDescent="0.35">
      <c r="A2393" s="5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6"/>
      <c r="P2393" s="23" t="e">
        <f>TRIM(Tabla1[[#This Row],[Articulo]])</f>
        <v>#VALUE!</v>
      </c>
      <c r="Q2393" s="23" t="e">
        <f>_xlfn.XLOOKUP(Tabla1[[#This Row],[Ean Normalizado]],Consumos!A:A,Consumos!E:E)</f>
        <v>#VALUE!</v>
      </c>
      <c r="R2393" s="38" t="e">
        <f>_xlfn.XLOOKUP(Tabla1[[#This Row],[Ean Normalizado]],tabla_consumos[EAN],tabla_consumos[UM])</f>
        <v>#VALUE!</v>
      </c>
      <c r="S2393" s="38" t="e">
        <f>Tabla1[[#This Row],[StockDisp]]*Tabla1[[#This Row],[UM producto]]</f>
        <v>#VALUE!</v>
      </c>
    </row>
    <row r="2394" spans="1:19" x14ac:dyDescent="0.35">
      <c r="A2394" s="5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6"/>
      <c r="P2394" s="23" t="e">
        <f>TRIM(Tabla1[[#This Row],[Articulo]])</f>
        <v>#VALUE!</v>
      </c>
      <c r="Q2394" s="23" t="e">
        <f>_xlfn.XLOOKUP(Tabla1[[#This Row],[Ean Normalizado]],Consumos!A:A,Consumos!E:E)</f>
        <v>#VALUE!</v>
      </c>
      <c r="R2394" s="38" t="e">
        <f>_xlfn.XLOOKUP(Tabla1[[#This Row],[Ean Normalizado]],tabla_consumos[EAN],tabla_consumos[UM])</f>
        <v>#VALUE!</v>
      </c>
      <c r="S2394" s="38" t="e">
        <f>Tabla1[[#This Row],[StockDisp]]*Tabla1[[#This Row],[UM producto]]</f>
        <v>#VALUE!</v>
      </c>
    </row>
    <row r="2395" spans="1:19" x14ac:dyDescent="0.35">
      <c r="A2395" s="5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6"/>
      <c r="P2395" s="23" t="e">
        <f>TRIM(Tabla1[[#This Row],[Articulo]])</f>
        <v>#VALUE!</v>
      </c>
      <c r="Q2395" s="23" t="e">
        <f>_xlfn.XLOOKUP(Tabla1[[#This Row],[Ean Normalizado]],Consumos!A:A,Consumos!E:E)</f>
        <v>#VALUE!</v>
      </c>
      <c r="R2395" s="38" t="e">
        <f>_xlfn.XLOOKUP(Tabla1[[#This Row],[Ean Normalizado]],tabla_consumos[EAN],tabla_consumos[UM])</f>
        <v>#VALUE!</v>
      </c>
      <c r="S2395" s="38" t="e">
        <f>Tabla1[[#This Row],[StockDisp]]*Tabla1[[#This Row],[UM producto]]</f>
        <v>#VALUE!</v>
      </c>
    </row>
    <row r="2396" spans="1:19" x14ac:dyDescent="0.35">
      <c r="A2396" s="5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6"/>
      <c r="P2396" s="23" t="e">
        <f>TRIM(Tabla1[[#This Row],[Articulo]])</f>
        <v>#VALUE!</v>
      </c>
      <c r="Q2396" s="23" t="e">
        <f>_xlfn.XLOOKUP(Tabla1[[#This Row],[Ean Normalizado]],Consumos!A:A,Consumos!E:E)</f>
        <v>#VALUE!</v>
      </c>
      <c r="R2396" s="38" t="e">
        <f>_xlfn.XLOOKUP(Tabla1[[#This Row],[Ean Normalizado]],tabla_consumos[EAN],tabla_consumos[UM])</f>
        <v>#VALUE!</v>
      </c>
      <c r="S2396" s="38" t="e">
        <f>Tabla1[[#This Row],[StockDisp]]*Tabla1[[#This Row],[UM producto]]</f>
        <v>#VALUE!</v>
      </c>
    </row>
    <row r="2397" spans="1:19" x14ac:dyDescent="0.35">
      <c r="A2397" s="5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6"/>
      <c r="P2397" s="23" t="e">
        <f>TRIM(Tabla1[[#This Row],[Articulo]])</f>
        <v>#VALUE!</v>
      </c>
      <c r="Q2397" s="23" t="e">
        <f>_xlfn.XLOOKUP(Tabla1[[#This Row],[Ean Normalizado]],Consumos!A:A,Consumos!E:E)</f>
        <v>#VALUE!</v>
      </c>
      <c r="R2397" s="38" t="e">
        <f>_xlfn.XLOOKUP(Tabla1[[#This Row],[Ean Normalizado]],tabla_consumos[EAN],tabla_consumos[UM])</f>
        <v>#VALUE!</v>
      </c>
      <c r="S2397" s="38" t="e">
        <f>Tabla1[[#This Row],[StockDisp]]*Tabla1[[#This Row],[UM producto]]</f>
        <v>#VALUE!</v>
      </c>
    </row>
    <row r="2398" spans="1:19" x14ac:dyDescent="0.35">
      <c r="A2398" s="5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6"/>
      <c r="P2398" s="23" t="e">
        <f>TRIM(Tabla1[[#This Row],[Articulo]])</f>
        <v>#VALUE!</v>
      </c>
      <c r="Q2398" s="23" t="e">
        <f>_xlfn.XLOOKUP(Tabla1[[#This Row],[Ean Normalizado]],Consumos!A:A,Consumos!E:E)</f>
        <v>#VALUE!</v>
      </c>
      <c r="R2398" s="38" t="e">
        <f>_xlfn.XLOOKUP(Tabla1[[#This Row],[Ean Normalizado]],tabla_consumos[EAN],tabla_consumos[UM])</f>
        <v>#VALUE!</v>
      </c>
      <c r="S2398" s="38" t="e">
        <f>Tabla1[[#This Row],[StockDisp]]*Tabla1[[#This Row],[UM producto]]</f>
        <v>#VALUE!</v>
      </c>
    </row>
    <row r="2399" spans="1:19" x14ac:dyDescent="0.35">
      <c r="A2399" s="5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6"/>
      <c r="P2399" s="23" t="e">
        <f>TRIM(Tabla1[[#This Row],[Articulo]])</f>
        <v>#VALUE!</v>
      </c>
      <c r="Q2399" s="23" t="e">
        <f>_xlfn.XLOOKUP(Tabla1[[#This Row],[Ean Normalizado]],Consumos!A:A,Consumos!E:E)</f>
        <v>#VALUE!</v>
      </c>
      <c r="R2399" s="38" t="e">
        <f>_xlfn.XLOOKUP(Tabla1[[#This Row],[Ean Normalizado]],tabla_consumos[EAN],tabla_consumos[UM])</f>
        <v>#VALUE!</v>
      </c>
      <c r="S2399" s="38" t="e">
        <f>Tabla1[[#This Row],[StockDisp]]*Tabla1[[#This Row],[UM producto]]</f>
        <v>#VALUE!</v>
      </c>
    </row>
    <row r="2400" spans="1:19" x14ac:dyDescent="0.35">
      <c r="A2400" s="5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6"/>
      <c r="P2400" s="23" t="e">
        <f>TRIM(Tabla1[[#This Row],[Articulo]])</f>
        <v>#VALUE!</v>
      </c>
      <c r="Q2400" s="23" t="e">
        <f>_xlfn.XLOOKUP(Tabla1[[#This Row],[Ean Normalizado]],Consumos!A:A,Consumos!E:E)</f>
        <v>#VALUE!</v>
      </c>
      <c r="R2400" s="38" t="e">
        <f>_xlfn.XLOOKUP(Tabla1[[#This Row],[Ean Normalizado]],tabla_consumos[EAN],tabla_consumos[UM])</f>
        <v>#VALUE!</v>
      </c>
      <c r="S2400" s="38" t="e">
        <f>Tabla1[[#This Row],[StockDisp]]*Tabla1[[#This Row],[UM producto]]</f>
        <v>#VALUE!</v>
      </c>
    </row>
    <row r="2401" spans="1:19" x14ac:dyDescent="0.35">
      <c r="A2401" s="5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6"/>
      <c r="P2401" s="23" t="e">
        <f>TRIM(Tabla1[[#This Row],[Articulo]])</f>
        <v>#VALUE!</v>
      </c>
      <c r="Q2401" s="23" t="e">
        <f>_xlfn.XLOOKUP(Tabla1[[#This Row],[Ean Normalizado]],Consumos!A:A,Consumos!E:E)</f>
        <v>#VALUE!</v>
      </c>
      <c r="R2401" s="38" t="e">
        <f>_xlfn.XLOOKUP(Tabla1[[#This Row],[Ean Normalizado]],tabla_consumos[EAN],tabla_consumos[UM])</f>
        <v>#VALUE!</v>
      </c>
      <c r="S2401" s="38" t="e">
        <f>Tabla1[[#This Row],[StockDisp]]*Tabla1[[#This Row],[UM producto]]</f>
        <v>#VALUE!</v>
      </c>
    </row>
    <row r="2402" spans="1:19" x14ac:dyDescent="0.35">
      <c r="A2402" s="5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6"/>
      <c r="P2402" s="23" t="e">
        <f>TRIM(Tabla1[[#This Row],[Articulo]])</f>
        <v>#VALUE!</v>
      </c>
      <c r="Q2402" s="23" t="e">
        <f>_xlfn.XLOOKUP(Tabla1[[#This Row],[Ean Normalizado]],Consumos!A:A,Consumos!E:E)</f>
        <v>#VALUE!</v>
      </c>
      <c r="R2402" s="38" t="e">
        <f>_xlfn.XLOOKUP(Tabla1[[#This Row],[Ean Normalizado]],tabla_consumos[EAN],tabla_consumos[UM])</f>
        <v>#VALUE!</v>
      </c>
      <c r="S2402" s="38" t="e">
        <f>Tabla1[[#This Row],[StockDisp]]*Tabla1[[#This Row],[UM producto]]</f>
        <v>#VALUE!</v>
      </c>
    </row>
    <row r="2403" spans="1:19" x14ac:dyDescent="0.35">
      <c r="A2403" s="5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6"/>
      <c r="P2403" s="23" t="e">
        <f>TRIM(Tabla1[[#This Row],[Articulo]])</f>
        <v>#VALUE!</v>
      </c>
      <c r="Q2403" s="23" t="e">
        <f>_xlfn.XLOOKUP(Tabla1[[#This Row],[Ean Normalizado]],Consumos!A:A,Consumos!E:E)</f>
        <v>#VALUE!</v>
      </c>
      <c r="R2403" s="38" t="e">
        <f>_xlfn.XLOOKUP(Tabla1[[#This Row],[Ean Normalizado]],tabla_consumos[EAN],tabla_consumos[UM])</f>
        <v>#VALUE!</v>
      </c>
      <c r="S2403" s="38" t="e">
        <f>Tabla1[[#This Row],[StockDisp]]*Tabla1[[#This Row],[UM producto]]</f>
        <v>#VALUE!</v>
      </c>
    </row>
    <row r="2404" spans="1:19" x14ac:dyDescent="0.35">
      <c r="A2404" s="5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6"/>
      <c r="P2404" s="23" t="e">
        <f>TRIM(Tabla1[[#This Row],[Articulo]])</f>
        <v>#VALUE!</v>
      </c>
      <c r="Q2404" s="23" t="e">
        <f>_xlfn.XLOOKUP(Tabla1[[#This Row],[Ean Normalizado]],Consumos!A:A,Consumos!E:E)</f>
        <v>#VALUE!</v>
      </c>
      <c r="R2404" s="38" t="e">
        <f>_xlfn.XLOOKUP(Tabla1[[#This Row],[Ean Normalizado]],tabla_consumos[EAN],tabla_consumos[UM])</f>
        <v>#VALUE!</v>
      </c>
      <c r="S2404" s="38" t="e">
        <f>Tabla1[[#This Row],[StockDisp]]*Tabla1[[#This Row],[UM producto]]</f>
        <v>#VALUE!</v>
      </c>
    </row>
    <row r="2405" spans="1:19" x14ac:dyDescent="0.35">
      <c r="A2405" s="5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6"/>
      <c r="P2405" s="23" t="e">
        <f>TRIM(Tabla1[[#This Row],[Articulo]])</f>
        <v>#VALUE!</v>
      </c>
      <c r="Q2405" s="23" t="e">
        <f>_xlfn.XLOOKUP(Tabla1[[#This Row],[Ean Normalizado]],Consumos!A:A,Consumos!E:E)</f>
        <v>#VALUE!</v>
      </c>
      <c r="R2405" s="38" t="e">
        <f>_xlfn.XLOOKUP(Tabla1[[#This Row],[Ean Normalizado]],tabla_consumos[EAN],tabla_consumos[UM])</f>
        <v>#VALUE!</v>
      </c>
      <c r="S2405" s="38" t="e">
        <f>Tabla1[[#This Row],[StockDisp]]*Tabla1[[#This Row],[UM producto]]</f>
        <v>#VALUE!</v>
      </c>
    </row>
    <row r="2406" spans="1:19" x14ac:dyDescent="0.35">
      <c r="A2406" s="5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6"/>
      <c r="P2406" s="23" t="e">
        <f>TRIM(Tabla1[[#This Row],[Articulo]])</f>
        <v>#VALUE!</v>
      </c>
      <c r="Q2406" s="23" t="e">
        <f>_xlfn.XLOOKUP(Tabla1[[#This Row],[Ean Normalizado]],Consumos!A:A,Consumos!E:E)</f>
        <v>#VALUE!</v>
      </c>
      <c r="R2406" s="38" t="e">
        <f>_xlfn.XLOOKUP(Tabla1[[#This Row],[Ean Normalizado]],tabla_consumos[EAN],tabla_consumos[UM])</f>
        <v>#VALUE!</v>
      </c>
      <c r="S2406" s="38" t="e">
        <f>Tabla1[[#This Row],[StockDisp]]*Tabla1[[#This Row],[UM producto]]</f>
        <v>#VALUE!</v>
      </c>
    </row>
    <row r="2407" spans="1:19" x14ac:dyDescent="0.35">
      <c r="A2407" s="5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6"/>
      <c r="P2407" s="23" t="e">
        <f>TRIM(Tabla1[[#This Row],[Articulo]])</f>
        <v>#VALUE!</v>
      </c>
      <c r="Q2407" s="23" t="e">
        <f>_xlfn.XLOOKUP(Tabla1[[#This Row],[Ean Normalizado]],Consumos!A:A,Consumos!E:E)</f>
        <v>#VALUE!</v>
      </c>
      <c r="R2407" s="38" t="e">
        <f>_xlfn.XLOOKUP(Tabla1[[#This Row],[Ean Normalizado]],tabla_consumos[EAN],tabla_consumos[UM])</f>
        <v>#VALUE!</v>
      </c>
      <c r="S2407" s="38" t="e">
        <f>Tabla1[[#This Row],[StockDisp]]*Tabla1[[#This Row],[UM producto]]</f>
        <v>#VALUE!</v>
      </c>
    </row>
    <row r="2408" spans="1:19" x14ac:dyDescent="0.35">
      <c r="A2408" s="5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6"/>
      <c r="P2408" s="23" t="e">
        <f>TRIM(Tabla1[[#This Row],[Articulo]])</f>
        <v>#VALUE!</v>
      </c>
      <c r="Q2408" s="23" t="e">
        <f>_xlfn.XLOOKUP(Tabla1[[#This Row],[Ean Normalizado]],Consumos!A:A,Consumos!E:E)</f>
        <v>#VALUE!</v>
      </c>
      <c r="R2408" s="38" t="e">
        <f>_xlfn.XLOOKUP(Tabla1[[#This Row],[Ean Normalizado]],tabla_consumos[EAN],tabla_consumos[UM])</f>
        <v>#VALUE!</v>
      </c>
      <c r="S2408" s="38" t="e">
        <f>Tabla1[[#This Row],[StockDisp]]*Tabla1[[#This Row],[UM producto]]</f>
        <v>#VALUE!</v>
      </c>
    </row>
    <row r="2409" spans="1:19" x14ac:dyDescent="0.35">
      <c r="A2409" s="5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6"/>
      <c r="P2409" s="23" t="e">
        <f>TRIM(Tabla1[[#This Row],[Articulo]])</f>
        <v>#VALUE!</v>
      </c>
      <c r="Q2409" s="23" t="e">
        <f>_xlfn.XLOOKUP(Tabla1[[#This Row],[Ean Normalizado]],Consumos!A:A,Consumos!E:E)</f>
        <v>#VALUE!</v>
      </c>
      <c r="R2409" s="38" t="e">
        <f>_xlfn.XLOOKUP(Tabla1[[#This Row],[Ean Normalizado]],tabla_consumos[EAN],tabla_consumos[UM])</f>
        <v>#VALUE!</v>
      </c>
      <c r="S2409" s="38" t="e">
        <f>Tabla1[[#This Row],[StockDisp]]*Tabla1[[#This Row],[UM producto]]</f>
        <v>#VALUE!</v>
      </c>
    </row>
    <row r="2410" spans="1:19" x14ac:dyDescent="0.35">
      <c r="A2410" s="5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6"/>
      <c r="P2410" s="23" t="e">
        <f>TRIM(Tabla1[[#This Row],[Articulo]])</f>
        <v>#VALUE!</v>
      </c>
      <c r="Q2410" s="23" t="e">
        <f>_xlfn.XLOOKUP(Tabla1[[#This Row],[Ean Normalizado]],Consumos!A:A,Consumos!E:E)</f>
        <v>#VALUE!</v>
      </c>
      <c r="R2410" s="38" t="e">
        <f>_xlfn.XLOOKUP(Tabla1[[#This Row],[Ean Normalizado]],tabla_consumos[EAN],tabla_consumos[UM])</f>
        <v>#VALUE!</v>
      </c>
      <c r="S2410" s="38" t="e">
        <f>Tabla1[[#This Row],[StockDisp]]*Tabla1[[#This Row],[UM producto]]</f>
        <v>#VALUE!</v>
      </c>
    </row>
    <row r="2411" spans="1:19" x14ac:dyDescent="0.35">
      <c r="A2411" s="5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6"/>
      <c r="P2411" s="23" t="e">
        <f>TRIM(Tabla1[[#This Row],[Articulo]])</f>
        <v>#VALUE!</v>
      </c>
      <c r="Q2411" s="23" t="e">
        <f>_xlfn.XLOOKUP(Tabla1[[#This Row],[Ean Normalizado]],Consumos!A:A,Consumos!E:E)</f>
        <v>#VALUE!</v>
      </c>
      <c r="R2411" s="38" t="e">
        <f>_xlfn.XLOOKUP(Tabla1[[#This Row],[Ean Normalizado]],tabla_consumos[EAN],tabla_consumos[UM])</f>
        <v>#VALUE!</v>
      </c>
      <c r="S2411" s="38" t="e">
        <f>Tabla1[[#This Row],[StockDisp]]*Tabla1[[#This Row],[UM producto]]</f>
        <v>#VALUE!</v>
      </c>
    </row>
    <row r="2412" spans="1:19" x14ac:dyDescent="0.35">
      <c r="A2412" s="5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6"/>
      <c r="P2412" s="23" t="e">
        <f>TRIM(Tabla1[[#This Row],[Articulo]])</f>
        <v>#VALUE!</v>
      </c>
      <c r="Q2412" s="23" t="e">
        <f>_xlfn.XLOOKUP(Tabla1[[#This Row],[Ean Normalizado]],Consumos!A:A,Consumos!E:E)</f>
        <v>#VALUE!</v>
      </c>
      <c r="R2412" s="38" t="e">
        <f>_xlfn.XLOOKUP(Tabla1[[#This Row],[Ean Normalizado]],tabla_consumos[EAN],tabla_consumos[UM])</f>
        <v>#VALUE!</v>
      </c>
      <c r="S2412" s="38" t="e">
        <f>Tabla1[[#This Row],[StockDisp]]*Tabla1[[#This Row],[UM producto]]</f>
        <v>#VALUE!</v>
      </c>
    </row>
    <row r="2413" spans="1:19" x14ac:dyDescent="0.35">
      <c r="A2413" s="5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6"/>
      <c r="P2413" s="23" t="e">
        <f>TRIM(Tabla1[[#This Row],[Articulo]])</f>
        <v>#VALUE!</v>
      </c>
      <c r="Q2413" s="23" t="e">
        <f>_xlfn.XLOOKUP(Tabla1[[#This Row],[Ean Normalizado]],Consumos!A:A,Consumos!E:E)</f>
        <v>#VALUE!</v>
      </c>
      <c r="R2413" s="38" t="e">
        <f>_xlfn.XLOOKUP(Tabla1[[#This Row],[Ean Normalizado]],tabla_consumos[EAN],tabla_consumos[UM])</f>
        <v>#VALUE!</v>
      </c>
      <c r="S2413" s="38" t="e">
        <f>Tabla1[[#This Row],[StockDisp]]*Tabla1[[#This Row],[UM producto]]</f>
        <v>#VALUE!</v>
      </c>
    </row>
    <row r="2414" spans="1:19" x14ac:dyDescent="0.35">
      <c r="A2414" s="5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6"/>
      <c r="P2414" s="23" t="e">
        <f>TRIM(Tabla1[[#This Row],[Articulo]])</f>
        <v>#VALUE!</v>
      </c>
      <c r="Q2414" s="23" t="e">
        <f>_xlfn.XLOOKUP(Tabla1[[#This Row],[Ean Normalizado]],Consumos!A:A,Consumos!E:E)</f>
        <v>#VALUE!</v>
      </c>
      <c r="R2414" s="38" t="e">
        <f>_xlfn.XLOOKUP(Tabla1[[#This Row],[Ean Normalizado]],tabla_consumos[EAN],tabla_consumos[UM])</f>
        <v>#VALUE!</v>
      </c>
      <c r="S2414" s="38" t="e">
        <f>Tabla1[[#This Row],[StockDisp]]*Tabla1[[#This Row],[UM producto]]</f>
        <v>#VALUE!</v>
      </c>
    </row>
    <row r="2415" spans="1:19" x14ac:dyDescent="0.35">
      <c r="A2415" s="5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6"/>
      <c r="P2415" s="23" t="e">
        <f>TRIM(Tabla1[[#This Row],[Articulo]])</f>
        <v>#VALUE!</v>
      </c>
      <c r="Q2415" s="23" t="e">
        <f>_xlfn.XLOOKUP(Tabla1[[#This Row],[Ean Normalizado]],Consumos!A:A,Consumos!E:E)</f>
        <v>#VALUE!</v>
      </c>
      <c r="R2415" s="38" t="e">
        <f>_xlfn.XLOOKUP(Tabla1[[#This Row],[Ean Normalizado]],tabla_consumos[EAN],tabla_consumos[UM])</f>
        <v>#VALUE!</v>
      </c>
      <c r="S2415" s="38" t="e">
        <f>Tabla1[[#This Row],[StockDisp]]*Tabla1[[#This Row],[UM producto]]</f>
        <v>#VALUE!</v>
      </c>
    </row>
    <row r="2416" spans="1:19" x14ac:dyDescent="0.35">
      <c r="A2416" s="5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6"/>
      <c r="P2416" s="23" t="e">
        <f>TRIM(Tabla1[[#This Row],[Articulo]])</f>
        <v>#VALUE!</v>
      </c>
      <c r="Q2416" s="23" t="e">
        <f>_xlfn.XLOOKUP(Tabla1[[#This Row],[Ean Normalizado]],Consumos!A:A,Consumos!E:E)</f>
        <v>#VALUE!</v>
      </c>
      <c r="R2416" s="38" t="e">
        <f>_xlfn.XLOOKUP(Tabla1[[#This Row],[Ean Normalizado]],tabla_consumos[EAN],tabla_consumos[UM])</f>
        <v>#VALUE!</v>
      </c>
      <c r="S2416" s="38" t="e">
        <f>Tabla1[[#This Row],[StockDisp]]*Tabla1[[#This Row],[UM producto]]</f>
        <v>#VALUE!</v>
      </c>
    </row>
    <row r="2417" spans="1:19" x14ac:dyDescent="0.35">
      <c r="A2417" s="5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6"/>
      <c r="P2417" s="23" t="e">
        <f>TRIM(Tabla1[[#This Row],[Articulo]])</f>
        <v>#VALUE!</v>
      </c>
      <c r="Q2417" s="23" t="e">
        <f>_xlfn.XLOOKUP(Tabla1[[#This Row],[Ean Normalizado]],Consumos!A:A,Consumos!E:E)</f>
        <v>#VALUE!</v>
      </c>
      <c r="R2417" s="38" t="e">
        <f>_xlfn.XLOOKUP(Tabla1[[#This Row],[Ean Normalizado]],tabla_consumos[EAN],tabla_consumos[UM])</f>
        <v>#VALUE!</v>
      </c>
      <c r="S2417" s="38" t="e">
        <f>Tabla1[[#This Row],[StockDisp]]*Tabla1[[#This Row],[UM producto]]</f>
        <v>#VALUE!</v>
      </c>
    </row>
    <row r="2418" spans="1:19" x14ac:dyDescent="0.35">
      <c r="A2418" s="5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6"/>
      <c r="P2418" s="23" t="e">
        <f>TRIM(Tabla1[[#This Row],[Articulo]])</f>
        <v>#VALUE!</v>
      </c>
      <c r="Q2418" s="23" t="e">
        <f>_xlfn.XLOOKUP(Tabla1[[#This Row],[Ean Normalizado]],Consumos!A:A,Consumos!E:E)</f>
        <v>#VALUE!</v>
      </c>
      <c r="R2418" s="38" t="e">
        <f>_xlfn.XLOOKUP(Tabla1[[#This Row],[Ean Normalizado]],tabla_consumos[EAN],tabla_consumos[UM])</f>
        <v>#VALUE!</v>
      </c>
      <c r="S2418" s="38" t="e">
        <f>Tabla1[[#This Row],[StockDisp]]*Tabla1[[#This Row],[UM producto]]</f>
        <v>#VALUE!</v>
      </c>
    </row>
    <row r="2419" spans="1:19" x14ac:dyDescent="0.35">
      <c r="A2419" s="5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6"/>
      <c r="P2419" s="23" t="e">
        <f>TRIM(Tabla1[[#This Row],[Articulo]])</f>
        <v>#VALUE!</v>
      </c>
      <c r="Q2419" s="23" t="e">
        <f>_xlfn.XLOOKUP(Tabla1[[#This Row],[Ean Normalizado]],Consumos!A:A,Consumos!E:E)</f>
        <v>#VALUE!</v>
      </c>
      <c r="R2419" s="38" t="e">
        <f>_xlfn.XLOOKUP(Tabla1[[#This Row],[Ean Normalizado]],tabla_consumos[EAN],tabla_consumos[UM])</f>
        <v>#VALUE!</v>
      </c>
      <c r="S2419" s="38" t="e">
        <f>Tabla1[[#This Row],[StockDisp]]*Tabla1[[#This Row],[UM producto]]</f>
        <v>#VALUE!</v>
      </c>
    </row>
    <row r="2420" spans="1:19" x14ac:dyDescent="0.35">
      <c r="A2420" s="5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6"/>
      <c r="P2420" s="23" t="e">
        <f>TRIM(Tabla1[[#This Row],[Articulo]])</f>
        <v>#VALUE!</v>
      </c>
      <c r="Q2420" s="23" t="e">
        <f>_xlfn.XLOOKUP(Tabla1[[#This Row],[Ean Normalizado]],Consumos!A:A,Consumos!E:E)</f>
        <v>#VALUE!</v>
      </c>
      <c r="R2420" s="38" t="e">
        <f>_xlfn.XLOOKUP(Tabla1[[#This Row],[Ean Normalizado]],tabla_consumos[EAN],tabla_consumos[UM])</f>
        <v>#VALUE!</v>
      </c>
      <c r="S2420" s="38" t="e">
        <f>Tabla1[[#This Row],[StockDisp]]*Tabla1[[#This Row],[UM producto]]</f>
        <v>#VALUE!</v>
      </c>
    </row>
    <row r="2421" spans="1:19" x14ac:dyDescent="0.35">
      <c r="A2421" s="5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6"/>
      <c r="P2421" s="23" t="e">
        <f>TRIM(Tabla1[[#This Row],[Articulo]])</f>
        <v>#VALUE!</v>
      </c>
      <c r="Q2421" s="23" t="e">
        <f>_xlfn.XLOOKUP(Tabla1[[#This Row],[Ean Normalizado]],Consumos!A:A,Consumos!E:E)</f>
        <v>#VALUE!</v>
      </c>
      <c r="R2421" s="38" t="e">
        <f>_xlfn.XLOOKUP(Tabla1[[#This Row],[Ean Normalizado]],tabla_consumos[EAN],tabla_consumos[UM])</f>
        <v>#VALUE!</v>
      </c>
      <c r="S2421" s="38" t="e">
        <f>Tabla1[[#This Row],[StockDisp]]*Tabla1[[#This Row],[UM producto]]</f>
        <v>#VALUE!</v>
      </c>
    </row>
    <row r="2422" spans="1:19" x14ac:dyDescent="0.35">
      <c r="A2422" s="5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6"/>
      <c r="P2422" s="23" t="e">
        <f>TRIM(Tabla1[[#This Row],[Articulo]])</f>
        <v>#VALUE!</v>
      </c>
      <c r="Q2422" s="23" t="e">
        <f>_xlfn.XLOOKUP(Tabla1[[#This Row],[Ean Normalizado]],Consumos!A:A,Consumos!E:E)</f>
        <v>#VALUE!</v>
      </c>
      <c r="R2422" s="38" t="e">
        <f>_xlfn.XLOOKUP(Tabla1[[#This Row],[Ean Normalizado]],tabla_consumos[EAN],tabla_consumos[UM])</f>
        <v>#VALUE!</v>
      </c>
      <c r="S2422" s="38" t="e">
        <f>Tabla1[[#This Row],[StockDisp]]*Tabla1[[#This Row],[UM producto]]</f>
        <v>#VALUE!</v>
      </c>
    </row>
    <row r="2423" spans="1:19" x14ac:dyDescent="0.35">
      <c r="A2423" s="5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6"/>
      <c r="P2423" s="23" t="e">
        <f>TRIM(Tabla1[[#This Row],[Articulo]])</f>
        <v>#VALUE!</v>
      </c>
      <c r="Q2423" s="23" t="e">
        <f>_xlfn.XLOOKUP(Tabla1[[#This Row],[Ean Normalizado]],Consumos!A:A,Consumos!E:E)</f>
        <v>#VALUE!</v>
      </c>
      <c r="R2423" s="38" t="e">
        <f>_xlfn.XLOOKUP(Tabla1[[#This Row],[Ean Normalizado]],tabla_consumos[EAN],tabla_consumos[UM])</f>
        <v>#VALUE!</v>
      </c>
      <c r="S2423" s="38" t="e">
        <f>Tabla1[[#This Row],[StockDisp]]*Tabla1[[#This Row],[UM producto]]</f>
        <v>#VALUE!</v>
      </c>
    </row>
    <row r="2424" spans="1:19" x14ac:dyDescent="0.35">
      <c r="A2424" s="5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6"/>
      <c r="P2424" s="23" t="e">
        <f>TRIM(Tabla1[[#This Row],[Articulo]])</f>
        <v>#VALUE!</v>
      </c>
      <c r="Q2424" s="23" t="e">
        <f>_xlfn.XLOOKUP(Tabla1[[#This Row],[Ean Normalizado]],Consumos!A:A,Consumos!E:E)</f>
        <v>#VALUE!</v>
      </c>
      <c r="R2424" s="38" t="e">
        <f>_xlfn.XLOOKUP(Tabla1[[#This Row],[Ean Normalizado]],tabla_consumos[EAN],tabla_consumos[UM])</f>
        <v>#VALUE!</v>
      </c>
      <c r="S2424" s="38" t="e">
        <f>Tabla1[[#This Row],[StockDisp]]*Tabla1[[#This Row],[UM producto]]</f>
        <v>#VALUE!</v>
      </c>
    </row>
    <row r="2425" spans="1:19" x14ac:dyDescent="0.35">
      <c r="A2425" s="5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6"/>
      <c r="P2425" s="23" t="e">
        <f>TRIM(Tabla1[[#This Row],[Articulo]])</f>
        <v>#VALUE!</v>
      </c>
      <c r="Q2425" s="23" t="e">
        <f>_xlfn.XLOOKUP(Tabla1[[#This Row],[Ean Normalizado]],Consumos!A:A,Consumos!E:E)</f>
        <v>#VALUE!</v>
      </c>
      <c r="R2425" s="38" t="e">
        <f>_xlfn.XLOOKUP(Tabla1[[#This Row],[Ean Normalizado]],tabla_consumos[EAN],tabla_consumos[UM])</f>
        <v>#VALUE!</v>
      </c>
      <c r="S2425" s="38" t="e">
        <f>Tabla1[[#This Row],[StockDisp]]*Tabla1[[#This Row],[UM producto]]</f>
        <v>#VALUE!</v>
      </c>
    </row>
    <row r="2426" spans="1:19" x14ac:dyDescent="0.35">
      <c r="A2426" s="5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6"/>
      <c r="P2426" s="23" t="e">
        <f>TRIM(Tabla1[[#This Row],[Articulo]])</f>
        <v>#VALUE!</v>
      </c>
      <c r="Q2426" s="23" t="e">
        <f>_xlfn.XLOOKUP(Tabla1[[#This Row],[Ean Normalizado]],Consumos!A:A,Consumos!E:E)</f>
        <v>#VALUE!</v>
      </c>
      <c r="R2426" s="38" t="e">
        <f>_xlfn.XLOOKUP(Tabla1[[#This Row],[Ean Normalizado]],tabla_consumos[EAN],tabla_consumos[UM])</f>
        <v>#VALUE!</v>
      </c>
      <c r="S2426" s="38" t="e">
        <f>Tabla1[[#This Row],[StockDisp]]*Tabla1[[#This Row],[UM producto]]</f>
        <v>#VALUE!</v>
      </c>
    </row>
    <row r="2427" spans="1:19" x14ac:dyDescent="0.35">
      <c r="A2427" s="5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6"/>
      <c r="P2427" s="23" t="e">
        <f>TRIM(Tabla1[[#This Row],[Articulo]])</f>
        <v>#VALUE!</v>
      </c>
      <c r="Q2427" s="23" t="e">
        <f>_xlfn.XLOOKUP(Tabla1[[#This Row],[Ean Normalizado]],Consumos!A:A,Consumos!E:E)</f>
        <v>#VALUE!</v>
      </c>
      <c r="R2427" s="38" t="e">
        <f>_xlfn.XLOOKUP(Tabla1[[#This Row],[Ean Normalizado]],tabla_consumos[EAN],tabla_consumos[UM])</f>
        <v>#VALUE!</v>
      </c>
      <c r="S2427" s="38" t="e">
        <f>Tabla1[[#This Row],[StockDisp]]*Tabla1[[#This Row],[UM producto]]</f>
        <v>#VALUE!</v>
      </c>
    </row>
    <row r="2428" spans="1:19" x14ac:dyDescent="0.35">
      <c r="A2428" s="5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6"/>
      <c r="P2428" s="23" t="e">
        <f>TRIM(Tabla1[[#This Row],[Articulo]])</f>
        <v>#VALUE!</v>
      </c>
      <c r="Q2428" s="23" t="e">
        <f>_xlfn.XLOOKUP(Tabla1[[#This Row],[Ean Normalizado]],Consumos!A:A,Consumos!E:E)</f>
        <v>#VALUE!</v>
      </c>
      <c r="R2428" s="38" t="e">
        <f>_xlfn.XLOOKUP(Tabla1[[#This Row],[Ean Normalizado]],tabla_consumos[EAN],tabla_consumos[UM])</f>
        <v>#VALUE!</v>
      </c>
      <c r="S2428" s="38" t="e">
        <f>Tabla1[[#This Row],[StockDisp]]*Tabla1[[#This Row],[UM producto]]</f>
        <v>#VALUE!</v>
      </c>
    </row>
    <row r="2429" spans="1:19" x14ac:dyDescent="0.35">
      <c r="A2429" s="5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6"/>
      <c r="P2429" s="23" t="e">
        <f>TRIM(Tabla1[[#This Row],[Articulo]])</f>
        <v>#VALUE!</v>
      </c>
      <c r="Q2429" s="23" t="e">
        <f>_xlfn.XLOOKUP(Tabla1[[#This Row],[Ean Normalizado]],Consumos!A:A,Consumos!E:E)</f>
        <v>#VALUE!</v>
      </c>
      <c r="R2429" s="38" t="e">
        <f>_xlfn.XLOOKUP(Tabla1[[#This Row],[Ean Normalizado]],tabla_consumos[EAN],tabla_consumos[UM])</f>
        <v>#VALUE!</v>
      </c>
      <c r="S2429" s="38" t="e">
        <f>Tabla1[[#This Row],[StockDisp]]*Tabla1[[#This Row],[UM producto]]</f>
        <v>#VALUE!</v>
      </c>
    </row>
    <row r="2430" spans="1:19" x14ac:dyDescent="0.35">
      <c r="A2430" s="5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6"/>
      <c r="P2430" s="23" t="e">
        <f>TRIM(Tabla1[[#This Row],[Articulo]])</f>
        <v>#VALUE!</v>
      </c>
      <c r="Q2430" s="23" t="e">
        <f>_xlfn.XLOOKUP(Tabla1[[#This Row],[Ean Normalizado]],Consumos!A:A,Consumos!E:E)</f>
        <v>#VALUE!</v>
      </c>
      <c r="R2430" s="38" t="e">
        <f>_xlfn.XLOOKUP(Tabla1[[#This Row],[Ean Normalizado]],tabla_consumos[EAN],tabla_consumos[UM])</f>
        <v>#VALUE!</v>
      </c>
      <c r="S2430" s="38" t="e">
        <f>Tabla1[[#This Row],[StockDisp]]*Tabla1[[#This Row],[UM producto]]</f>
        <v>#VALUE!</v>
      </c>
    </row>
    <row r="2431" spans="1:19" x14ac:dyDescent="0.35">
      <c r="A2431" s="5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6"/>
      <c r="P2431" s="23" t="e">
        <f>TRIM(Tabla1[[#This Row],[Articulo]])</f>
        <v>#VALUE!</v>
      </c>
      <c r="Q2431" s="23" t="e">
        <f>_xlfn.XLOOKUP(Tabla1[[#This Row],[Ean Normalizado]],Consumos!A:A,Consumos!E:E)</f>
        <v>#VALUE!</v>
      </c>
      <c r="R2431" s="38" t="e">
        <f>_xlfn.XLOOKUP(Tabla1[[#This Row],[Ean Normalizado]],tabla_consumos[EAN],tabla_consumos[UM])</f>
        <v>#VALUE!</v>
      </c>
      <c r="S2431" s="38" t="e">
        <f>Tabla1[[#This Row],[StockDisp]]*Tabla1[[#This Row],[UM producto]]</f>
        <v>#VALUE!</v>
      </c>
    </row>
    <row r="2432" spans="1:19" x14ac:dyDescent="0.35">
      <c r="A2432" s="5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6"/>
      <c r="P2432" s="23" t="e">
        <f>TRIM(Tabla1[[#This Row],[Articulo]])</f>
        <v>#VALUE!</v>
      </c>
      <c r="Q2432" s="23" t="e">
        <f>_xlfn.XLOOKUP(Tabla1[[#This Row],[Ean Normalizado]],Consumos!A:A,Consumos!E:E)</f>
        <v>#VALUE!</v>
      </c>
      <c r="R2432" s="38" t="e">
        <f>_xlfn.XLOOKUP(Tabla1[[#This Row],[Ean Normalizado]],tabla_consumos[EAN],tabla_consumos[UM])</f>
        <v>#VALUE!</v>
      </c>
      <c r="S2432" s="38" t="e">
        <f>Tabla1[[#This Row],[StockDisp]]*Tabla1[[#This Row],[UM producto]]</f>
        <v>#VALUE!</v>
      </c>
    </row>
    <row r="2433" spans="1:19" x14ac:dyDescent="0.35">
      <c r="A2433" s="5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6"/>
      <c r="P2433" s="23" t="e">
        <f>TRIM(Tabla1[[#This Row],[Articulo]])</f>
        <v>#VALUE!</v>
      </c>
      <c r="Q2433" s="23" t="e">
        <f>_xlfn.XLOOKUP(Tabla1[[#This Row],[Ean Normalizado]],Consumos!A:A,Consumos!E:E)</f>
        <v>#VALUE!</v>
      </c>
      <c r="R2433" s="38" t="e">
        <f>_xlfn.XLOOKUP(Tabla1[[#This Row],[Ean Normalizado]],tabla_consumos[EAN],tabla_consumos[UM])</f>
        <v>#VALUE!</v>
      </c>
      <c r="S2433" s="38" t="e">
        <f>Tabla1[[#This Row],[StockDisp]]*Tabla1[[#This Row],[UM producto]]</f>
        <v>#VALUE!</v>
      </c>
    </row>
    <row r="2434" spans="1:19" x14ac:dyDescent="0.35">
      <c r="A2434" s="5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6"/>
      <c r="P2434" s="23" t="e">
        <f>TRIM(Tabla1[[#This Row],[Articulo]])</f>
        <v>#VALUE!</v>
      </c>
      <c r="Q2434" s="23" t="e">
        <f>_xlfn.XLOOKUP(Tabla1[[#This Row],[Ean Normalizado]],Consumos!A:A,Consumos!E:E)</f>
        <v>#VALUE!</v>
      </c>
      <c r="R2434" s="38" t="e">
        <f>_xlfn.XLOOKUP(Tabla1[[#This Row],[Ean Normalizado]],tabla_consumos[EAN],tabla_consumos[UM])</f>
        <v>#VALUE!</v>
      </c>
      <c r="S2434" s="38" t="e">
        <f>Tabla1[[#This Row],[StockDisp]]*Tabla1[[#This Row],[UM producto]]</f>
        <v>#VALUE!</v>
      </c>
    </row>
    <row r="2435" spans="1:19" x14ac:dyDescent="0.35">
      <c r="A2435" s="5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6"/>
      <c r="P2435" s="23" t="e">
        <f>TRIM(Tabla1[[#This Row],[Articulo]])</f>
        <v>#VALUE!</v>
      </c>
      <c r="Q2435" s="23" t="e">
        <f>_xlfn.XLOOKUP(Tabla1[[#This Row],[Ean Normalizado]],Consumos!A:A,Consumos!E:E)</f>
        <v>#VALUE!</v>
      </c>
      <c r="R2435" s="38" t="e">
        <f>_xlfn.XLOOKUP(Tabla1[[#This Row],[Ean Normalizado]],tabla_consumos[EAN],tabla_consumos[UM])</f>
        <v>#VALUE!</v>
      </c>
      <c r="S2435" s="38" t="e">
        <f>Tabla1[[#This Row],[StockDisp]]*Tabla1[[#This Row],[UM producto]]</f>
        <v>#VALUE!</v>
      </c>
    </row>
    <row r="2436" spans="1:19" x14ac:dyDescent="0.35">
      <c r="A2436" s="5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6"/>
      <c r="P2436" s="23" t="e">
        <f>TRIM(Tabla1[[#This Row],[Articulo]])</f>
        <v>#VALUE!</v>
      </c>
      <c r="Q2436" s="23" t="e">
        <f>_xlfn.XLOOKUP(Tabla1[[#This Row],[Ean Normalizado]],Consumos!A:A,Consumos!E:E)</f>
        <v>#VALUE!</v>
      </c>
      <c r="R2436" s="38" t="e">
        <f>_xlfn.XLOOKUP(Tabla1[[#This Row],[Ean Normalizado]],tabla_consumos[EAN],tabla_consumos[UM])</f>
        <v>#VALUE!</v>
      </c>
      <c r="S2436" s="38" t="e">
        <f>Tabla1[[#This Row],[StockDisp]]*Tabla1[[#This Row],[UM producto]]</f>
        <v>#VALUE!</v>
      </c>
    </row>
    <row r="2437" spans="1:19" x14ac:dyDescent="0.35">
      <c r="A2437" s="5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6"/>
      <c r="P2437" s="23" t="e">
        <f>TRIM(Tabla1[[#This Row],[Articulo]])</f>
        <v>#VALUE!</v>
      </c>
      <c r="Q2437" s="23" t="e">
        <f>_xlfn.XLOOKUP(Tabla1[[#This Row],[Ean Normalizado]],Consumos!A:A,Consumos!E:E)</f>
        <v>#VALUE!</v>
      </c>
      <c r="R2437" s="38" t="e">
        <f>_xlfn.XLOOKUP(Tabla1[[#This Row],[Ean Normalizado]],tabla_consumos[EAN],tabla_consumos[UM])</f>
        <v>#VALUE!</v>
      </c>
      <c r="S2437" s="38" t="e">
        <f>Tabla1[[#This Row],[StockDisp]]*Tabla1[[#This Row],[UM producto]]</f>
        <v>#VALUE!</v>
      </c>
    </row>
    <row r="2438" spans="1:19" x14ac:dyDescent="0.35">
      <c r="A2438" s="5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6"/>
      <c r="P2438" s="23" t="e">
        <f>TRIM(Tabla1[[#This Row],[Articulo]])</f>
        <v>#VALUE!</v>
      </c>
      <c r="Q2438" s="23" t="e">
        <f>_xlfn.XLOOKUP(Tabla1[[#This Row],[Ean Normalizado]],Consumos!A:A,Consumos!E:E)</f>
        <v>#VALUE!</v>
      </c>
      <c r="R2438" s="38" t="e">
        <f>_xlfn.XLOOKUP(Tabla1[[#This Row],[Ean Normalizado]],tabla_consumos[EAN],tabla_consumos[UM])</f>
        <v>#VALUE!</v>
      </c>
      <c r="S2438" s="38" t="e">
        <f>Tabla1[[#This Row],[StockDisp]]*Tabla1[[#This Row],[UM producto]]</f>
        <v>#VALUE!</v>
      </c>
    </row>
    <row r="2439" spans="1:19" x14ac:dyDescent="0.35">
      <c r="A2439" s="5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6"/>
      <c r="P2439" s="23" t="e">
        <f>TRIM(Tabla1[[#This Row],[Articulo]])</f>
        <v>#VALUE!</v>
      </c>
      <c r="Q2439" s="23" t="e">
        <f>_xlfn.XLOOKUP(Tabla1[[#This Row],[Ean Normalizado]],Consumos!A:A,Consumos!E:E)</f>
        <v>#VALUE!</v>
      </c>
      <c r="R2439" s="38" t="e">
        <f>_xlfn.XLOOKUP(Tabla1[[#This Row],[Ean Normalizado]],tabla_consumos[EAN],tabla_consumos[UM])</f>
        <v>#VALUE!</v>
      </c>
      <c r="S2439" s="38" t="e">
        <f>Tabla1[[#This Row],[StockDisp]]*Tabla1[[#This Row],[UM producto]]</f>
        <v>#VALUE!</v>
      </c>
    </row>
    <row r="2440" spans="1:19" x14ac:dyDescent="0.35">
      <c r="A2440" s="5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6"/>
      <c r="P2440" s="23" t="e">
        <f>TRIM(Tabla1[[#This Row],[Articulo]])</f>
        <v>#VALUE!</v>
      </c>
      <c r="Q2440" s="23" t="e">
        <f>_xlfn.XLOOKUP(Tabla1[[#This Row],[Ean Normalizado]],Consumos!A:A,Consumos!E:E)</f>
        <v>#VALUE!</v>
      </c>
      <c r="R2440" s="38" t="e">
        <f>_xlfn.XLOOKUP(Tabla1[[#This Row],[Ean Normalizado]],tabla_consumos[EAN],tabla_consumos[UM])</f>
        <v>#VALUE!</v>
      </c>
      <c r="S2440" s="38" t="e">
        <f>Tabla1[[#This Row],[StockDisp]]*Tabla1[[#This Row],[UM producto]]</f>
        <v>#VALUE!</v>
      </c>
    </row>
    <row r="2441" spans="1:19" x14ac:dyDescent="0.35">
      <c r="A2441" s="5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6"/>
      <c r="P2441" s="23" t="e">
        <f>TRIM(Tabla1[[#This Row],[Articulo]])</f>
        <v>#VALUE!</v>
      </c>
      <c r="Q2441" s="23" t="e">
        <f>_xlfn.XLOOKUP(Tabla1[[#This Row],[Ean Normalizado]],Consumos!A:A,Consumos!E:E)</f>
        <v>#VALUE!</v>
      </c>
      <c r="R2441" s="38" t="e">
        <f>_xlfn.XLOOKUP(Tabla1[[#This Row],[Ean Normalizado]],tabla_consumos[EAN],tabla_consumos[UM])</f>
        <v>#VALUE!</v>
      </c>
      <c r="S2441" s="38" t="e">
        <f>Tabla1[[#This Row],[StockDisp]]*Tabla1[[#This Row],[UM producto]]</f>
        <v>#VALUE!</v>
      </c>
    </row>
    <row r="2442" spans="1:19" x14ac:dyDescent="0.35">
      <c r="A2442" s="5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6"/>
      <c r="P2442" s="23" t="e">
        <f>TRIM(Tabla1[[#This Row],[Articulo]])</f>
        <v>#VALUE!</v>
      </c>
      <c r="Q2442" s="23" t="e">
        <f>_xlfn.XLOOKUP(Tabla1[[#This Row],[Ean Normalizado]],Consumos!A:A,Consumos!E:E)</f>
        <v>#VALUE!</v>
      </c>
      <c r="R2442" s="38" t="e">
        <f>_xlfn.XLOOKUP(Tabla1[[#This Row],[Ean Normalizado]],tabla_consumos[EAN],tabla_consumos[UM])</f>
        <v>#VALUE!</v>
      </c>
      <c r="S2442" s="38" t="e">
        <f>Tabla1[[#This Row],[StockDisp]]*Tabla1[[#This Row],[UM producto]]</f>
        <v>#VALUE!</v>
      </c>
    </row>
    <row r="2443" spans="1:19" x14ac:dyDescent="0.35">
      <c r="A2443" s="5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6"/>
      <c r="P2443" s="23" t="e">
        <f>TRIM(Tabla1[[#This Row],[Articulo]])</f>
        <v>#VALUE!</v>
      </c>
      <c r="Q2443" s="23" t="e">
        <f>_xlfn.XLOOKUP(Tabla1[[#This Row],[Ean Normalizado]],Consumos!A:A,Consumos!E:E)</f>
        <v>#VALUE!</v>
      </c>
      <c r="R2443" s="38" t="e">
        <f>_xlfn.XLOOKUP(Tabla1[[#This Row],[Ean Normalizado]],tabla_consumos[EAN],tabla_consumos[UM])</f>
        <v>#VALUE!</v>
      </c>
      <c r="S2443" s="38" t="e">
        <f>Tabla1[[#This Row],[StockDisp]]*Tabla1[[#This Row],[UM producto]]</f>
        <v>#VALUE!</v>
      </c>
    </row>
    <row r="2444" spans="1:19" x14ac:dyDescent="0.35">
      <c r="A2444" s="5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6"/>
      <c r="P2444" s="23" t="e">
        <f>TRIM(Tabla1[[#This Row],[Articulo]])</f>
        <v>#VALUE!</v>
      </c>
      <c r="Q2444" s="23" t="e">
        <f>_xlfn.XLOOKUP(Tabla1[[#This Row],[Ean Normalizado]],Consumos!A:A,Consumos!E:E)</f>
        <v>#VALUE!</v>
      </c>
      <c r="R2444" s="38" t="e">
        <f>_xlfn.XLOOKUP(Tabla1[[#This Row],[Ean Normalizado]],tabla_consumos[EAN],tabla_consumos[UM])</f>
        <v>#VALUE!</v>
      </c>
      <c r="S2444" s="38" t="e">
        <f>Tabla1[[#This Row],[StockDisp]]*Tabla1[[#This Row],[UM producto]]</f>
        <v>#VALUE!</v>
      </c>
    </row>
    <row r="2445" spans="1:19" x14ac:dyDescent="0.35">
      <c r="A2445" s="5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6"/>
      <c r="P2445" s="23" t="e">
        <f>TRIM(Tabla1[[#This Row],[Articulo]])</f>
        <v>#VALUE!</v>
      </c>
      <c r="Q2445" s="23" t="e">
        <f>_xlfn.XLOOKUP(Tabla1[[#This Row],[Ean Normalizado]],Consumos!A:A,Consumos!E:E)</f>
        <v>#VALUE!</v>
      </c>
      <c r="R2445" s="38" t="e">
        <f>_xlfn.XLOOKUP(Tabla1[[#This Row],[Ean Normalizado]],tabla_consumos[EAN],tabla_consumos[UM])</f>
        <v>#VALUE!</v>
      </c>
      <c r="S2445" s="38" t="e">
        <f>Tabla1[[#This Row],[StockDisp]]*Tabla1[[#This Row],[UM producto]]</f>
        <v>#VALUE!</v>
      </c>
    </row>
    <row r="2446" spans="1:19" x14ac:dyDescent="0.35">
      <c r="A2446" s="5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6"/>
      <c r="P2446" s="23" t="e">
        <f>TRIM(Tabla1[[#This Row],[Articulo]])</f>
        <v>#VALUE!</v>
      </c>
      <c r="Q2446" s="23" t="e">
        <f>_xlfn.XLOOKUP(Tabla1[[#This Row],[Ean Normalizado]],Consumos!A:A,Consumos!E:E)</f>
        <v>#VALUE!</v>
      </c>
      <c r="R2446" s="38" t="e">
        <f>_xlfn.XLOOKUP(Tabla1[[#This Row],[Ean Normalizado]],tabla_consumos[EAN],tabla_consumos[UM])</f>
        <v>#VALUE!</v>
      </c>
      <c r="S2446" s="38" t="e">
        <f>Tabla1[[#This Row],[StockDisp]]*Tabla1[[#This Row],[UM producto]]</f>
        <v>#VALUE!</v>
      </c>
    </row>
    <row r="2447" spans="1:19" x14ac:dyDescent="0.35">
      <c r="A2447" s="5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6"/>
      <c r="P2447" s="23" t="e">
        <f>TRIM(Tabla1[[#This Row],[Articulo]])</f>
        <v>#VALUE!</v>
      </c>
      <c r="Q2447" s="23" t="e">
        <f>_xlfn.XLOOKUP(Tabla1[[#This Row],[Ean Normalizado]],Consumos!A:A,Consumos!E:E)</f>
        <v>#VALUE!</v>
      </c>
      <c r="R2447" s="38" t="e">
        <f>_xlfn.XLOOKUP(Tabla1[[#This Row],[Ean Normalizado]],tabla_consumos[EAN],tabla_consumos[UM])</f>
        <v>#VALUE!</v>
      </c>
      <c r="S2447" s="38" t="e">
        <f>Tabla1[[#This Row],[StockDisp]]*Tabla1[[#This Row],[UM producto]]</f>
        <v>#VALUE!</v>
      </c>
    </row>
    <row r="2448" spans="1:19" x14ac:dyDescent="0.35">
      <c r="A2448" s="5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6"/>
      <c r="P2448" s="23" t="e">
        <f>TRIM(Tabla1[[#This Row],[Articulo]])</f>
        <v>#VALUE!</v>
      </c>
      <c r="Q2448" s="23" t="e">
        <f>_xlfn.XLOOKUP(Tabla1[[#This Row],[Ean Normalizado]],Consumos!A:A,Consumos!E:E)</f>
        <v>#VALUE!</v>
      </c>
      <c r="R2448" s="38" t="e">
        <f>_xlfn.XLOOKUP(Tabla1[[#This Row],[Ean Normalizado]],tabla_consumos[EAN],tabla_consumos[UM])</f>
        <v>#VALUE!</v>
      </c>
      <c r="S2448" s="38" t="e">
        <f>Tabla1[[#This Row],[StockDisp]]*Tabla1[[#This Row],[UM producto]]</f>
        <v>#VALUE!</v>
      </c>
    </row>
    <row r="2449" spans="1:19" x14ac:dyDescent="0.35">
      <c r="A2449" s="5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6"/>
      <c r="P2449" s="23" t="e">
        <f>TRIM(Tabla1[[#This Row],[Articulo]])</f>
        <v>#VALUE!</v>
      </c>
      <c r="Q2449" s="23" t="e">
        <f>_xlfn.XLOOKUP(Tabla1[[#This Row],[Ean Normalizado]],Consumos!A:A,Consumos!E:E)</f>
        <v>#VALUE!</v>
      </c>
      <c r="R2449" s="38" t="e">
        <f>_xlfn.XLOOKUP(Tabla1[[#This Row],[Ean Normalizado]],tabla_consumos[EAN],tabla_consumos[UM])</f>
        <v>#VALUE!</v>
      </c>
      <c r="S2449" s="38" t="e">
        <f>Tabla1[[#This Row],[StockDisp]]*Tabla1[[#This Row],[UM producto]]</f>
        <v>#VALUE!</v>
      </c>
    </row>
    <row r="2450" spans="1:19" x14ac:dyDescent="0.35">
      <c r="A2450" s="5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6"/>
      <c r="P2450" s="23" t="e">
        <f>TRIM(Tabla1[[#This Row],[Articulo]])</f>
        <v>#VALUE!</v>
      </c>
      <c r="Q2450" s="23" t="e">
        <f>_xlfn.XLOOKUP(Tabla1[[#This Row],[Ean Normalizado]],Consumos!A:A,Consumos!E:E)</f>
        <v>#VALUE!</v>
      </c>
      <c r="R2450" s="38" t="e">
        <f>_xlfn.XLOOKUP(Tabla1[[#This Row],[Ean Normalizado]],tabla_consumos[EAN],tabla_consumos[UM])</f>
        <v>#VALUE!</v>
      </c>
      <c r="S2450" s="38" t="e">
        <f>Tabla1[[#This Row],[StockDisp]]*Tabla1[[#This Row],[UM producto]]</f>
        <v>#VALUE!</v>
      </c>
    </row>
    <row r="2451" spans="1:19" x14ac:dyDescent="0.35">
      <c r="A2451" s="5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6"/>
      <c r="P2451" s="23" t="e">
        <f>TRIM(Tabla1[[#This Row],[Articulo]])</f>
        <v>#VALUE!</v>
      </c>
      <c r="Q2451" s="23" t="e">
        <f>_xlfn.XLOOKUP(Tabla1[[#This Row],[Ean Normalizado]],Consumos!A:A,Consumos!E:E)</f>
        <v>#VALUE!</v>
      </c>
      <c r="R2451" s="38" t="e">
        <f>_xlfn.XLOOKUP(Tabla1[[#This Row],[Ean Normalizado]],tabla_consumos[EAN],tabla_consumos[UM])</f>
        <v>#VALUE!</v>
      </c>
      <c r="S2451" s="38" t="e">
        <f>Tabla1[[#This Row],[StockDisp]]*Tabla1[[#This Row],[UM producto]]</f>
        <v>#VALUE!</v>
      </c>
    </row>
    <row r="2452" spans="1:19" x14ac:dyDescent="0.35">
      <c r="A2452" s="5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6"/>
      <c r="P2452" s="23" t="e">
        <f>TRIM(Tabla1[[#This Row],[Articulo]])</f>
        <v>#VALUE!</v>
      </c>
      <c r="Q2452" s="23" t="e">
        <f>_xlfn.XLOOKUP(Tabla1[[#This Row],[Ean Normalizado]],Consumos!A:A,Consumos!E:E)</f>
        <v>#VALUE!</v>
      </c>
      <c r="R2452" s="38" t="e">
        <f>_xlfn.XLOOKUP(Tabla1[[#This Row],[Ean Normalizado]],tabla_consumos[EAN],tabla_consumos[UM])</f>
        <v>#VALUE!</v>
      </c>
      <c r="S2452" s="38" t="e">
        <f>Tabla1[[#This Row],[StockDisp]]*Tabla1[[#This Row],[UM producto]]</f>
        <v>#VALUE!</v>
      </c>
    </row>
    <row r="2453" spans="1:19" x14ac:dyDescent="0.35">
      <c r="A2453" s="5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6"/>
      <c r="P2453" s="23" t="e">
        <f>TRIM(Tabla1[[#This Row],[Articulo]])</f>
        <v>#VALUE!</v>
      </c>
      <c r="Q2453" s="23" t="e">
        <f>_xlfn.XLOOKUP(Tabla1[[#This Row],[Ean Normalizado]],Consumos!A:A,Consumos!E:E)</f>
        <v>#VALUE!</v>
      </c>
      <c r="R2453" s="38" t="e">
        <f>_xlfn.XLOOKUP(Tabla1[[#This Row],[Ean Normalizado]],tabla_consumos[EAN],tabla_consumos[UM])</f>
        <v>#VALUE!</v>
      </c>
      <c r="S2453" s="38" t="e">
        <f>Tabla1[[#This Row],[StockDisp]]*Tabla1[[#This Row],[UM producto]]</f>
        <v>#VALUE!</v>
      </c>
    </row>
    <row r="2454" spans="1:19" x14ac:dyDescent="0.35">
      <c r="A2454" s="5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6"/>
      <c r="P2454" s="23" t="e">
        <f>TRIM(Tabla1[[#This Row],[Articulo]])</f>
        <v>#VALUE!</v>
      </c>
      <c r="Q2454" s="23" t="e">
        <f>_xlfn.XLOOKUP(Tabla1[[#This Row],[Ean Normalizado]],Consumos!A:A,Consumos!E:E)</f>
        <v>#VALUE!</v>
      </c>
      <c r="R2454" s="38" t="e">
        <f>_xlfn.XLOOKUP(Tabla1[[#This Row],[Ean Normalizado]],tabla_consumos[EAN],tabla_consumos[UM])</f>
        <v>#VALUE!</v>
      </c>
      <c r="S2454" s="38" t="e">
        <f>Tabla1[[#This Row],[StockDisp]]*Tabla1[[#This Row],[UM producto]]</f>
        <v>#VALUE!</v>
      </c>
    </row>
    <row r="2455" spans="1:19" x14ac:dyDescent="0.35">
      <c r="A2455" s="5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6"/>
      <c r="P2455" s="23" t="e">
        <f>TRIM(Tabla1[[#This Row],[Articulo]])</f>
        <v>#VALUE!</v>
      </c>
      <c r="Q2455" s="23" t="e">
        <f>_xlfn.XLOOKUP(Tabla1[[#This Row],[Ean Normalizado]],Consumos!A:A,Consumos!E:E)</f>
        <v>#VALUE!</v>
      </c>
      <c r="R2455" s="38" t="e">
        <f>_xlfn.XLOOKUP(Tabla1[[#This Row],[Ean Normalizado]],tabla_consumos[EAN],tabla_consumos[UM])</f>
        <v>#VALUE!</v>
      </c>
      <c r="S2455" s="38" t="e">
        <f>Tabla1[[#This Row],[StockDisp]]*Tabla1[[#This Row],[UM producto]]</f>
        <v>#VALUE!</v>
      </c>
    </row>
    <row r="2456" spans="1:19" x14ac:dyDescent="0.35">
      <c r="A2456" s="5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6"/>
      <c r="P2456" s="23" t="e">
        <f>TRIM(Tabla1[[#This Row],[Articulo]])</f>
        <v>#VALUE!</v>
      </c>
      <c r="Q2456" s="23" t="e">
        <f>_xlfn.XLOOKUP(Tabla1[[#This Row],[Ean Normalizado]],Consumos!A:A,Consumos!E:E)</f>
        <v>#VALUE!</v>
      </c>
      <c r="R2456" s="38" t="e">
        <f>_xlfn.XLOOKUP(Tabla1[[#This Row],[Ean Normalizado]],tabla_consumos[EAN],tabla_consumos[UM])</f>
        <v>#VALUE!</v>
      </c>
      <c r="S2456" s="38" t="e">
        <f>Tabla1[[#This Row],[StockDisp]]*Tabla1[[#This Row],[UM producto]]</f>
        <v>#VALUE!</v>
      </c>
    </row>
    <row r="2457" spans="1:19" x14ac:dyDescent="0.35">
      <c r="A2457" s="5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6"/>
      <c r="P2457" s="23" t="e">
        <f>TRIM(Tabla1[[#This Row],[Articulo]])</f>
        <v>#VALUE!</v>
      </c>
      <c r="Q2457" s="23" t="e">
        <f>_xlfn.XLOOKUP(Tabla1[[#This Row],[Ean Normalizado]],Consumos!A:A,Consumos!E:E)</f>
        <v>#VALUE!</v>
      </c>
      <c r="R2457" s="38" t="e">
        <f>_xlfn.XLOOKUP(Tabla1[[#This Row],[Ean Normalizado]],tabla_consumos[EAN],tabla_consumos[UM])</f>
        <v>#VALUE!</v>
      </c>
      <c r="S2457" s="38" t="e">
        <f>Tabla1[[#This Row],[StockDisp]]*Tabla1[[#This Row],[UM producto]]</f>
        <v>#VALUE!</v>
      </c>
    </row>
    <row r="2458" spans="1:19" x14ac:dyDescent="0.35">
      <c r="A2458" s="5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6"/>
      <c r="P2458" s="23" t="e">
        <f>TRIM(Tabla1[[#This Row],[Articulo]])</f>
        <v>#VALUE!</v>
      </c>
      <c r="Q2458" s="23" t="e">
        <f>_xlfn.XLOOKUP(Tabla1[[#This Row],[Ean Normalizado]],Consumos!A:A,Consumos!E:E)</f>
        <v>#VALUE!</v>
      </c>
      <c r="R2458" s="38" t="e">
        <f>_xlfn.XLOOKUP(Tabla1[[#This Row],[Ean Normalizado]],tabla_consumos[EAN],tabla_consumos[UM])</f>
        <v>#VALUE!</v>
      </c>
      <c r="S2458" s="38" t="e">
        <f>Tabla1[[#This Row],[StockDisp]]*Tabla1[[#This Row],[UM producto]]</f>
        <v>#VALUE!</v>
      </c>
    </row>
    <row r="2459" spans="1:19" x14ac:dyDescent="0.35">
      <c r="A2459" s="5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6"/>
      <c r="P2459" s="23" t="e">
        <f>TRIM(Tabla1[[#This Row],[Articulo]])</f>
        <v>#VALUE!</v>
      </c>
      <c r="Q2459" s="23" t="e">
        <f>_xlfn.XLOOKUP(Tabla1[[#This Row],[Ean Normalizado]],Consumos!A:A,Consumos!E:E)</f>
        <v>#VALUE!</v>
      </c>
      <c r="R2459" s="38" t="e">
        <f>_xlfn.XLOOKUP(Tabla1[[#This Row],[Ean Normalizado]],tabla_consumos[EAN],tabla_consumos[UM])</f>
        <v>#VALUE!</v>
      </c>
      <c r="S2459" s="38" t="e">
        <f>Tabla1[[#This Row],[StockDisp]]*Tabla1[[#This Row],[UM producto]]</f>
        <v>#VALUE!</v>
      </c>
    </row>
    <row r="2460" spans="1:19" x14ac:dyDescent="0.35">
      <c r="A2460" s="5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6"/>
      <c r="P2460" s="23" t="e">
        <f>TRIM(Tabla1[[#This Row],[Articulo]])</f>
        <v>#VALUE!</v>
      </c>
      <c r="Q2460" s="23" t="e">
        <f>_xlfn.XLOOKUP(Tabla1[[#This Row],[Ean Normalizado]],Consumos!A:A,Consumos!E:E)</f>
        <v>#VALUE!</v>
      </c>
      <c r="R2460" s="38" t="e">
        <f>_xlfn.XLOOKUP(Tabla1[[#This Row],[Ean Normalizado]],tabla_consumos[EAN],tabla_consumos[UM])</f>
        <v>#VALUE!</v>
      </c>
      <c r="S2460" s="38" t="e">
        <f>Tabla1[[#This Row],[StockDisp]]*Tabla1[[#This Row],[UM producto]]</f>
        <v>#VALUE!</v>
      </c>
    </row>
    <row r="2461" spans="1:19" x14ac:dyDescent="0.35">
      <c r="A2461" s="5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6"/>
      <c r="P2461" s="23" t="e">
        <f>TRIM(Tabla1[[#This Row],[Articulo]])</f>
        <v>#VALUE!</v>
      </c>
      <c r="Q2461" s="23" t="e">
        <f>_xlfn.XLOOKUP(Tabla1[[#This Row],[Ean Normalizado]],Consumos!A:A,Consumos!E:E)</f>
        <v>#VALUE!</v>
      </c>
      <c r="R2461" s="38" t="e">
        <f>_xlfn.XLOOKUP(Tabla1[[#This Row],[Ean Normalizado]],tabla_consumos[EAN],tabla_consumos[UM])</f>
        <v>#VALUE!</v>
      </c>
      <c r="S2461" s="38" t="e">
        <f>Tabla1[[#This Row],[StockDisp]]*Tabla1[[#This Row],[UM producto]]</f>
        <v>#VALUE!</v>
      </c>
    </row>
    <row r="2462" spans="1:19" x14ac:dyDescent="0.35">
      <c r="A2462" s="5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6"/>
      <c r="P2462" s="23" t="e">
        <f>TRIM(Tabla1[[#This Row],[Articulo]])</f>
        <v>#VALUE!</v>
      </c>
      <c r="Q2462" s="23" t="e">
        <f>_xlfn.XLOOKUP(Tabla1[[#This Row],[Ean Normalizado]],Consumos!A:A,Consumos!E:E)</f>
        <v>#VALUE!</v>
      </c>
      <c r="R2462" s="38" t="e">
        <f>_xlfn.XLOOKUP(Tabla1[[#This Row],[Ean Normalizado]],tabla_consumos[EAN],tabla_consumos[UM])</f>
        <v>#VALUE!</v>
      </c>
      <c r="S2462" s="38" t="e">
        <f>Tabla1[[#This Row],[StockDisp]]*Tabla1[[#This Row],[UM producto]]</f>
        <v>#VALUE!</v>
      </c>
    </row>
    <row r="2463" spans="1:19" x14ac:dyDescent="0.35">
      <c r="A2463" s="5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6"/>
      <c r="P2463" s="23" t="e">
        <f>TRIM(Tabla1[[#This Row],[Articulo]])</f>
        <v>#VALUE!</v>
      </c>
      <c r="Q2463" s="23" t="e">
        <f>_xlfn.XLOOKUP(Tabla1[[#This Row],[Ean Normalizado]],Consumos!A:A,Consumos!E:E)</f>
        <v>#VALUE!</v>
      </c>
      <c r="R2463" s="38" t="e">
        <f>_xlfn.XLOOKUP(Tabla1[[#This Row],[Ean Normalizado]],tabla_consumos[EAN],tabla_consumos[UM])</f>
        <v>#VALUE!</v>
      </c>
      <c r="S2463" s="38" t="e">
        <f>Tabla1[[#This Row],[StockDisp]]*Tabla1[[#This Row],[UM producto]]</f>
        <v>#VALUE!</v>
      </c>
    </row>
    <row r="2464" spans="1:19" x14ac:dyDescent="0.35">
      <c r="A2464" s="5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6"/>
      <c r="P2464" s="23" t="e">
        <f>TRIM(Tabla1[[#This Row],[Articulo]])</f>
        <v>#VALUE!</v>
      </c>
      <c r="Q2464" s="23" t="e">
        <f>_xlfn.XLOOKUP(Tabla1[[#This Row],[Ean Normalizado]],Consumos!A:A,Consumos!E:E)</f>
        <v>#VALUE!</v>
      </c>
      <c r="R2464" s="38" t="e">
        <f>_xlfn.XLOOKUP(Tabla1[[#This Row],[Ean Normalizado]],tabla_consumos[EAN],tabla_consumos[UM])</f>
        <v>#VALUE!</v>
      </c>
      <c r="S2464" s="38" t="e">
        <f>Tabla1[[#This Row],[StockDisp]]*Tabla1[[#This Row],[UM producto]]</f>
        <v>#VALUE!</v>
      </c>
    </row>
    <row r="2465" spans="1:19" x14ac:dyDescent="0.35">
      <c r="A2465" s="5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6"/>
      <c r="P2465" s="23" t="e">
        <f>TRIM(Tabla1[[#This Row],[Articulo]])</f>
        <v>#VALUE!</v>
      </c>
      <c r="Q2465" s="23" t="e">
        <f>_xlfn.XLOOKUP(Tabla1[[#This Row],[Ean Normalizado]],Consumos!A:A,Consumos!E:E)</f>
        <v>#VALUE!</v>
      </c>
      <c r="R2465" s="38" t="e">
        <f>_xlfn.XLOOKUP(Tabla1[[#This Row],[Ean Normalizado]],tabla_consumos[EAN],tabla_consumos[UM])</f>
        <v>#VALUE!</v>
      </c>
      <c r="S2465" s="38" t="e">
        <f>Tabla1[[#This Row],[StockDisp]]*Tabla1[[#This Row],[UM producto]]</f>
        <v>#VALUE!</v>
      </c>
    </row>
    <row r="2466" spans="1:19" x14ac:dyDescent="0.35">
      <c r="A2466" s="5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6"/>
      <c r="P2466" s="23" t="e">
        <f>TRIM(Tabla1[[#This Row],[Articulo]])</f>
        <v>#VALUE!</v>
      </c>
      <c r="Q2466" s="23" t="e">
        <f>_xlfn.XLOOKUP(Tabla1[[#This Row],[Ean Normalizado]],Consumos!A:A,Consumos!E:E)</f>
        <v>#VALUE!</v>
      </c>
      <c r="R2466" s="38" t="e">
        <f>_xlfn.XLOOKUP(Tabla1[[#This Row],[Ean Normalizado]],tabla_consumos[EAN],tabla_consumos[UM])</f>
        <v>#VALUE!</v>
      </c>
      <c r="S2466" s="38" t="e">
        <f>Tabla1[[#This Row],[StockDisp]]*Tabla1[[#This Row],[UM producto]]</f>
        <v>#VALUE!</v>
      </c>
    </row>
    <row r="2467" spans="1:19" x14ac:dyDescent="0.35">
      <c r="A2467" s="5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6"/>
      <c r="P2467" s="23" t="e">
        <f>TRIM(Tabla1[[#This Row],[Articulo]])</f>
        <v>#VALUE!</v>
      </c>
      <c r="Q2467" s="23" t="e">
        <f>_xlfn.XLOOKUP(Tabla1[[#This Row],[Ean Normalizado]],Consumos!A:A,Consumos!E:E)</f>
        <v>#VALUE!</v>
      </c>
      <c r="R2467" s="38" t="e">
        <f>_xlfn.XLOOKUP(Tabla1[[#This Row],[Ean Normalizado]],tabla_consumos[EAN],tabla_consumos[UM])</f>
        <v>#VALUE!</v>
      </c>
      <c r="S2467" s="38" t="e">
        <f>Tabla1[[#This Row],[StockDisp]]*Tabla1[[#This Row],[UM producto]]</f>
        <v>#VALUE!</v>
      </c>
    </row>
    <row r="2468" spans="1:19" x14ac:dyDescent="0.35">
      <c r="A2468" s="5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6"/>
      <c r="P2468" s="23" t="e">
        <f>TRIM(Tabla1[[#This Row],[Articulo]])</f>
        <v>#VALUE!</v>
      </c>
      <c r="Q2468" s="23" t="e">
        <f>_xlfn.XLOOKUP(Tabla1[[#This Row],[Ean Normalizado]],Consumos!A:A,Consumos!E:E)</f>
        <v>#VALUE!</v>
      </c>
      <c r="R2468" s="38" t="e">
        <f>_xlfn.XLOOKUP(Tabla1[[#This Row],[Ean Normalizado]],tabla_consumos[EAN],tabla_consumos[UM])</f>
        <v>#VALUE!</v>
      </c>
      <c r="S2468" s="38" t="e">
        <f>Tabla1[[#This Row],[StockDisp]]*Tabla1[[#This Row],[UM producto]]</f>
        <v>#VALUE!</v>
      </c>
    </row>
    <row r="2469" spans="1:19" x14ac:dyDescent="0.35">
      <c r="A2469" s="5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6"/>
      <c r="P2469" s="23" t="e">
        <f>TRIM(Tabla1[[#This Row],[Articulo]])</f>
        <v>#VALUE!</v>
      </c>
      <c r="Q2469" s="23" t="e">
        <f>_xlfn.XLOOKUP(Tabla1[[#This Row],[Ean Normalizado]],Consumos!A:A,Consumos!E:E)</f>
        <v>#VALUE!</v>
      </c>
      <c r="R2469" s="38" t="e">
        <f>_xlfn.XLOOKUP(Tabla1[[#This Row],[Ean Normalizado]],tabla_consumos[EAN],tabla_consumos[UM])</f>
        <v>#VALUE!</v>
      </c>
      <c r="S2469" s="38" t="e">
        <f>Tabla1[[#This Row],[StockDisp]]*Tabla1[[#This Row],[UM producto]]</f>
        <v>#VALUE!</v>
      </c>
    </row>
    <row r="2470" spans="1:19" x14ac:dyDescent="0.35">
      <c r="A2470" s="5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6"/>
      <c r="P2470" s="23" t="e">
        <f>TRIM(Tabla1[[#This Row],[Articulo]])</f>
        <v>#VALUE!</v>
      </c>
      <c r="Q2470" s="23" t="e">
        <f>_xlfn.XLOOKUP(Tabla1[[#This Row],[Ean Normalizado]],Consumos!A:A,Consumos!E:E)</f>
        <v>#VALUE!</v>
      </c>
      <c r="R2470" s="38" t="e">
        <f>_xlfn.XLOOKUP(Tabla1[[#This Row],[Ean Normalizado]],tabla_consumos[EAN],tabla_consumos[UM])</f>
        <v>#VALUE!</v>
      </c>
      <c r="S2470" s="38" t="e">
        <f>Tabla1[[#This Row],[StockDisp]]*Tabla1[[#This Row],[UM producto]]</f>
        <v>#VALUE!</v>
      </c>
    </row>
    <row r="2471" spans="1:19" x14ac:dyDescent="0.35">
      <c r="A2471" s="5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6"/>
      <c r="P2471" s="23" t="e">
        <f>TRIM(Tabla1[[#This Row],[Articulo]])</f>
        <v>#VALUE!</v>
      </c>
      <c r="Q2471" s="23" t="e">
        <f>_xlfn.XLOOKUP(Tabla1[[#This Row],[Ean Normalizado]],Consumos!A:A,Consumos!E:E)</f>
        <v>#VALUE!</v>
      </c>
      <c r="R2471" s="38" t="e">
        <f>_xlfn.XLOOKUP(Tabla1[[#This Row],[Ean Normalizado]],tabla_consumos[EAN],tabla_consumos[UM])</f>
        <v>#VALUE!</v>
      </c>
      <c r="S2471" s="38" t="e">
        <f>Tabla1[[#This Row],[StockDisp]]*Tabla1[[#This Row],[UM producto]]</f>
        <v>#VALUE!</v>
      </c>
    </row>
    <row r="2472" spans="1:19" x14ac:dyDescent="0.35">
      <c r="A2472" s="5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6"/>
      <c r="P2472" s="23" t="e">
        <f>TRIM(Tabla1[[#This Row],[Articulo]])</f>
        <v>#VALUE!</v>
      </c>
      <c r="Q2472" s="23" t="e">
        <f>_xlfn.XLOOKUP(Tabla1[[#This Row],[Ean Normalizado]],Consumos!A:A,Consumos!E:E)</f>
        <v>#VALUE!</v>
      </c>
      <c r="R2472" s="38" t="e">
        <f>_xlfn.XLOOKUP(Tabla1[[#This Row],[Ean Normalizado]],tabla_consumos[EAN],tabla_consumos[UM])</f>
        <v>#VALUE!</v>
      </c>
      <c r="S2472" s="38" t="e">
        <f>Tabla1[[#This Row],[StockDisp]]*Tabla1[[#This Row],[UM producto]]</f>
        <v>#VALUE!</v>
      </c>
    </row>
    <row r="2473" spans="1:19" x14ac:dyDescent="0.35">
      <c r="A2473" s="5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6"/>
      <c r="P2473" s="23" t="e">
        <f>TRIM(Tabla1[[#This Row],[Articulo]])</f>
        <v>#VALUE!</v>
      </c>
      <c r="Q2473" s="23" t="e">
        <f>_xlfn.XLOOKUP(Tabla1[[#This Row],[Ean Normalizado]],Consumos!A:A,Consumos!E:E)</f>
        <v>#VALUE!</v>
      </c>
      <c r="R2473" s="38" t="e">
        <f>_xlfn.XLOOKUP(Tabla1[[#This Row],[Ean Normalizado]],tabla_consumos[EAN],tabla_consumos[UM])</f>
        <v>#VALUE!</v>
      </c>
      <c r="S2473" s="38" t="e">
        <f>Tabla1[[#This Row],[StockDisp]]*Tabla1[[#This Row],[UM producto]]</f>
        <v>#VALUE!</v>
      </c>
    </row>
    <row r="2474" spans="1:19" x14ac:dyDescent="0.35">
      <c r="A2474" s="5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6"/>
      <c r="P2474" s="23" t="e">
        <f>TRIM(Tabla1[[#This Row],[Articulo]])</f>
        <v>#VALUE!</v>
      </c>
      <c r="Q2474" s="23" t="e">
        <f>_xlfn.XLOOKUP(Tabla1[[#This Row],[Ean Normalizado]],Consumos!A:A,Consumos!E:E)</f>
        <v>#VALUE!</v>
      </c>
      <c r="R2474" s="38" t="e">
        <f>_xlfn.XLOOKUP(Tabla1[[#This Row],[Ean Normalizado]],tabla_consumos[EAN],tabla_consumos[UM])</f>
        <v>#VALUE!</v>
      </c>
      <c r="S2474" s="38" t="e">
        <f>Tabla1[[#This Row],[StockDisp]]*Tabla1[[#This Row],[UM producto]]</f>
        <v>#VALUE!</v>
      </c>
    </row>
    <row r="2475" spans="1:19" x14ac:dyDescent="0.35">
      <c r="A2475" s="5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6"/>
      <c r="P2475" s="23" t="e">
        <f>TRIM(Tabla1[[#This Row],[Articulo]])</f>
        <v>#VALUE!</v>
      </c>
      <c r="Q2475" s="23" t="e">
        <f>_xlfn.XLOOKUP(Tabla1[[#This Row],[Ean Normalizado]],Consumos!A:A,Consumos!E:E)</f>
        <v>#VALUE!</v>
      </c>
      <c r="R2475" s="38" t="e">
        <f>_xlfn.XLOOKUP(Tabla1[[#This Row],[Ean Normalizado]],tabla_consumos[EAN],tabla_consumos[UM])</f>
        <v>#VALUE!</v>
      </c>
      <c r="S2475" s="38" t="e">
        <f>Tabla1[[#This Row],[StockDisp]]*Tabla1[[#This Row],[UM producto]]</f>
        <v>#VALUE!</v>
      </c>
    </row>
    <row r="2476" spans="1:19" x14ac:dyDescent="0.35">
      <c r="A2476" s="5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6"/>
      <c r="P2476" s="23" t="e">
        <f>TRIM(Tabla1[[#This Row],[Articulo]])</f>
        <v>#VALUE!</v>
      </c>
      <c r="Q2476" s="23" t="e">
        <f>_xlfn.XLOOKUP(Tabla1[[#This Row],[Ean Normalizado]],Consumos!A:A,Consumos!E:E)</f>
        <v>#VALUE!</v>
      </c>
      <c r="R2476" s="38" t="e">
        <f>_xlfn.XLOOKUP(Tabla1[[#This Row],[Ean Normalizado]],tabla_consumos[EAN],tabla_consumos[UM])</f>
        <v>#VALUE!</v>
      </c>
      <c r="S2476" s="38" t="e">
        <f>Tabla1[[#This Row],[StockDisp]]*Tabla1[[#This Row],[UM producto]]</f>
        <v>#VALUE!</v>
      </c>
    </row>
    <row r="2477" spans="1:19" x14ac:dyDescent="0.35">
      <c r="A2477" s="5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6"/>
      <c r="P2477" s="23" t="e">
        <f>TRIM(Tabla1[[#This Row],[Articulo]])</f>
        <v>#VALUE!</v>
      </c>
      <c r="Q2477" s="23" t="e">
        <f>_xlfn.XLOOKUP(Tabla1[[#This Row],[Ean Normalizado]],Consumos!A:A,Consumos!E:E)</f>
        <v>#VALUE!</v>
      </c>
      <c r="R2477" s="38" t="e">
        <f>_xlfn.XLOOKUP(Tabla1[[#This Row],[Ean Normalizado]],tabla_consumos[EAN],tabla_consumos[UM])</f>
        <v>#VALUE!</v>
      </c>
      <c r="S2477" s="38" t="e">
        <f>Tabla1[[#This Row],[StockDisp]]*Tabla1[[#This Row],[UM producto]]</f>
        <v>#VALUE!</v>
      </c>
    </row>
    <row r="2478" spans="1:19" x14ac:dyDescent="0.35">
      <c r="A2478" s="5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6"/>
      <c r="P2478" s="23" t="e">
        <f>TRIM(Tabla1[[#This Row],[Articulo]])</f>
        <v>#VALUE!</v>
      </c>
      <c r="Q2478" s="23" t="e">
        <f>_xlfn.XLOOKUP(Tabla1[[#This Row],[Ean Normalizado]],Consumos!A:A,Consumos!E:E)</f>
        <v>#VALUE!</v>
      </c>
      <c r="R2478" s="38" t="e">
        <f>_xlfn.XLOOKUP(Tabla1[[#This Row],[Ean Normalizado]],tabla_consumos[EAN],tabla_consumos[UM])</f>
        <v>#VALUE!</v>
      </c>
      <c r="S2478" s="38" t="e">
        <f>Tabla1[[#This Row],[StockDisp]]*Tabla1[[#This Row],[UM producto]]</f>
        <v>#VALUE!</v>
      </c>
    </row>
    <row r="2479" spans="1:19" x14ac:dyDescent="0.35">
      <c r="A2479" s="5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6"/>
      <c r="P2479" s="23" t="e">
        <f>TRIM(Tabla1[[#This Row],[Articulo]])</f>
        <v>#VALUE!</v>
      </c>
      <c r="Q2479" s="23" t="e">
        <f>_xlfn.XLOOKUP(Tabla1[[#This Row],[Ean Normalizado]],Consumos!A:A,Consumos!E:E)</f>
        <v>#VALUE!</v>
      </c>
      <c r="R2479" s="38" t="e">
        <f>_xlfn.XLOOKUP(Tabla1[[#This Row],[Ean Normalizado]],tabla_consumos[EAN],tabla_consumos[UM])</f>
        <v>#VALUE!</v>
      </c>
      <c r="S2479" s="38" t="e">
        <f>Tabla1[[#This Row],[StockDisp]]*Tabla1[[#This Row],[UM producto]]</f>
        <v>#VALUE!</v>
      </c>
    </row>
    <row r="2480" spans="1:19" x14ac:dyDescent="0.35">
      <c r="A2480" s="5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6"/>
      <c r="P2480" s="23" t="e">
        <f>TRIM(Tabla1[[#This Row],[Articulo]])</f>
        <v>#VALUE!</v>
      </c>
      <c r="Q2480" s="23" t="e">
        <f>_xlfn.XLOOKUP(Tabla1[[#This Row],[Ean Normalizado]],Consumos!A:A,Consumos!E:E)</f>
        <v>#VALUE!</v>
      </c>
      <c r="R2480" s="38" t="e">
        <f>_xlfn.XLOOKUP(Tabla1[[#This Row],[Ean Normalizado]],tabla_consumos[EAN],tabla_consumos[UM])</f>
        <v>#VALUE!</v>
      </c>
      <c r="S2480" s="38" t="e">
        <f>Tabla1[[#This Row],[StockDisp]]*Tabla1[[#This Row],[UM producto]]</f>
        <v>#VALUE!</v>
      </c>
    </row>
    <row r="2481" spans="1:19" x14ac:dyDescent="0.35">
      <c r="A2481" s="5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6"/>
      <c r="P2481" s="23" t="e">
        <f>TRIM(Tabla1[[#This Row],[Articulo]])</f>
        <v>#VALUE!</v>
      </c>
      <c r="Q2481" s="23" t="e">
        <f>_xlfn.XLOOKUP(Tabla1[[#This Row],[Ean Normalizado]],Consumos!A:A,Consumos!E:E)</f>
        <v>#VALUE!</v>
      </c>
      <c r="R2481" s="38" t="e">
        <f>_xlfn.XLOOKUP(Tabla1[[#This Row],[Ean Normalizado]],tabla_consumos[EAN],tabla_consumos[UM])</f>
        <v>#VALUE!</v>
      </c>
      <c r="S2481" s="38" t="e">
        <f>Tabla1[[#This Row],[StockDisp]]*Tabla1[[#This Row],[UM producto]]</f>
        <v>#VALUE!</v>
      </c>
    </row>
    <row r="2482" spans="1:19" x14ac:dyDescent="0.35">
      <c r="A2482" s="5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6"/>
      <c r="P2482" s="23" t="e">
        <f>TRIM(Tabla1[[#This Row],[Articulo]])</f>
        <v>#VALUE!</v>
      </c>
      <c r="Q2482" s="23" t="e">
        <f>_xlfn.XLOOKUP(Tabla1[[#This Row],[Ean Normalizado]],Consumos!A:A,Consumos!E:E)</f>
        <v>#VALUE!</v>
      </c>
      <c r="R2482" s="38" t="e">
        <f>_xlfn.XLOOKUP(Tabla1[[#This Row],[Ean Normalizado]],tabla_consumos[EAN],tabla_consumos[UM])</f>
        <v>#VALUE!</v>
      </c>
      <c r="S2482" s="38" t="e">
        <f>Tabla1[[#This Row],[StockDisp]]*Tabla1[[#This Row],[UM producto]]</f>
        <v>#VALUE!</v>
      </c>
    </row>
    <row r="2483" spans="1:19" x14ac:dyDescent="0.35">
      <c r="A2483" s="5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6"/>
      <c r="P2483" s="23" t="e">
        <f>TRIM(Tabla1[[#This Row],[Articulo]])</f>
        <v>#VALUE!</v>
      </c>
      <c r="Q2483" s="23" t="e">
        <f>_xlfn.XLOOKUP(Tabla1[[#This Row],[Ean Normalizado]],Consumos!A:A,Consumos!E:E)</f>
        <v>#VALUE!</v>
      </c>
      <c r="R2483" s="38" t="e">
        <f>_xlfn.XLOOKUP(Tabla1[[#This Row],[Ean Normalizado]],tabla_consumos[EAN],tabla_consumos[UM])</f>
        <v>#VALUE!</v>
      </c>
      <c r="S2483" s="38" t="e">
        <f>Tabla1[[#This Row],[StockDisp]]*Tabla1[[#This Row],[UM producto]]</f>
        <v>#VALUE!</v>
      </c>
    </row>
    <row r="2484" spans="1:19" x14ac:dyDescent="0.35">
      <c r="A2484" s="5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6"/>
      <c r="P2484" s="23" t="e">
        <f>TRIM(Tabla1[[#This Row],[Articulo]])</f>
        <v>#VALUE!</v>
      </c>
      <c r="Q2484" s="23" t="e">
        <f>_xlfn.XLOOKUP(Tabla1[[#This Row],[Ean Normalizado]],Consumos!A:A,Consumos!E:E)</f>
        <v>#VALUE!</v>
      </c>
      <c r="R2484" s="38" t="e">
        <f>_xlfn.XLOOKUP(Tabla1[[#This Row],[Ean Normalizado]],tabla_consumos[EAN],tabla_consumos[UM])</f>
        <v>#VALUE!</v>
      </c>
      <c r="S2484" s="38" t="e">
        <f>Tabla1[[#This Row],[StockDisp]]*Tabla1[[#This Row],[UM producto]]</f>
        <v>#VALUE!</v>
      </c>
    </row>
    <row r="2485" spans="1:19" x14ac:dyDescent="0.35">
      <c r="A2485" s="5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6"/>
      <c r="P2485" s="23" t="e">
        <f>TRIM(Tabla1[[#This Row],[Articulo]])</f>
        <v>#VALUE!</v>
      </c>
      <c r="Q2485" s="23" t="e">
        <f>_xlfn.XLOOKUP(Tabla1[[#This Row],[Ean Normalizado]],Consumos!A:A,Consumos!E:E)</f>
        <v>#VALUE!</v>
      </c>
      <c r="R2485" s="38" t="e">
        <f>_xlfn.XLOOKUP(Tabla1[[#This Row],[Ean Normalizado]],tabla_consumos[EAN],tabla_consumos[UM])</f>
        <v>#VALUE!</v>
      </c>
      <c r="S2485" s="38" t="e">
        <f>Tabla1[[#This Row],[StockDisp]]*Tabla1[[#This Row],[UM producto]]</f>
        <v>#VALUE!</v>
      </c>
    </row>
    <row r="2486" spans="1:19" x14ac:dyDescent="0.35">
      <c r="A2486" s="5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6"/>
      <c r="P2486" s="23" t="e">
        <f>TRIM(Tabla1[[#This Row],[Articulo]])</f>
        <v>#VALUE!</v>
      </c>
      <c r="Q2486" s="23" t="e">
        <f>_xlfn.XLOOKUP(Tabla1[[#This Row],[Ean Normalizado]],Consumos!A:A,Consumos!E:E)</f>
        <v>#VALUE!</v>
      </c>
      <c r="R2486" s="38" t="e">
        <f>_xlfn.XLOOKUP(Tabla1[[#This Row],[Ean Normalizado]],tabla_consumos[EAN],tabla_consumos[UM])</f>
        <v>#VALUE!</v>
      </c>
      <c r="S2486" s="38" t="e">
        <f>Tabla1[[#This Row],[StockDisp]]*Tabla1[[#This Row],[UM producto]]</f>
        <v>#VALUE!</v>
      </c>
    </row>
    <row r="2487" spans="1:19" x14ac:dyDescent="0.35">
      <c r="A2487" s="5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6"/>
      <c r="P2487" s="23" t="e">
        <f>TRIM(Tabla1[[#This Row],[Articulo]])</f>
        <v>#VALUE!</v>
      </c>
      <c r="Q2487" s="23" t="e">
        <f>_xlfn.XLOOKUP(Tabla1[[#This Row],[Ean Normalizado]],Consumos!A:A,Consumos!E:E)</f>
        <v>#VALUE!</v>
      </c>
      <c r="R2487" s="38" t="e">
        <f>_xlfn.XLOOKUP(Tabla1[[#This Row],[Ean Normalizado]],tabla_consumos[EAN],tabla_consumos[UM])</f>
        <v>#VALUE!</v>
      </c>
      <c r="S2487" s="38" t="e">
        <f>Tabla1[[#This Row],[StockDisp]]*Tabla1[[#This Row],[UM producto]]</f>
        <v>#VALUE!</v>
      </c>
    </row>
    <row r="2488" spans="1:19" x14ac:dyDescent="0.35">
      <c r="A2488" s="5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6"/>
      <c r="P2488" s="23" t="e">
        <f>TRIM(Tabla1[[#This Row],[Articulo]])</f>
        <v>#VALUE!</v>
      </c>
      <c r="Q2488" s="23" t="e">
        <f>_xlfn.XLOOKUP(Tabla1[[#This Row],[Ean Normalizado]],Consumos!A:A,Consumos!E:E)</f>
        <v>#VALUE!</v>
      </c>
      <c r="R2488" s="38" t="e">
        <f>_xlfn.XLOOKUP(Tabla1[[#This Row],[Ean Normalizado]],tabla_consumos[EAN],tabla_consumos[UM])</f>
        <v>#VALUE!</v>
      </c>
      <c r="S2488" s="38" t="e">
        <f>Tabla1[[#This Row],[StockDisp]]*Tabla1[[#This Row],[UM producto]]</f>
        <v>#VALUE!</v>
      </c>
    </row>
    <row r="2489" spans="1:19" x14ac:dyDescent="0.35">
      <c r="A2489" s="5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6"/>
      <c r="P2489" s="23" t="e">
        <f>TRIM(Tabla1[[#This Row],[Articulo]])</f>
        <v>#VALUE!</v>
      </c>
      <c r="Q2489" s="23" t="e">
        <f>_xlfn.XLOOKUP(Tabla1[[#This Row],[Ean Normalizado]],Consumos!A:A,Consumos!E:E)</f>
        <v>#VALUE!</v>
      </c>
      <c r="R2489" s="38" t="e">
        <f>_xlfn.XLOOKUP(Tabla1[[#This Row],[Ean Normalizado]],tabla_consumos[EAN],tabla_consumos[UM])</f>
        <v>#VALUE!</v>
      </c>
      <c r="S2489" s="38" t="e">
        <f>Tabla1[[#This Row],[StockDisp]]*Tabla1[[#This Row],[UM producto]]</f>
        <v>#VALUE!</v>
      </c>
    </row>
    <row r="2490" spans="1:19" x14ac:dyDescent="0.35">
      <c r="A2490" s="5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6"/>
      <c r="P2490" s="23" t="e">
        <f>TRIM(Tabla1[[#This Row],[Articulo]])</f>
        <v>#VALUE!</v>
      </c>
      <c r="Q2490" s="23" t="e">
        <f>_xlfn.XLOOKUP(Tabla1[[#This Row],[Ean Normalizado]],Consumos!A:A,Consumos!E:E)</f>
        <v>#VALUE!</v>
      </c>
      <c r="R2490" s="38" t="e">
        <f>_xlfn.XLOOKUP(Tabla1[[#This Row],[Ean Normalizado]],tabla_consumos[EAN],tabla_consumos[UM])</f>
        <v>#VALUE!</v>
      </c>
      <c r="S2490" s="38" t="e">
        <f>Tabla1[[#This Row],[StockDisp]]*Tabla1[[#This Row],[UM producto]]</f>
        <v>#VALUE!</v>
      </c>
    </row>
    <row r="2491" spans="1:19" x14ac:dyDescent="0.35">
      <c r="A2491" s="5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6"/>
      <c r="P2491" s="23" t="e">
        <f>TRIM(Tabla1[[#This Row],[Articulo]])</f>
        <v>#VALUE!</v>
      </c>
      <c r="Q2491" s="23" t="e">
        <f>_xlfn.XLOOKUP(Tabla1[[#This Row],[Ean Normalizado]],Consumos!A:A,Consumos!E:E)</f>
        <v>#VALUE!</v>
      </c>
      <c r="R2491" s="38" t="e">
        <f>_xlfn.XLOOKUP(Tabla1[[#This Row],[Ean Normalizado]],tabla_consumos[EAN],tabla_consumos[UM])</f>
        <v>#VALUE!</v>
      </c>
      <c r="S2491" s="38" t="e">
        <f>Tabla1[[#This Row],[StockDisp]]*Tabla1[[#This Row],[UM producto]]</f>
        <v>#VALUE!</v>
      </c>
    </row>
    <row r="2492" spans="1:19" x14ac:dyDescent="0.35">
      <c r="A2492" s="5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6"/>
      <c r="P2492" s="23" t="e">
        <f>TRIM(Tabla1[[#This Row],[Articulo]])</f>
        <v>#VALUE!</v>
      </c>
      <c r="Q2492" s="23" t="e">
        <f>_xlfn.XLOOKUP(Tabla1[[#This Row],[Ean Normalizado]],Consumos!A:A,Consumos!E:E)</f>
        <v>#VALUE!</v>
      </c>
      <c r="R2492" s="38" t="e">
        <f>_xlfn.XLOOKUP(Tabla1[[#This Row],[Ean Normalizado]],tabla_consumos[EAN],tabla_consumos[UM])</f>
        <v>#VALUE!</v>
      </c>
      <c r="S2492" s="38" t="e">
        <f>Tabla1[[#This Row],[StockDisp]]*Tabla1[[#This Row],[UM producto]]</f>
        <v>#VALUE!</v>
      </c>
    </row>
    <row r="2493" spans="1:19" x14ac:dyDescent="0.35">
      <c r="A2493" s="5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6"/>
      <c r="P2493" s="23" t="e">
        <f>TRIM(Tabla1[[#This Row],[Articulo]])</f>
        <v>#VALUE!</v>
      </c>
      <c r="Q2493" s="23" t="e">
        <f>_xlfn.XLOOKUP(Tabla1[[#This Row],[Ean Normalizado]],Consumos!A:A,Consumos!E:E)</f>
        <v>#VALUE!</v>
      </c>
      <c r="R2493" s="38" t="e">
        <f>_xlfn.XLOOKUP(Tabla1[[#This Row],[Ean Normalizado]],tabla_consumos[EAN],tabla_consumos[UM])</f>
        <v>#VALUE!</v>
      </c>
      <c r="S2493" s="38" t="e">
        <f>Tabla1[[#This Row],[StockDisp]]*Tabla1[[#This Row],[UM producto]]</f>
        <v>#VALUE!</v>
      </c>
    </row>
    <row r="2494" spans="1:19" x14ac:dyDescent="0.35">
      <c r="A2494" s="5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6"/>
      <c r="P2494" s="23" t="e">
        <f>TRIM(Tabla1[[#This Row],[Articulo]])</f>
        <v>#VALUE!</v>
      </c>
      <c r="Q2494" s="23" t="e">
        <f>_xlfn.XLOOKUP(Tabla1[[#This Row],[Ean Normalizado]],Consumos!A:A,Consumos!E:E)</f>
        <v>#VALUE!</v>
      </c>
      <c r="R2494" s="38" t="e">
        <f>_xlfn.XLOOKUP(Tabla1[[#This Row],[Ean Normalizado]],tabla_consumos[EAN],tabla_consumos[UM])</f>
        <v>#VALUE!</v>
      </c>
      <c r="S2494" s="38" t="e">
        <f>Tabla1[[#This Row],[StockDisp]]*Tabla1[[#This Row],[UM producto]]</f>
        <v>#VALUE!</v>
      </c>
    </row>
    <row r="2495" spans="1:19" x14ac:dyDescent="0.35">
      <c r="A2495" s="5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6"/>
      <c r="P2495" s="23" t="e">
        <f>TRIM(Tabla1[[#This Row],[Articulo]])</f>
        <v>#VALUE!</v>
      </c>
      <c r="Q2495" s="23" t="e">
        <f>_xlfn.XLOOKUP(Tabla1[[#This Row],[Ean Normalizado]],Consumos!A:A,Consumos!E:E)</f>
        <v>#VALUE!</v>
      </c>
      <c r="R2495" s="38" t="e">
        <f>_xlfn.XLOOKUP(Tabla1[[#This Row],[Ean Normalizado]],tabla_consumos[EAN],tabla_consumos[UM])</f>
        <v>#VALUE!</v>
      </c>
      <c r="S2495" s="38" t="e">
        <f>Tabla1[[#This Row],[StockDisp]]*Tabla1[[#This Row],[UM producto]]</f>
        <v>#VALUE!</v>
      </c>
    </row>
    <row r="2496" spans="1:19" x14ac:dyDescent="0.35">
      <c r="A2496" s="5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6"/>
      <c r="P2496" s="23" t="e">
        <f>TRIM(Tabla1[[#This Row],[Articulo]])</f>
        <v>#VALUE!</v>
      </c>
      <c r="Q2496" s="23" t="e">
        <f>_xlfn.XLOOKUP(Tabla1[[#This Row],[Ean Normalizado]],Consumos!A:A,Consumos!E:E)</f>
        <v>#VALUE!</v>
      </c>
      <c r="R2496" s="38" t="e">
        <f>_xlfn.XLOOKUP(Tabla1[[#This Row],[Ean Normalizado]],tabla_consumos[EAN],tabla_consumos[UM])</f>
        <v>#VALUE!</v>
      </c>
      <c r="S2496" s="38" t="e">
        <f>Tabla1[[#This Row],[StockDisp]]*Tabla1[[#This Row],[UM producto]]</f>
        <v>#VALUE!</v>
      </c>
    </row>
    <row r="2497" spans="1:19" x14ac:dyDescent="0.35">
      <c r="A2497" s="5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6"/>
      <c r="P2497" s="23" t="e">
        <f>TRIM(Tabla1[[#This Row],[Articulo]])</f>
        <v>#VALUE!</v>
      </c>
      <c r="Q2497" s="23" t="e">
        <f>_xlfn.XLOOKUP(Tabla1[[#This Row],[Ean Normalizado]],Consumos!A:A,Consumos!E:E)</f>
        <v>#VALUE!</v>
      </c>
      <c r="R2497" s="38" t="e">
        <f>_xlfn.XLOOKUP(Tabla1[[#This Row],[Ean Normalizado]],tabla_consumos[EAN],tabla_consumos[UM])</f>
        <v>#VALUE!</v>
      </c>
      <c r="S2497" s="38" t="e">
        <f>Tabla1[[#This Row],[StockDisp]]*Tabla1[[#This Row],[UM producto]]</f>
        <v>#VALUE!</v>
      </c>
    </row>
    <row r="2498" spans="1:19" x14ac:dyDescent="0.35">
      <c r="A2498" s="5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6"/>
      <c r="P2498" s="23" t="e">
        <f>TRIM(Tabla1[[#This Row],[Articulo]])</f>
        <v>#VALUE!</v>
      </c>
      <c r="Q2498" s="23" t="e">
        <f>_xlfn.XLOOKUP(Tabla1[[#This Row],[Ean Normalizado]],Consumos!A:A,Consumos!E:E)</f>
        <v>#VALUE!</v>
      </c>
      <c r="R2498" s="38" t="e">
        <f>_xlfn.XLOOKUP(Tabla1[[#This Row],[Ean Normalizado]],tabla_consumos[EAN],tabla_consumos[UM])</f>
        <v>#VALUE!</v>
      </c>
      <c r="S2498" s="38" t="e">
        <f>Tabla1[[#This Row],[StockDisp]]*Tabla1[[#This Row],[UM producto]]</f>
        <v>#VALUE!</v>
      </c>
    </row>
    <row r="2499" spans="1:19" x14ac:dyDescent="0.35">
      <c r="A2499" s="5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6"/>
      <c r="P2499" s="23" t="e">
        <f>TRIM(Tabla1[[#This Row],[Articulo]])</f>
        <v>#VALUE!</v>
      </c>
      <c r="Q2499" s="23" t="e">
        <f>_xlfn.XLOOKUP(Tabla1[[#This Row],[Ean Normalizado]],Consumos!A:A,Consumos!E:E)</f>
        <v>#VALUE!</v>
      </c>
      <c r="R2499" s="38" t="e">
        <f>_xlfn.XLOOKUP(Tabla1[[#This Row],[Ean Normalizado]],tabla_consumos[EAN],tabla_consumos[UM])</f>
        <v>#VALUE!</v>
      </c>
      <c r="S2499" s="38" t="e">
        <f>Tabla1[[#This Row],[StockDisp]]*Tabla1[[#This Row],[UM producto]]</f>
        <v>#VALUE!</v>
      </c>
    </row>
    <row r="2500" spans="1:19" x14ac:dyDescent="0.35">
      <c r="A2500" s="5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6"/>
      <c r="P2500" s="23" t="e">
        <f>TRIM(Tabla1[[#This Row],[Articulo]])</f>
        <v>#VALUE!</v>
      </c>
      <c r="Q2500" s="23" t="e">
        <f>_xlfn.XLOOKUP(Tabla1[[#This Row],[Ean Normalizado]],Consumos!A:A,Consumos!E:E)</f>
        <v>#VALUE!</v>
      </c>
      <c r="R2500" s="38" t="e">
        <f>_xlfn.XLOOKUP(Tabla1[[#This Row],[Ean Normalizado]],tabla_consumos[EAN],tabla_consumos[UM])</f>
        <v>#VALUE!</v>
      </c>
      <c r="S2500" s="38" t="e">
        <f>Tabla1[[#This Row],[StockDisp]]*Tabla1[[#This Row],[UM producto]]</f>
        <v>#VALUE!</v>
      </c>
    </row>
    <row r="2501" spans="1:19" x14ac:dyDescent="0.35">
      <c r="A2501" s="5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6"/>
      <c r="P2501" s="23" t="e">
        <f>TRIM(Tabla1[[#This Row],[Articulo]])</f>
        <v>#VALUE!</v>
      </c>
      <c r="Q2501" s="23" t="e">
        <f>_xlfn.XLOOKUP(Tabla1[[#This Row],[Ean Normalizado]],Consumos!A:A,Consumos!E:E)</f>
        <v>#VALUE!</v>
      </c>
      <c r="R2501" s="38" t="e">
        <f>_xlfn.XLOOKUP(Tabla1[[#This Row],[Ean Normalizado]],tabla_consumos[EAN],tabla_consumos[UM])</f>
        <v>#VALUE!</v>
      </c>
      <c r="S2501" s="38" t="e">
        <f>Tabla1[[#This Row],[StockDisp]]*Tabla1[[#This Row],[UM producto]]</f>
        <v>#VALUE!</v>
      </c>
    </row>
    <row r="2502" spans="1:19" x14ac:dyDescent="0.35">
      <c r="A2502" s="5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6"/>
      <c r="P2502" s="23" t="e">
        <f>TRIM(Tabla1[[#This Row],[Articulo]])</f>
        <v>#VALUE!</v>
      </c>
      <c r="Q2502" s="23" t="e">
        <f>_xlfn.XLOOKUP(Tabla1[[#This Row],[Ean Normalizado]],Consumos!A:A,Consumos!E:E)</f>
        <v>#VALUE!</v>
      </c>
      <c r="R2502" s="38" t="e">
        <f>_xlfn.XLOOKUP(Tabla1[[#This Row],[Ean Normalizado]],tabla_consumos[EAN],tabla_consumos[UM])</f>
        <v>#VALUE!</v>
      </c>
      <c r="S2502" s="38" t="e">
        <f>Tabla1[[#This Row],[StockDisp]]*Tabla1[[#This Row],[UM producto]]</f>
        <v>#VALUE!</v>
      </c>
    </row>
    <row r="2503" spans="1:19" x14ac:dyDescent="0.35">
      <c r="A2503" s="5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6"/>
      <c r="P2503" s="23" t="e">
        <f>TRIM(Tabla1[[#This Row],[Articulo]])</f>
        <v>#VALUE!</v>
      </c>
      <c r="Q2503" s="23" t="e">
        <f>_xlfn.XLOOKUP(Tabla1[[#This Row],[Ean Normalizado]],Consumos!A:A,Consumos!E:E)</f>
        <v>#VALUE!</v>
      </c>
      <c r="R2503" s="38" t="e">
        <f>_xlfn.XLOOKUP(Tabla1[[#This Row],[Ean Normalizado]],tabla_consumos[EAN],tabla_consumos[UM])</f>
        <v>#VALUE!</v>
      </c>
      <c r="S2503" s="38" t="e">
        <f>Tabla1[[#This Row],[StockDisp]]*Tabla1[[#This Row],[UM producto]]</f>
        <v>#VALUE!</v>
      </c>
    </row>
    <row r="2504" spans="1:19" x14ac:dyDescent="0.35">
      <c r="A2504" s="5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6"/>
      <c r="P2504" s="23" t="e">
        <f>TRIM(Tabla1[[#This Row],[Articulo]])</f>
        <v>#VALUE!</v>
      </c>
      <c r="Q2504" s="23" t="e">
        <f>_xlfn.XLOOKUP(Tabla1[[#This Row],[Ean Normalizado]],Consumos!A:A,Consumos!E:E)</f>
        <v>#VALUE!</v>
      </c>
      <c r="R2504" s="38" t="e">
        <f>_xlfn.XLOOKUP(Tabla1[[#This Row],[Ean Normalizado]],tabla_consumos[EAN],tabla_consumos[UM])</f>
        <v>#VALUE!</v>
      </c>
      <c r="S2504" s="38" t="e">
        <f>Tabla1[[#This Row],[StockDisp]]*Tabla1[[#This Row],[UM producto]]</f>
        <v>#VALUE!</v>
      </c>
    </row>
    <row r="2505" spans="1:19" x14ac:dyDescent="0.35">
      <c r="A2505" s="5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6"/>
      <c r="P2505" s="23" t="e">
        <f>TRIM(Tabla1[[#This Row],[Articulo]])</f>
        <v>#VALUE!</v>
      </c>
      <c r="Q2505" s="23" t="e">
        <f>_xlfn.XLOOKUP(Tabla1[[#This Row],[Ean Normalizado]],Consumos!A:A,Consumos!E:E)</f>
        <v>#VALUE!</v>
      </c>
      <c r="R2505" s="38" t="e">
        <f>_xlfn.XLOOKUP(Tabla1[[#This Row],[Ean Normalizado]],tabla_consumos[EAN],tabla_consumos[UM])</f>
        <v>#VALUE!</v>
      </c>
      <c r="S2505" s="38" t="e">
        <f>Tabla1[[#This Row],[StockDisp]]*Tabla1[[#This Row],[UM producto]]</f>
        <v>#VALUE!</v>
      </c>
    </row>
    <row r="2506" spans="1:19" x14ac:dyDescent="0.35">
      <c r="A2506" s="5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6"/>
      <c r="P2506" s="23" t="e">
        <f>TRIM(Tabla1[[#This Row],[Articulo]])</f>
        <v>#VALUE!</v>
      </c>
      <c r="Q2506" s="23" t="e">
        <f>_xlfn.XLOOKUP(Tabla1[[#This Row],[Ean Normalizado]],Consumos!A:A,Consumos!E:E)</f>
        <v>#VALUE!</v>
      </c>
      <c r="R2506" s="38" t="e">
        <f>_xlfn.XLOOKUP(Tabla1[[#This Row],[Ean Normalizado]],tabla_consumos[EAN],tabla_consumos[UM])</f>
        <v>#VALUE!</v>
      </c>
      <c r="S2506" s="38" t="e">
        <f>Tabla1[[#This Row],[StockDisp]]*Tabla1[[#This Row],[UM producto]]</f>
        <v>#VALUE!</v>
      </c>
    </row>
    <row r="2507" spans="1:19" x14ac:dyDescent="0.35">
      <c r="A2507" s="5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6"/>
      <c r="P2507" s="23" t="e">
        <f>TRIM(Tabla1[[#This Row],[Articulo]])</f>
        <v>#VALUE!</v>
      </c>
      <c r="Q2507" s="23" t="e">
        <f>_xlfn.XLOOKUP(Tabla1[[#This Row],[Ean Normalizado]],Consumos!A:A,Consumos!E:E)</f>
        <v>#VALUE!</v>
      </c>
      <c r="R2507" s="38" t="e">
        <f>_xlfn.XLOOKUP(Tabla1[[#This Row],[Ean Normalizado]],tabla_consumos[EAN],tabla_consumos[UM])</f>
        <v>#VALUE!</v>
      </c>
      <c r="S2507" s="38" t="e">
        <f>Tabla1[[#This Row],[StockDisp]]*Tabla1[[#This Row],[UM producto]]</f>
        <v>#VALUE!</v>
      </c>
    </row>
    <row r="2508" spans="1:19" x14ac:dyDescent="0.35">
      <c r="A2508" s="5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6"/>
      <c r="P2508" s="23" t="e">
        <f>TRIM(Tabla1[[#This Row],[Articulo]])</f>
        <v>#VALUE!</v>
      </c>
      <c r="Q2508" s="23" t="e">
        <f>_xlfn.XLOOKUP(Tabla1[[#This Row],[Ean Normalizado]],Consumos!A:A,Consumos!E:E)</f>
        <v>#VALUE!</v>
      </c>
      <c r="R2508" s="38" t="e">
        <f>_xlfn.XLOOKUP(Tabla1[[#This Row],[Ean Normalizado]],tabla_consumos[EAN],tabla_consumos[UM])</f>
        <v>#VALUE!</v>
      </c>
      <c r="S2508" s="38" t="e">
        <f>Tabla1[[#This Row],[StockDisp]]*Tabla1[[#This Row],[UM producto]]</f>
        <v>#VALUE!</v>
      </c>
    </row>
    <row r="2509" spans="1:19" x14ac:dyDescent="0.35">
      <c r="A2509" s="5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6"/>
      <c r="P2509" s="23" t="e">
        <f>TRIM(Tabla1[[#This Row],[Articulo]])</f>
        <v>#VALUE!</v>
      </c>
      <c r="Q2509" s="23" t="e">
        <f>_xlfn.XLOOKUP(Tabla1[[#This Row],[Ean Normalizado]],Consumos!A:A,Consumos!E:E)</f>
        <v>#VALUE!</v>
      </c>
      <c r="R2509" s="38" t="e">
        <f>_xlfn.XLOOKUP(Tabla1[[#This Row],[Ean Normalizado]],tabla_consumos[EAN],tabla_consumos[UM])</f>
        <v>#VALUE!</v>
      </c>
      <c r="S2509" s="38" t="e">
        <f>Tabla1[[#This Row],[StockDisp]]*Tabla1[[#This Row],[UM producto]]</f>
        <v>#VALUE!</v>
      </c>
    </row>
    <row r="2510" spans="1:19" x14ac:dyDescent="0.35">
      <c r="A2510" s="5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6"/>
      <c r="P2510" s="23" t="e">
        <f>TRIM(Tabla1[[#This Row],[Articulo]])</f>
        <v>#VALUE!</v>
      </c>
      <c r="Q2510" s="23" t="e">
        <f>_xlfn.XLOOKUP(Tabla1[[#This Row],[Ean Normalizado]],Consumos!A:A,Consumos!E:E)</f>
        <v>#VALUE!</v>
      </c>
      <c r="R2510" s="38" t="e">
        <f>_xlfn.XLOOKUP(Tabla1[[#This Row],[Ean Normalizado]],tabla_consumos[EAN],tabla_consumos[UM])</f>
        <v>#VALUE!</v>
      </c>
      <c r="S2510" s="38" t="e">
        <f>Tabla1[[#This Row],[StockDisp]]*Tabla1[[#This Row],[UM producto]]</f>
        <v>#VALUE!</v>
      </c>
    </row>
    <row r="2511" spans="1:19" x14ac:dyDescent="0.35">
      <c r="A2511" s="5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6"/>
      <c r="P2511" s="23" t="e">
        <f>TRIM(Tabla1[[#This Row],[Articulo]])</f>
        <v>#VALUE!</v>
      </c>
      <c r="Q2511" s="23" t="e">
        <f>_xlfn.XLOOKUP(Tabla1[[#This Row],[Ean Normalizado]],Consumos!A:A,Consumos!E:E)</f>
        <v>#VALUE!</v>
      </c>
      <c r="R2511" s="38" t="e">
        <f>_xlfn.XLOOKUP(Tabla1[[#This Row],[Ean Normalizado]],tabla_consumos[EAN],tabla_consumos[UM])</f>
        <v>#VALUE!</v>
      </c>
      <c r="S2511" s="38" t="e">
        <f>Tabla1[[#This Row],[StockDisp]]*Tabla1[[#This Row],[UM producto]]</f>
        <v>#VALUE!</v>
      </c>
    </row>
    <row r="2512" spans="1:19" x14ac:dyDescent="0.35">
      <c r="A2512" s="5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6"/>
      <c r="P2512" s="23" t="e">
        <f>TRIM(Tabla1[[#This Row],[Articulo]])</f>
        <v>#VALUE!</v>
      </c>
      <c r="Q2512" s="23" t="e">
        <f>_xlfn.XLOOKUP(Tabla1[[#This Row],[Ean Normalizado]],Consumos!A:A,Consumos!E:E)</f>
        <v>#VALUE!</v>
      </c>
      <c r="R2512" s="38" t="e">
        <f>_xlfn.XLOOKUP(Tabla1[[#This Row],[Ean Normalizado]],tabla_consumos[EAN],tabla_consumos[UM])</f>
        <v>#VALUE!</v>
      </c>
      <c r="S2512" s="38" t="e">
        <f>Tabla1[[#This Row],[StockDisp]]*Tabla1[[#This Row],[UM producto]]</f>
        <v>#VALUE!</v>
      </c>
    </row>
    <row r="2513" spans="1:19" x14ac:dyDescent="0.35">
      <c r="A2513" s="5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6"/>
      <c r="P2513" s="23" t="e">
        <f>TRIM(Tabla1[[#This Row],[Articulo]])</f>
        <v>#VALUE!</v>
      </c>
      <c r="Q2513" s="23" t="e">
        <f>_xlfn.XLOOKUP(Tabla1[[#This Row],[Ean Normalizado]],Consumos!A:A,Consumos!E:E)</f>
        <v>#VALUE!</v>
      </c>
      <c r="R2513" s="38" t="e">
        <f>_xlfn.XLOOKUP(Tabla1[[#This Row],[Ean Normalizado]],tabla_consumos[EAN],tabla_consumos[UM])</f>
        <v>#VALUE!</v>
      </c>
      <c r="S2513" s="38" t="e">
        <f>Tabla1[[#This Row],[StockDisp]]*Tabla1[[#This Row],[UM producto]]</f>
        <v>#VALUE!</v>
      </c>
    </row>
    <row r="2514" spans="1:19" x14ac:dyDescent="0.35">
      <c r="A2514" s="5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6"/>
      <c r="P2514" s="23" t="e">
        <f>TRIM(Tabla1[[#This Row],[Articulo]])</f>
        <v>#VALUE!</v>
      </c>
      <c r="Q2514" s="23" t="e">
        <f>_xlfn.XLOOKUP(Tabla1[[#This Row],[Ean Normalizado]],Consumos!A:A,Consumos!E:E)</f>
        <v>#VALUE!</v>
      </c>
      <c r="R2514" s="38" t="e">
        <f>_xlfn.XLOOKUP(Tabla1[[#This Row],[Ean Normalizado]],tabla_consumos[EAN],tabla_consumos[UM])</f>
        <v>#VALUE!</v>
      </c>
      <c r="S2514" s="38" t="e">
        <f>Tabla1[[#This Row],[StockDisp]]*Tabla1[[#This Row],[UM producto]]</f>
        <v>#VALUE!</v>
      </c>
    </row>
    <row r="2515" spans="1:19" x14ac:dyDescent="0.35">
      <c r="A2515" s="5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6"/>
      <c r="P2515" s="23" t="e">
        <f>TRIM(Tabla1[[#This Row],[Articulo]])</f>
        <v>#VALUE!</v>
      </c>
      <c r="Q2515" s="23" t="e">
        <f>_xlfn.XLOOKUP(Tabla1[[#This Row],[Ean Normalizado]],Consumos!A:A,Consumos!E:E)</f>
        <v>#VALUE!</v>
      </c>
      <c r="R2515" s="38" t="e">
        <f>_xlfn.XLOOKUP(Tabla1[[#This Row],[Ean Normalizado]],tabla_consumos[EAN],tabla_consumos[UM])</f>
        <v>#VALUE!</v>
      </c>
      <c r="S2515" s="38" t="e">
        <f>Tabla1[[#This Row],[StockDisp]]*Tabla1[[#This Row],[UM producto]]</f>
        <v>#VALUE!</v>
      </c>
    </row>
    <row r="2516" spans="1:19" x14ac:dyDescent="0.35">
      <c r="A2516" s="5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6"/>
      <c r="P2516" s="23" t="e">
        <f>TRIM(Tabla1[[#This Row],[Articulo]])</f>
        <v>#VALUE!</v>
      </c>
      <c r="Q2516" s="23" t="e">
        <f>_xlfn.XLOOKUP(Tabla1[[#This Row],[Ean Normalizado]],Consumos!A:A,Consumos!E:E)</f>
        <v>#VALUE!</v>
      </c>
      <c r="R2516" s="38" t="e">
        <f>_xlfn.XLOOKUP(Tabla1[[#This Row],[Ean Normalizado]],tabla_consumos[EAN],tabla_consumos[UM])</f>
        <v>#VALUE!</v>
      </c>
      <c r="S2516" s="38" t="e">
        <f>Tabla1[[#This Row],[StockDisp]]*Tabla1[[#This Row],[UM producto]]</f>
        <v>#VALUE!</v>
      </c>
    </row>
    <row r="2517" spans="1:19" x14ac:dyDescent="0.35">
      <c r="A2517" s="5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6"/>
      <c r="P2517" s="23" t="e">
        <f>TRIM(Tabla1[[#This Row],[Articulo]])</f>
        <v>#VALUE!</v>
      </c>
      <c r="Q2517" s="23" t="e">
        <f>_xlfn.XLOOKUP(Tabla1[[#This Row],[Ean Normalizado]],Consumos!A:A,Consumos!E:E)</f>
        <v>#VALUE!</v>
      </c>
      <c r="R2517" s="38" t="e">
        <f>_xlfn.XLOOKUP(Tabla1[[#This Row],[Ean Normalizado]],tabla_consumos[EAN],tabla_consumos[UM])</f>
        <v>#VALUE!</v>
      </c>
      <c r="S2517" s="38" t="e">
        <f>Tabla1[[#This Row],[StockDisp]]*Tabla1[[#This Row],[UM producto]]</f>
        <v>#VALUE!</v>
      </c>
    </row>
    <row r="2518" spans="1:19" x14ac:dyDescent="0.35">
      <c r="A2518" s="5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6"/>
      <c r="P2518" s="23" t="e">
        <f>TRIM(Tabla1[[#This Row],[Articulo]])</f>
        <v>#VALUE!</v>
      </c>
      <c r="Q2518" s="23" t="e">
        <f>_xlfn.XLOOKUP(Tabla1[[#This Row],[Ean Normalizado]],Consumos!A:A,Consumos!E:E)</f>
        <v>#VALUE!</v>
      </c>
      <c r="R2518" s="38" t="e">
        <f>_xlfn.XLOOKUP(Tabla1[[#This Row],[Ean Normalizado]],tabla_consumos[EAN],tabla_consumos[UM])</f>
        <v>#VALUE!</v>
      </c>
      <c r="S2518" s="38" t="e">
        <f>Tabla1[[#This Row],[StockDisp]]*Tabla1[[#This Row],[UM producto]]</f>
        <v>#VALUE!</v>
      </c>
    </row>
    <row r="2519" spans="1:19" x14ac:dyDescent="0.35">
      <c r="A2519" s="5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6"/>
      <c r="P2519" s="23" t="e">
        <f>TRIM(Tabla1[[#This Row],[Articulo]])</f>
        <v>#VALUE!</v>
      </c>
      <c r="Q2519" s="23" t="e">
        <f>_xlfn.XLOOKUP(Tabla1[[#This Row],[Ean Normalizado]],Consumos!A:A,Consumos!E:E)</f>
        <v>#VALUE!</v>
      </c>
      <c r="R2519" s="38" t="e">
        <f>_xlfn.XLOOKUP(Tabla1[[#This Row],[Ean Normalizado]],tabla_consumos[EAN],tabla_consumos[UM])</f>
        <v>#VALUE!</v>
      </c>
      <c r="S2519" s="38" t="e">
        <f>Tabla1[[#This Row],[StockDisp]]*Tabla1[[#This Row],[UM producto]]</f>
        <v>#VALUE!</v>
      </c>
    </row>
    <row r="2520" spans="1:19" x14ac:dyDescent="0.35">
      <c r="A2520" s="5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6"/>
      <c r="P2520" s="23" t="e">
        <f>TRIM(Tabla1[[#This Row],[Articulo]])</f>
        <v>#VALUE!</v>
      </c>
      <c r="Q2520" s="23" t="e">
        <f>_xlfn.XLOOKUP(Tabla1[[#This Row],[Ean Normalizado]],Consumos!A:A,Consumos!E:E)</f>
        <v>#VALUE!</v>
      </c>
      <c r="R2520" s="38" t="e">
        <f>_xlfn.XLOOKUP(Tabla1[[#This Row],[Ean Normalizado]],tabla_consumos[EAN],tabla_consumos[UM])</f>
        <v>#VALUE!</v>
      </c>
      <c r="S2520" s="38" t="e">
        <f>Tabla1[[#This Row],[StockDisp]]*Tabla1[[#This Row],[UM producto]]</f>
        <v>#VALUE!</v>
      </c>
    </row>
    <row r="2521" spans="1:19" x14ac:dyDescent="0.35">
      <c r="A2521" s="5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6"/>
      <c r="P2521" s="23" t="e">
        <f>TRIM(Tabla1[[#This Row],[Articulo]])</f>
        <v>#VALUE!</v>
      </c>
      <c r="Q2521" s="23" t="e">
        <f>_xlfn.XLOOKUP(Tabla1[[#This Row],[Ean Normalizado]],Consumos!A:A,Consumos!E:E)</f>
        <v>#VALUE!</v>
      </c>
      <c r="R2521" s="38" t="e">
        <f>_xlfn.XLOOKUP(Tabla1[[#This Row],[Ean Normalizado]],tabla_consumos[EAN],tabla_consumos[UM])</f>
        <v>#VALUE!</v>
      </c>
      <c r="S2521" s="38" t="e">
        <f>Tabla1[[#This Row],[StockDisp]]*Tabla1[[#This Row],[UM producto]]</f>
        <v>#VALUE!</v>
      </c>
    </row>
    <row r="2522" spans="1:19" x14ac:dyDescent="0.35">
      <c r="A2522" s="5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6"/>
      <c r="P2522" s="23" t="e">
        <f>TRIM(Tabla1[[#This Row],[Articulo]])</f>
        <v>#VALUE!</v>
      </c>
      <c r="Q2522" s="23" t="e">
        <f>_xlfn.XLOOKUP(Tabla1[[#This Row],[Ean Normalizado]],Consumos!A:A,Consumos!E:E)</f>
        <v>#VALUE!</v>
      </c>
      <c r="R2522" s="38" t="e">
        <f>_xlfn.XLOOKUP(Tabla1[[#This Row],[Ean Normalizado]],tabla_consumos[EAN],tabla_consumos[UM])</f>
        <v>#VALUE!</v>
      </c>
      <c r="S2522" s="38" t="e">
        <f>Tabla1[[#This Row],[StockDisp]]*Tabla1[[#This Row],[UM producto]]</f>
        <v>#VALUE!</v>
      </c>
    </row>
    <row r="2523" spans="1:19" x14ac:dyDescent="0.35">
      <c r="A2523" s="5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6"/>
      <c r="P2523" s="23" t="e">
        <f>TRIM(Tabla1[[#This Row],[Articulo]])</f>
        <v>#VALUE!</v>
      </c>
      <c r="Q2523" s="23" t="e">
        <f>_xlfn.XLOOKUP(Tabla1[[#This Row],[Ean Normalizado]],Consumos!A:A,Consumos!E:E)</f>
        <v>#VALUE!</v>
      </c>
      <c r="R2523" s="38" t="e">
        <f>_xlfn.XLOOKUP(Tabla1[[#This Row],[Ean Normalizado]],tabla_consumos[EAN],tabla_consumos[UM])</f>
        <v>#VALUE!</v>
      </c>
      <c r="S2523" s="38" t="e">
        <f>Tabla1[[#This Row],[StockDisp]]*Tabla1[[#This Row],[UM producto]]</f>
        <v>#VALUE!</v>
      </c>
    </row>
    <row r="2524" spans="1:19" x14ac:dyDescent="0.35">
      <c r="A2524" s="5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6"/>
      <c r="P2524" s="23" t="e">
        <f>TRIM(Tabla1[[#This Row],[Articulo]])</f>
        <v>#VALUE!</v>
      </c>
      <c r="Q2524" s="23" t="e">
        <f>_xlfn.XLOOKUP(Tabla1[[#This Row],[Ean Normalizado]],Consumos!A:A,Consumos!E:E)</f>
        <v>#VALUE!</v>
      </c>
      <c r="R2524" s="38" t="e">
        <f>_xlfn.XLOOKUP(Tabla1[[#This Row],[Ean Normalizado]],tabla_consumos[EAN],tabla_consumos[UM])</f>
        <v>#VALUE!</v>
      </c>
      <c r="S2524" s="38" t="e">
        <f>Tabla1[[#This Row],[StockDisp]]*Tabla1[[#This Row],[UM producto]]</f>
        <v>#VALUE!</v>
      </c>
    </row>
    <row r="2525" spans="1:19" x14ac:dyDescent="0.35">
      <c r="A2525" s="5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6"/>
      <c r="P2525" s="23" t="e">
        <f>TRIM(Tabla1[[#This Row],[Articulo]])</f>
        <v>#VALUE!</v>
      </c>
      <c r="Q2525" s="23" t="e">
        <f>_xlfn.XLOOKUP(Tabla1[[#This Row],[Ean Normalizado]],Consumos!A:A,Consumos!E:E)</f>
        <v>#VALUE!</v>
      </c>
      <c r="R2525" s="38" t="e">
        <f>_xlfn.XLOOKUP(Tabla1[[#This Row],[Ean Normalizado]],tabla_consumos[EAN],tabla_consumos[UM])</f>
        <v>#VALUE!</v>
      </c>
      <c r="S2525" s="38" t="e">
        <f>Tabla1[[#This Row],[StockDisp]]*Tabla1[[#This Row],[UM producto]]</f>
        <v>#VALUE!</v>
      </c>
    </row>
    <row r="2526" spans="1:19" x14ac:dyDescent="0.35">
      <c r="A2526" s="5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6"/>
      <c r="P2526" s="23" t="e">
        <f>TRIM(Tabla1[[#This Row],[Articulo]])</f>
        <v>#VALUE!</v>
      </c>
      <c r="Q2526" s="23" t="e">
        <f>_xlfn.XLOOKUP(Tabla1[[#This Row],[Ean Normalizado]],Consumos!A:A,Consumos!E:E)</f>
        <v>#VALUE!</v>
      </c>
      <c r="R2526" s="38" t="e">
        <f>_xlfn.XLOOKUP(Tabla1[[#This Row],[Ean Normalizado]],tabla_consumos[EAN],tabla_consumos[UM])</f>
        <v>#VALUE!</v>
      </c>
      <c r="S2526" s="38" t="e">
        <f>Tabla1[[#This Row],[StockDisp]]*Tabla1[[#This Row],[UM producto]]</f>
        <v>#VALUE!</v>
      </c>
    </row>
    <row r="2527" spans="1:19" x14ac:dyDescent="0.35">
      <c r="A2527" s="5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6"/>
      <c r="P2527" s="23" t="e">
        <f>TRIM(Tabla1[[#This Row],[Articulo]])</f>
        <v>#VALUE!</v>
      </c>
      <c r="Q2527" s="23" t="e">
        <f>_xlfn.XLOOKUP(Tabla1[[#This Row],[Ean Normalizado]],Consumos!A:A,Consumos!E:E)</f>
        <v>#VALUE!</v>
      </c>
      <c r="R2527" s="38" t="e">
        <f>_xlfn.XLOOKUP(Tabla1[[#This Row],[Ean Normalizado]],tabla_consumos[EAN],tabla_consumos[UM])</f>
        <v>#VALUE!</v>
      </c>
      <c r="S2527" s="38" t="e">
        <f>Tabla1[[#This Row],[StockDisp]]*Tabla1[[#This Row],[UM producto]]</f>
        <v>#VALUE!</v>
      </c>
    </row>
    <row r="2528" spans="1:19" x14ac:dyDescent="0.35">
      <c r="A2528" s="5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6"/>
      <c r="P2528" s="23" t="e">
        <f>TRIM(Tabla1[[#This Row],[Articulo]])</f>
        <v>#VALUE!</v>
      </c>
      <c r="Q2528" s="23" t="e">
        <f>_xlfn.XLOOKUP(Tabla1[[#This Row],[Ean Normalizado]],Consumos!A:A,Consumos!E:E)</f>
        <v>#VALUE!</v>
      </c>
      <c r="R2528" s="38" t="e">
        <f>_xlfn.XLOOKUP(Tabla1[[#This Row],[Ean Normalizado]],tabla_consumos[EAN],tabla_consumos[UM])</f>
        <v>#VALUE!</v>
      </c>
      <c r="S2528" s="38" t="e">
        <f>Tabla1[[#This Row],[StockDisp]]*Tabla1[[#This Row],[UM producto]]</f>
        <v>#VALUE!</v>
      </c>
    </row>
    <row r="2529" spans="1:19" x14ac:dyDescent="0.35">
      <c r="A2529" s="5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6"/>
      <c r="P2529" s="23" t="e">
        <f>TRIM(Tabla1[[#This Row],[Articulo]])</f>
        <v>#VALUE!</v>
      </c>
      <c r="Q2529" s="23" t="e">
        <f>_xlfn.XLOOKUP(Tabla1[[#This Row],[Ean Normalizado]],Consumos!A:A,Consumos!E:E)</f>
        <v>#VALUE!</v>
      </c>
      <c r="R2529" s="38" t="e">
        <f>_xlfn.XLOOKUP(Tabla1[[#This Row],[Ean Normalizado]],tabla_consumos[EAN],tabla_consumos[UM])</f>
        <v>#VALUE!</v>
      </c>
      <c r="S2529" s="38" t="e">
        <f>Tabla1[[#This Row],[StockDisp]]*Tabla1[[#This Row],[UM producto]]</f>
        <v>#VALUE!</v>
      </c>
    </row>
    <row r="2530" spans="1:19" x14ac:dyDescent="0.35">
      <c r="A2530" s="5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6"/>
      <c r="P2530" s="23" t="e">
        <f>TRIM(Tabla1[[#This Row],[Articulo]])</f>
        <v>#VALUE!</v>
      </c>
      <c r="Q2530" s="23" t="e">
        <f>_xlfn.XLOOKUP(Tabla1[[#This Row],[Ean Normalizado]],Consumos!A:A,Consumos!E:E)</f>
        <v>#VALUE!</v>
      </c>
      <c r="R2530" s="38" t="e">
        <f>_xlfn.XLOOKUP(Tabla1[[#This Row],[Ean Normalizado]],tabla_consumos[EAN],tabla_consumos[UM])</f>
        <v>#VALUE!</v>
      </c>
      <c r="S2530" s="38" t="e">
        <f>Tabla1[[#This Row],[StockDisp]]*Tabla1[[#This Row],[UM producto]]</f>
        <v>#VALUE!</v>
      </c>
    </row>
    <row r="2531" spans="1:19" x14ac:dyDescent="0.35">
      <c r="A2531" s="5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6"/>
      <c r="P2531" s="23" t="e">
        <f>TRIM(Tabla1[[#This Row],[Articulo]])</f>
        <v>#VALUE!</v>
      </c>
      <c r="Q2531" s="23" t="e">
        <f>_xlfn.XLOOKUP(Tabla1[[#This Row],[Ean Normalizado]],Consumos!A:A,Consumos!E:E)</f>
        <v>#VALUE!</v>
      </c>
      <c r="R2531" s="38" t="e">
        <f>_xlfn.XLOOKUP(Tabla1[[#This Row],[Ean Normalizado]],tabla_consumos[EAN],tabla_consumos[UM])</f>
        <v>#VALUE!</v>
      </c>
      <c r="S2531" s="38" t="e">
        <f>Tabla1[[#This Row],[StockDisp]]*Tabla1[[#This Row],[UM producto]]</f>
        <v>#VALUE!</v>
      </c>
    </row>
    <row r="2532" spans="1:19" x14ac:dyDescent="0.35">
      <c r="A2532" s="5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6"/>
      <c r="P2532" s="23" t="e">
        <f>TRIM(Tabla1[[#This Row],[Articulo]])</f>
        <v>#VALUE!</v>
      </c>
      <c r="Q2532" s="23" t="e">
        <f>_xlfn.XLOOKUP(Tabla1[[#This Row],[Ean Normalizado]],Consumos!A:A,Consumos!E:E)</f>
        <v>#VALUE!</v>
      </c>
      <c r="R2532" s="38" t="e">
        <f>_xlfn.XLOOKUP(Tabla1[[#This Row],[Ean Normalizado]],tabla_consumos[EAN],tabla_consumos[UM])</f>
        <v>#VALUE!</v>
      </c>
      <c r="S2532" s="38" t="e">
        <f>Tabla1[[#This Row],[StockDisp]]*Tabla1[[#This Row],[UM producto]]</f>
        <v>#VALUE!</v>
      </c>
    </row>
    <row r="2533" spans="1:19" x14ac:dyDescent="0.35">
      <c r="A2533" s="5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6"/>
      <c r="P2533" s="23" t="e">
        <f>TRIM(Tabla1[[#This Row],[Articulo]])</f>
        <v>#VALUE!</v>
      </c>
      <c r="Q2533" s="23" t="e">
        <f>_xlfn.XLOOKUP(Tabla1[[#This Row],[Ean Normalizado]],Consumos!A:A,Consumos!E:E)</f>
        <v>#VALUE!</v>
      </c>
      <c r="R2533" s="38" t="e">
        <f>_xlfn.XLOOKUP(Tabla1[[#This Row],[Ean Normalizado]],tabla_consumos[EAN],tabla_consumos[UM])</f>
        <v>#VALUE!</v>
      </c>
      <c r="S2533" s="38" t="e">
        <f>Tabla1[[#This Row],[StockDisp]]*Tabla1[[#This Row],[UM producto]]</f>
        <v>#VALUE!</v>
      </c>
    </row>
    <row r="2534" spans="1:19" x14ac:dyDescent="0.35">
      <c r="A2534" s="5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6"/>
      <c r="P2534" s="23" t="e">
        <f>TRIM(Tabla1[[#This Row],[Articulo]])</f>
        <v>#VALUE!</v>
      </c>
      <c r="Q2534" s="23" t="e">
        <f>_xlfn.XLOOKUP(Tabla1[[#This Row],[Ean Normalizado]],Consumos!A:A,Consumos!E:E)</f>
        <v>#VALUE!</v>
      </c>
      <c r="R2534" s="38" t="e">
        <f>_xlfn.XLOOKUP(Tabla1[[#This Row],[Ean Normalizado]],tabla_consumos[EAN],tabla_consumos[UM])</f>
        <v>#VALUE!</v>
      </c>
      <c r="S2534" s="38" t="e">
        <f>Tabla1[[#This Row],[StockDisp]]*Tabla1[[#This Row],[UM producto]]</f>
        <v>#VALUE!</v>
      </c>
    </row>
    <row r="2535" spans="1:19" x14ac:dyDescent="0.35">
      <c r="A2535" s="5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6"/>
      <c r="P2535" s="23" t="e">
        <f>TRIM(Tabla1[[#This Row],[Articulo]])</f>
        <v>#VALUE!</v>
      </c>
      <c r="Q2535" s="23" t="e">
        <f>_xlfn.XLOOKUP(Tabla1[[#This Row],[Ean Normalizado]],Consumos!A:A,Consumos!E:E)</f>
        <v>#VALUE!</v>
      </c>
      <c r="R2535" s="38" t="e">
        <f>_xlfn.XLOOKUP(Tabla1[[#This Row],[Ean Normalizado]],tabla_consumos[EAN],tabla_consumos[UM])</f>
        <v>#VALUE!</v>
      </c>
      <c r="S2535" s="38" t="e">
        <f>Tabla1[[#This Row],[StockDisp]]*Tabla1[[#This Row],[UM producto]]</f>
        <v>#VALUE!</v>
      </c>
    </row>
    <row r="2536" spans="1:19" x14ac:dyDescent="0.35">
      <c r="A2536" s="5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6"/>
      <c r="P2536" s="23" t="e">
        <f>TRIM(Tabla1[[#This Row],[Articulo]])</f>
        <v>#VALUE!</v>
      </c>
      <c r="Q2536" s="23" t="e">
        <f>_xlfn.XLOOKUP(Tabla1[[#This Row],[Ean Normalizado]],Consumos!A:A,Consumos!E:E)</f>
        <v>#VALUE!</v>
      </c>
      <c r="R2536" s="38" t="e">
        <f>_xlfn.XLOOKUP(Tabla1[[#This Row],[Ean Normalizado]],tabla_consumos[EAN],tabla_consumos[UM])</f>
        <v>#VALUE!</v>
      </c>
      <c r="S2536" s="38" t="e">
        <f>Tabla1[[#This Row],[StockDisp]]*Tabla1[[#This Row],[UM producto]]</f>
        <v>#VALUE!</v>
      </c>
    </row>
    <row r="2537" spans="1:19" x14ac:dyDescent="0.35">
      <c r="A2537" s="5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6"/>
      <c r="P2537" s="23" t="e">
        <f>TRIM(Tabla1[[#This Row],[Articulo]])</f>
        <v>#VALUE!</v>
      </c>
      <c r="Q2537" s="23" t="e">
        <f>_xlfn.XLOOKUP(Tabla1[[#This Row],[Ean Normalizado]],Consumos!A:A,Consumos!E:E)</f>
        <v>#VALUE!</v>
      </c>
      <c r="R2537" s="38" t="e">
        <f>_xlfn.XLOOKUP(Tabla1[[#This Row],[Ean Normalizado]],tabla_consumos[EAN],tabla_consumos[UM])</f>
        <v>#VALUE!</v>
      </c>
      <c r="S2537" s="38" t="e">
        <f>Tabla1[[#This Row],[StockDisp]]*Tabla1[[#This Row],[UM producto]]</f>
        <v>#VALUE!</v>
      </c>
    </row>
    <row r="2538" spans="1:19" x14ac:dyDescent="0.35">
      <c r="A2538" s="5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6"/>
      <c r="P2538" s="23" t="e">
        <f>TRIM(Tabla1[[#This Row],[Articulo]])</f>
        <v>#VALUE!</v>
      </c>
      <c r="Q2538" s="23" t="e">
        <f>_xlfn.XLOOKUP(Tabla1[[#This Row],[Ean Normalizado]],Consumos!A:A,Consumos!E:E)</f>
        <v>#VALUE!</v>
      </c>
      <c r="R2538" s="38" t="e">
        <f>_xlfn.XLOOKUP(Tabla1[[#This Row],[Ean Normalizado]],tabla_consumos[EAN],tabla_consumos[UM])</f>
        <v>#VALUE!</v>
      </c>
      <c r="S2538" s="38" t="e">
        <f>Tabla1[[#This Row],[StockDisp]]*Tabla1[[#This Row],[UM producto]]</f>
        <v>#VALUE!</v>
      </c>
    </row>
    <row r="2539" spans="1:19" x14ac:dyDescent="0.35">
      <c r="A2539" s="5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6"/>
      <c r="P2539" s="23" t="e">
        <f>TRIM(Tabla1[[#This Row],[Articulo]])</f>
        <v>#VALUE!</v>
      </c>
      <c r="Q2539" s="23" t="e">
        <f>_xlfn.XLOOKUP(Tabla1[[#This Row],[Ean Normalizado]],Consumos!A:A,Consumos!E:E)</f>
        <v>#VALUE!</v>
      </c>
      <c r="R2539" s="38" t="e">
        <f>_xlfn.XLOOKUP(Tabla1[[#This Row],[Ean Normalizado]],tabla_consumos[EAN],tabla_consumos[UM])</f>
        <v>#VALUE!</v>
      </c>
      <c r="S2539" s="38" t="e">
        <f>Tabla1[[#This Row],[StockDisp]]*Tabla1[[#This Row],[UM producto]]</f>
        <v>#VALUE!</v>
      </c>
    </row>
    <row r="2540" spans="1:19" x14ac:dyDescent="0.35">
      <c r="A2540" s="5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6"/>
      <c r="P2540" s="23" t="e">
        <f>TRIM(Tabla1[[#This Row],[Articulo]])</f>
        <v>#VALUE!</v>
      </c>
      <c r="Q2540" s="23" t="e">
        <f>_xlfn.XLOOKUP(Tabla1[[#This Row],[Ean Normalizado]],Consumos!A:A,Consumos!E:E)</f>
        <v>#VALUE!</v>
      </c>
      <c r="R2540" s="38" t="e">
        <f>_xlfn.XLOOKUP(Tabla1[[#This Row],[Ean Normalizado]],tabla_consumos[EAN],tabla_consumos[UM])</f>
        <v>#VALUE!</v>
      </c>
      <c r="S2540" s="38" t="e">
        <f>Tabla1[[#This Row],[StockDisp]]*Tabla1[[#This Row],[UM producto]]</f>
        <v>#VALUE!</v>
      </c>
    </row>
    <row r="2541" spans="1:19" x14ac:dyDescent="0.35">
      <c r="A2541" s="5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6"/>
      <c r="P2541" s="23" t="e">
        <f>TRIM(Tabla1[[#This Row],[Articulo]])</f>
        <v>#VALUE!</v>
      </c>
      <c r="Q2541" s="23" t="e">
        <f>_xlfn.XLOOKUP(Tabla1[[#This Row],[Ean Normalizado]],Consumos!A:A,Consumos!E:E)</f>
        <v>#VALUE!</v>
      </c>
      <c r="R2541" s="38" t="e">
        <f>_xlfn.XLOOKUP(Tabla1[[#This Row],[Ean Normalizado]],tabla_consumos[EAN],tabla_consumos[UM])</f>
        <v>#VALUE!</v>
      </c>
      <c r="S2541" s="38" t="e">
        <f>Tabla1[[#This Row],[StockDisp]]*Tabla1[[#This Row],[UM producto]]</f>
        <v>#VALUE!</v>
      </c>
    </row>
    <row r="2542" spans="1:19" x14ac:dyDescent="0.35">
      <c r="A2542" s="5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6"/>
      <c r="P2542" s="23" t="e">
        <f>TRIM(Tabla1[[#This Row],[Articulo]])</f>
        <v>#VALUE!</v>
      </c>
      <c r="Q2542" s="23" t="e">
        <f>_xlfn.XLOOKUP(Tabla1[[#This Row],[Ean Normalizado]],Consumos!A:A,Consumos!E:E)</f>
        <v>#VALUE!</v>
      </c>
      <c r="R2542" s="38" t="e">
        <f>_xlfn.XLOOKUP(Tabla1[[#This Row],[Ean Normalizado]],tabla_consumos[EAN],tabla_consumos[UM])</f>
        <v>#VALUE!</v>
      </c>
      <c r="S2542" s="38" t="e">
        <f>Tabla1[[#This Row],[StockDisp]]*Tabla1[[#This Row],[UM producto]]</f>
        <v>#VALUE!</v>
      </c>
    </row>
    <row r="2543" spans="1:19" x14ac:dyDescent="0.35">
      <c r="A2543" s="5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6"/>
      <c r="P2543" s="23" t="e">
        <f>TRIM(Tabla1[[#This Row],[Articulo]])</f>
        <v>#VALUE!</v>
      </c>
      <c r="Q2543" s="23" t="e">
        <f>_xlfn.XLOOKUP(Tabla1[[#This Row],[Ean Normalizado]],Consumos!A:A,Consumos!E:E)</f>
        <v>#VALUE!</v>
      </c>
      <c r="R2543" s="38" t="e">
        <f>_xlfn.XLOOKUP(Tabla1[[#This Row],[Ean Normalizado]],tabla_consumos[EAN],tabla_consumos[UM])</f>
        <v>#VALUE!</v>
      </c>
      <c r="S2543" s="38" t="e">
        <f>Tabla1[[#This Row],[StockDisp]]*Tabla1[[#This Row],[UM producto]]</f>
        <v>#VALUE!</v>
      </c>
    </row>
    <row r="2544" spans="1:19" x14ac:dyDescent="0.35">
      <c r="A2544" s="5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6"/>
      <c r="P2544" s="23" t="e">
        <f>TRIM(Tabla1[[#This Row],[Articulo]])</f>
        <v>#VALUE!</v>
      </c>
      <c r="Q2544" s="23" t="e">
        <f>_xlfn.XLOOKUP(Tabla1[[#This Row],[Ean Normalizado]],Consumos!A:A,Consumos!E:E)</f>
        <v>#VALUE!</v>
      </c>
      <c r="R2544" s="38" t="e">
        <f>_xlfn.XLOOKUP(Tabla1[[#This Row],[Ean Normalizado]],tabla_consumos[EAN],tabla_consumos[UM])</f>
        <v>#VALUE!</v>
      </c>
      <c r="S2544" s="38" t="e">
        <f>Tabla1[[#This Row],[StockDisp]]*Tabla1[[#This Row],[UM producto]]</f>
        <v>#VALUE!</v>
      </c>
    </row>
    <row r="2545" spans="1:19" x14ac:dyDescent="0.35">
      <c r="A2545" s="5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6"/>
      <c r="P2545" s="23" t="e">
        <f>TRIM(Tabla1[[#This Row],[Articulo]])</f>
        <v>#VALUE!</v>
      </c>
      <c r="Q2545" s="23" t="e">
        <f>_xlfn.XLOOKUP(Tabla1[[#This Row],[Ean Normalizado]],Consumos!A:A,Consumos!E:E)</f>
        <v>#VALUE!</v>
      </c>
      <c r="R2545" s="38" t="e">
        <f>_xlfn.XLOOKUP(Tabla1[[#This Row],[Ean Normalizado]],tabla_consumos[EAN],tabla_consumos[UM])</f>
        <v>#VALUE!</v>
      </c>
      <c r="S2545" s="38" t="e">
        <f>Tabla1[[#This Row],[StockDisp]]*Tabla1[[#This Row],[UM producto]]</f>
        <v>#VALUE!</v>
      </c>
    </row>
    <row r="2546" spans="1:19" x14ac:dyDescent="0.35">
      <c r="A2546" s="5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6"/>
      <c r="P2546" s="23" t="e">
        <f>TRIM(Tabla1[[#This Row],[Articulo]])</f>
        <v>#VALUE!</v>
      </c>
      <c r="Q2546" s="23" t="e">
        <f>_xlfn.XLOOKUP(Tabla1[[#This Row],[Ean Normalizado]],Consumos!A:A,Consumos!E:E)</f>
        <v>#VALUE!</v>
      </c>
      <c r="R2546" s="38" t="e">
        <f>_xlfn.XLOOKUP(Tabla1[[#This Row],[Ean Normalizado]],tabla_consumos[EAN],tabla_consumos[UM])</f>
        <v>#VALUE!</v>
      </c>
      <c r="S2546" s="38" t="e">
        <f>Tabla1[[#This Row],[StockDisp]]*Tabla1[[#This Row],[UM producto]]</f>
        <v>#VALUE!</v>
      </c>
    </row>
    <row r="2547" spans="1:19" x14ac:dyDescent="0.35">
      <c r="A2547" s="5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6"/>
      <c r="P2547" s="23" t="e">
        <f>TRIM(Tabla1[[#This Row],[Articulo]])</f>
        <v>#VALUE!</v>
      </c>
      <c r="Q2547" s="23" t="e">
        <f>_xlfn.XLOOKUP(Tabla1[[#This Row],[Ean Normalizado]],Consumos!A:A,Consumos!E:E)</f>
        <v>#VALUE!</v>
      </c>
      <c r="R2547" s="38" t="e">
        <f>_xlfn.XLOOKUP(Tabla1[[#This Row],[Ean Normalizado]],tabla_consumos[EAN],tabla_consumos[UM])</f>
        <v>#VALUE!</v>
      </c>
      <c r="S2547" s="38" t="e">
        <f>Tabla1[[#This Row],[StockDisp]]*Tabla1[[#This Row],[UM producto]]</f>
        <v>#VALUE!</v>
      </c>
    </row>
    <row r="2548" spans="1:19" x14ac:dyDescent="0.35">
      <c r="A2548" s="5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6"/>
      <c r="P2548" s="23" t="e">
        <f>TRIM(Tabla1[[#This Row],[Articulo]])</f>
        <v>#VALUE!</v>
      </c>
      <c r="Q2548" s="23" t="e">
        <f>_xlfn.XLOOKUP(Tabla1[[#This Row],[Ean Normalizado]],Consumos!A:A,Consumos!E:E)</f>
        <v>#VALUE!</v>
      </c>
      <c r="R2548" s="38" t="e">
        <f>_xlfn.XLOOKUP(Tabla1[[#This Row],[Ean Normalizado]],tabla_consumos[EAN],tabla_consumos[UM])</f>
        <v>#VALUE!</v>
      </c>
      <c r="S2548" s="38" t="e">
        <f>Tabla1[[#This Row],[StockDisp]]*Tabla1[[#This Row],[UM producto]]</f>
        <v>#VALUE!</v>
      </c>
    </row>
    <row r="2549" spans="1:19" x14ac:dyDescent="0.35">
      <c r="A2549" s="5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6"/>
      <c r="P2549" s="23" t="e">
        <f>TRIM(Tabla1[[#This Row],[Articulo]])</f>
        <v>#VALUE!</v>
      </c>
      <c r="Q2549" s="23" t="e">
        <f>_xlfn.XLOOKUP(Tabla1[[#This Row],[Ean Normalizado]],Consumos!A:A,Consumos!E:E)</f>
        <v>#VALUE!</v>
      </c>
      <c r="R2549" s="38" t="e">
        <f>_xlfn.XLOOKUP(Tabla1[[#This Row],[Ean Normalizado]],tabla_consumos[EAN],tabla_consumos[UM])</f>
        <v>#VALUE!</v>
      </c>
      <c r="S2549" s="38" t="e">
        <f>Tabla1[[#This Row],[StockDisp]]*Tabla1[[#This Row],[UM producto]]</f>
        <v>#VALUE!</v>
      </c>
    </row>
    <row r="2550" spans="1:19" x14ac:dyDescent="0.35">
      <c r="A2550" s="5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6"/>
      <c r="P2550" s="23" t="e">
        <f>TRIM(Tabla1[[#This Row],[Articulo]])</f>
        <v>#VALUE!</v>
      </c>
      <c r="Q2550" s="23" t="e">
        <f>_xlfn.XLOOKUP(Tabla1[[#This Row],[Ean Normalizado]],Consumos!A:A,Consumos!E:E)</f>
        <v>#VALUE!</v>
      </c>
      <c r="R2550" s="38" t="e">
        <f>_xlfn.XLOOKUP(Tabla1[[#This Row],[Ean Normalizado]],tabla_consumos[EAN],tabla_consumos[UM])</f>
        <v>#VALUE!</v>
      </c>
      <c r="S2550" s="38" t="e">
        <f>Tabla1[[#This Row],[StockDisp]]*Tabla1[[#This Row],[UM producto]]</f>
        <v>#VALUE!</v>
      </c>
    </row>
    <row r="2551" spans="1:19" x14ac:dyDescent="0.35">
      <c r="A2551" s="5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6"/>
      <c r="P2551" s="23" t="e">
        <f>TRIM(Tabla1[[#This Row],[Articulo]])</f>
        <v>#VALUE!</v>
      </c>
      <c r="Q2551" s="23" t="e">
        <f>_xlfn.XLOOKUP(Tabla1[[#This Row],[Ean Normalizado]],Consumos!A:A,Consumos!E:E)</f>
        <v>#VALUE!</v>
      </c>
      <c r="R2551" s="38" t="e">
        <f>_xlfn.XLOOKUP(Tabla1[[#This Row],[Ean Normalizado]],tabla_consumos[EAN],tabla_consumos[UM])</f>
        <v>#VALUE!</v>
      </c>
      <c r="S2551" s="38" t="e">
        <f>Tabla1[[#This Row],[StockDisp]]*Tabla1[[#This Row],[UM producto]]</f>
        <v>#VALUE!</v>
      </c>
    </row>
    <row r="2552" spans="1:19" x14ac:dyDescent="0.35">
      <c r="A2552" s="5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6"/>
      <c r="P2552" s="23" t="e">
        <f>TRIM(Tabla1[[#This Row],[Articulo]])</f>
        <v>#VALUE!</v>
      </c>
      <c r="Q2552" s="23" t="e">
        <f>_xlfn.XLOOKUP(Tabla1[[#This Row],[Ean Normalizado]],Consumos!A:A,Consumos!E:E)</f>
        <v>#VALUE!</v>
      </c>
      <c r="R2552" s="38" t="e">
        <f>_xlfn.XLOOKUP(Tabla1[[#This Row],[Ean Normalizado]],tabla_consumos[EAN],tabla_consumos[UM])</f>
        <v>#VALUE!</v>
      </c>
      <c r="S2552" s="38" t="e">
        <f>Tabla1[[#This Row],[StockDisp]]*Tabla1[[#This Row],[UM producto]]</f>
        <v>#VALUE!</v>
      </c>
    </row>
    <row r="2553" spans="1:19" x14ac:dyDescent="0.35">
      <c r="A2553" s="5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6"/>
      <c r="P2553" s="23" t="e">
        <f>TRIM(Tabla1[[#This Row],[Articulo]])</f>
        <v>#VALUE!</v>
      </c>
      <c r="Q2553" s="23" t="e">
        <f>_xlfn.XLOOKUP(Tabla1[[#This Row],[Ean Normalizado]],Consumos!A:A,Consumos!E:E)</f>
        <v>#VALUE!</v>
      </c>
      <c r="R2553" s="38" t="e">
        <f>_xlfn.XLOOKUP(Tabla1[[#This Row],[Ean Normalizado]],tabla_consumos[EAN],tabla_consumos[UM])</f>
        <v>#VALUE!</v>
      </c>
      <c r="S2553" s="38" t="e">
        <f>Tabla1[[#This Row],[StockDisp]]*Tabla1[[#This Row],[UM producto]]</f>
        <v>#VALUE!</v>
      </c>
    </row>
    <row r="2554" spans="1:19" x14ac:dyDescent="0.35">
      <c r="A2554" s="5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6"/>
      <c r="P2554" s="23" t="e">
        <f>TRIM(Tabla1[[#This Row],[Articulo]])</f>
        <v>#VALUE!</v>
      </c>
      <c r="Q2554" s="23" t="e">
        <f>_xlfn.XLOOKUP(Tabla1[[#This Row],[Ean Normalizado]],Consumos!A:A,Consumos!E:E)</f>
        <v>#VALUE!</v>
      </c>
      <c r="R2554" s="38" t="e">
        <f>_xlfn.XLOOKUP(Tabla1[[#This Row],[Ean Normalizado]],tabla_consumos[EAN],tabla_consumos[UM])</f>
        <v>#VALUE!</v>
      </c>
      <c r="S2554" s="38" t="e">
        <f>Tabla1[[#This Row],[StockDisp]]*Tabla1[[#This Row],[UM producto]]</f>
        <v>#VALUE!</v>
      </c>
    </row>
    <row r="2555" spans="1:19" x14ac:dyDescent="0.35">
      <c r="A2555" s="5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6"/>
      <c r="P2555" s="23" t="e">
        <f>TRIM(Tabla1[[#This Row],[Articulo]])</f>
        <v>#VALUE!</v>
      </c>
      <c r="Q2555" s="23" t="e">
        <f>_xlfn.XLOOKUP(Tabla1[[#This Row],[Ean Normalizado]],Consumos!A:A,Consumos!E:E)</f>
        <v>#VALUE!</v>
      </c>
      <c r="R2555" s="38" t="e">
        <f>_xlfn.XLOOKUP(Tabla1[[#This Row],[Ean Normalizado]],tabla_consumos[EAN],tabla_consumos[UM])</f>
        <v>#VALUE!</v>
      </c>
      <c r="S2555" s="38" t="e">
        <f>Tabla1[[#This Row],[StockDisp]]*Tabla1[[#This Row],[UM producto]]</f>
        <v>#VALUE!</v>
      </c>
    </row>
    <row r="2556" spans="1:19" x14ac:dyDescent="0.35">
      <c r="A2556" s="5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6"/>
      <c r="P2556" s="23" t="e">
        <f>TRIM(Tabla1[[#This Row],[Articulo]])</f>
        <v>#VALUE!</v>
      </c>
      <c r="Q2556" s="23" t="e">
        <f>_xlfn.XLOOKUP(Tabla1[[#This Row],[Ean Normalizado]],Consumos!A:A,Consumos!E:E)</f>
        <v>#VALUE!</v>
      </c>
      <c r="R2556" s="38" t="e">
        <f>_xlfn.XLOOKUP(Tabla1[[#This Row],[Ean Normalizado]],tabla_consumos[EAN],tabla_consumos[UM])</f>
        <v>#VALUE!</v>
      </c>
      <c r="S2556" s="38" t="e">
        <f>Tabla1[[#This Row],[StockDisp]]*Tabla1[[#This Row],[UM producto]]</f>
        <v>#VALUE!</v>
      </c>
    </row>
    <row r="2557" spans="1:19" x14ac:dyDescent="0.35">
      <c r="A2557" s="5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6"/>
      <c r="P2557" s="23" t="e">
        <f>TRIM(Tabla1[[#This Row],[Articulo]])</f>
        <v>#VALUE!</v>
      </c>
      <c r="Q2557" s="23" t="e">
        <f>_xlfn.XLOOKUP(Tabla1[[#This Row],[Ean Normalizado]],Consumos!A:A,Consumos!E:E)</f>
        <v>#VALUE!</v>
      </c>
      <c r="R2557" s="38" t="e">
        <f>_xlfn.XLOOKUP(Tabla1[[#This Row],[Ean Normalizado]],tabla_consumos[EAN],tabla_consumos[UM])</f>
        <v>#VALUE!</v>
      </c>
      <c r="S2557" s="38" t="e">
        <f>Tabla1[[#This Row],[StockDisp]]*Tabla1[[#This Row],[UM producto]]</f>
        <v>#VALUE!</v>
      </c>
    </row>
    <row r="2558" spans="1:19" x14ac:dyDescent="0.35">
      <c r="A2558" s="5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6"/>
      <c r="P2558" s="23" t="e">
        <f>TRIM(Tabla1[[#This Row],[Articulo]])</f>
        <v>#VALUE!</v>
      </c>
      <c r="Q2558" s="23" t="e">
        <f>_xlfn.XLOOKUP(Tabla1[[#This Row],[Ean Normalizado]],Consumos!A:A,Consumos!E:E)</f>
        <v>#VALUE!</v>
      </c>
      <c r="R2558" s="38" t="e">
        <f>_xlfn.XLOOKUP(Tabla1[[#This Row],[Ean Normalizado]],tabla_consumos[EAN],tabla_consumos[UM])</f>
        <v>#VALUE!</v>
      </c>
      <c r="S2558" s="38" t="e">
        <f>Tabla1[[#This Row],[StockDisp]]*Tabla1[[#This Row],[UM producto]]</f>
        <v>#VALUE!</v>
      </c>
    </row>
    <row r="2559" spans="1:19" x14ac:dyDescent="0.35">
      <c r="A2559" s="5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6"/>
      <c r="P2559" s="23" t="e">
        <f>TRIM(Tabla1[[#This Row],[Articulo]])</f>
        <v>#VALUE!</v>
      </c>
      <c r="Q2559" s="23" t="e">
        <f>_xlfn.XLOOKUP(Tabla1[[#This Row],[Ean Normalizado]],Consumos!A:A,Consumos!E:E)</f>
        <v>#VALUE!</v>
      </c>
      <c r="R2559" s="38" t="e">
        <f>_xlfn.XLOOKUP(Tabla1[[#This Row],[Ean Normalizado]],tabla_consumos[EAN],tabla_consumos[UM])</f>
        <v>#VALUE!</v>
      </c>
      <c r="S2559" s="38" t="e">
        <f>Tabla1[[#This Row],[StockDisp]]*Tabla1[[#This Row],[UM producto]]</f>
        <v>#VALUE!</v>
      </c>
    </row>
    <row r="2560" spans="1:19" x14ac:dyDescent="0.35">
      <c r="A2560" s="5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6"/>
      <c r="P2560" s="23" t="e">
        <f>TRIM(Tabla1[[#This Row],[Articulo]])</f>
        <v>#VALUE!</v>
      </c>
      <c r="Q2560" s="23" t="e">
        <f>_xlfn.XLOOKUP(Tabla1[[#This Row],[Ean Normalizado]],Consumos!A:A,Consumos!E:E)</f>
        <v>#VALUE!</v>
      </c>
      <c r="R2560" s="38" t="e">
        <f>_xlfn.XLOOKUP(Tabla1[[#This Row],[Ean Normalizado]],tabla_consumos[EAN],tabla_consumos[UM])</f>
        <v>#VALUE!</v>
      </c>
      <c r="S2560" s="38" t="e">
        <f>Tabla1[[#This Row],[StockDisp]]*Tabla1[[#This Row],[UM producto]]</f>
        <v>#VALUE!</v>
      </c>
    </row>
    <row r="2561" spans="1:19" x14ac:dyDescent="0.35">
      <c r="A2561" s="5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6"/>
      <c r="P2561" s="23" t="e">
        <f>TRIM(Tabla1[[#This Row],[Articulo]])</f>
        <v>#VALUE!</v>
      </c>
      <c r="Q2561" s="23" t="e">
        <f>_xlfn.XLOOKUP(Tabla1[[#This Row],[Ean Normalizado]],Consumos!A:A,Consumos!E:E)</f>
        <v>#VALUE!</v>
      </c>
      <c r="R2561" s="38" t="e">
        <f>_xlfn.XLOOKUP(Tabla1[[#This Row],[Ean Normalizado]],tabla_consumos[EAN],tabla_consumos[UM])</f>
        <v>#VALUE!</v>
      </c>
      <c r="S2561" s="38" t="e">
        <f>Tabla1[[#This Row],[StockDisp]]*Tabla1[[#This Row],[UM producto]]</f>
        <v>#VALUE!</v>
      </c>
    </row>
    <row r="2562" spans="1:19" x14ac:dyDescent="0.35">
      <c r="A2562" s="5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6"/>
      <c r="P2562" s="23" t="e">
        <f>TRIM(Tabla1[[#This Row],[Articulo]])</f>
        <v>#VALUE!</v>
      </c>
      <c r="Q2562" s="23" t="e">
        <f>_xlfn.XLOOKUP(Tabla1[[#This Row],[Ean Normalizado]],Consumos!A:A,Consumos!E:E)</f>
        <v>#VALUE!</v>
      </c>
      <c r="R2562" s="38" t="e">
        <f>_xlfn.XLOOKUP(Tabla1[[#This Row],[Ean Normalizado]],tabla_consumos[EAN],tabla_consumos[UM])</f>
        <v>#VALUE!</v>
      </c>
      <c r="S2562" s="38" t="e">
        <f>Tabla1[[#This Row],[StockDisp]]*Tabla1[[#This Row],[UM producto]]</f>
        <v>#VALUE!</v>
      </c>
    </row>
    <row r="2563" spans="1:19" x14ac:dyDescent="0.35">
      <c r="A2563" s="5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6"/>
      <c r="P2563" s="23" t="e">
        <f>TRIM(Tabla1[[#This Row],[Articulo]])</f>
        <v>#VALUE!</v>
      </c>
      <c r="Q2563" s="23" t="e">
        <f>_xlfn.XLOOKUP(Tabla1[[#This Row],[Ean Normalizado]],Consumos!A:A,Consumos!E:E)</f>
        <v>#VALUE!</v>
      </c>
      <c r="R2563" s="38" t="e">
        <f>_xlfn.XLOOKUP(Tabla1[[#This Row],[Ean Normalizado]],tabla_consumos[EAN],tabla_consumos[UM])</f>
        <v>#VALUE!</v>
      </c>
      <c r="S2563" s="38" t="e">
        <f>Tabla1[[#This Row],[StockDisp]]*Tabla1[[#This Row],[UM producto]]</f>
        <v>#VALUE!</v>
      </c>
    </row>
    <row r="2564" spans="1:19" x14ac:dyDescent="0.35">
      <c r="A2564" s="5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6"/>
      <c r="P2564" s="23" t="e">
        <f>TRIM(Tabla1[[#This Row],[Articulo]])</f>
        <v>#VALUE!</v>
      </c>
      <c r="Q2564" s="23" t="e">
        <f>_xlfn.XLOOKUP(Tabla1[[#This Row],[Ean Normalizado]],Consumos!A:A,Consumos!E:E)</f>
        <v>#VALUE!</v>
      </c>
      <c r="R2564" s="38" t="e">
        <f>_xlfn.XLOOKUP(Tabla1[[#This Row],[Ean Normalizado]],tabla_consumos[EAN],tabla_consumos[UM])</f>
        <v>#VALUE!</v>
      </c>
      <c r="S2564" s="38" t="e">
        <f>Tabla1[[#This Row],[StockDisp]]*Tabla1[[#This Row],[UM producto]]</f>
        <v>#VALUE!</v>
      </c>
    </row>
    <row r="2565" spans="1:19" x14ac:dyDescent="0.35">
      <c r="A2565" s="5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6"/>
      <c r="P2565" s="23" t="e">
        <f>TRIM(Tabla1[[#This Row],[Articulo]])</f>
        <v>#VALUE!</v>
      </c>
      <c r="Q2565" s="23" t="e">
        <f>_xlfn.XLOOKUP(Tabla1[[#This Row],[Ean Normalizado]],Consumos!A:A,Consumos!E:E)</f>
        <v>#VALUE!</v>
      </c>
      <c r="R2565" s="38" t="e">
        <f>_xlfn.XLOOKUP(Tabla1[[#This Row],[Ean Normalizado]],tabla_consumos[EAN],tabla_consumos[UM])</f>
        <v>#VALUE!</v>
      </c>
      <c r="S2565" s="38" t="e">
        <f>Tabla1[[#This Row],[StockDisp]]*Tabla1[[#This Row],[UM producto]]</f>
        <v>#VALUE!</v>
      </c>
    </row>
    <row r="2566" spans="1:19" x14ac:dyDescent="0.35">
      <c r="A2566" s="5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6"/>
      <c r="P2566" s="23" t="e">
        <f>TRIM(Tabla1[[#This Row],[Articulo]])</f>
        <v>#VALUE!</v>
      </c>
      <c r="Q2566" s="23" t="e">
        <f>_xlfn.XLOOKUP(Tabla1[[#This Row],[Ean Normalizado]],Consumos!A:A,Consumos!E:E)</f>
        <v>#VALUE!</v>
      </c>
      <c r="R2566" s="38" t="e">
        <f>_xlfn.XLOOKUP(Tabla1[[#This Row],[Ean Normalizado]],tabla_consumos[EAN],tabla_consumos[UM])</f>
        <v>#VALUE!</v>
      </c>
      <c r="S2566" s="38" t="e">
        <f>Tabla1[[#This Row],[StockDisp]]*Tabla1[[#This Row],[UM producto]]</f>
        <v>#VALUE!</v>
      </c>
    </row>
    <row r="2567" spans="1:19" x14ac:dyDescent="0.35">
      <c r="A2567" s="5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6"/>
      <c r="P2567" s="23" t="e">
        <f>TRIM(Tabla1[[#This Row],[Articulo]])</f>
        <v>#VALUE!</v>
      </c>
      <c r="Q2567" s="23" t="e">
        <f>_xlfn.XLOOKUP(Tabla1[[#This Row],[Ean Normalizado]],Consumos!A:A,Consumos!E:E)</f>
        <v>#VALUE!</v>
      </c>
      <c r="R2567" s="38" t="e">
        <f>_xlfn.XLOOKUP(Tabla1[[#This Row],[Ean Normalizado]],tabla_consumos[EAN],tabla_consumos[UM])</f>
        <v>#VALUE!</v>
      </c>
      <c r="S2567" s="38" t="e">
        <f>Tabla1[[#This Row],[StockDisp]]*Tabla1[[#This Row],[UM producto]]</f>
        <v>#VALUE!</v>
      </c>
    </row>
    <row r="2568" spans="1:19" x14ac:dyDescent="0.35">
      <c r="A2568" s="5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6"/>
      <c r="P2568" s="23" t="e">
        <f>TRIM(Tabla1[[#This Row],[Articulo]])</f>
        <v>#VALUE!</v>
      </c>
      <c r="Q2568" s="23" t="e">
        <f>_xlfn.XLOOKUP(Tabla1[[#This Row],[Ean Normalizado]],Consumos!A:A,Consumos!E:E)</f>
        <v>#VALUE!</v>
      </c>
      <c r="R2568" s="38" t="e">
        <f>_xlfn.XLOOKUP(Tabla1[[#This Row],[Ean Normalizado]],tabla_consumos[EAN],tabla_consumos[UM])</f>
        <v>#VALUE!</v>
      </c>
      <c r="S2568" s="38" t="e">
        <f>Tabla1[[#This Row],[StockDisp]]*Tabla1[[#This Row],[UM producto]]</f>
        <v>#VALUE!</v>
      </c>
    </row>
    <row r="2569" spans="1:19" x14ac:dyDescent="0.35">
      <c r="A2569" s="5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6"/>
      <c r="P2569" s="23" t="e">
        <f>TRIM(Tabla1[[#This Row],[Articulo]])</f>
        <v>#VALUE!</v>
      </c>
      <c r="Q2569" s="23" t="e">
        <f>_xlfn.XLOOKUP(Tabla1[[#This Row],[Ean Normalizado]],Consumos!A:A,Consumos!E:E)</f>
        <v>#VALUE!</v>
      </c>
      <c r="R2569" s="38" t="e">
        <f>_xlfn.XLOOKUP(Tabla1[[#This Row],[Ean Normalizado]],tabla_consumos[EAN],tabla_consumos[UM])</f>
        <v>#VALUE!</v>
      </c>
      <c r="S2569" s="38" t="e">
        <f>Tabla1[[#This Row],[StockDisp]]*Tabla1[[#This Row],[UM producto]]</f>
        <v>#VALUE!</v>
      </c>
    </row>
    <row r="2570" spans="1:19" x14ac:dyDescent="0.35">
      <c r="A2570" s="5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6"/>
      <c r="P2570" s="23" t="e">
        <f>TRIM(Tabla1[[#This Row],[Articulo]])</f>
        <v>#VALUE!</v>
      </c>
      <c r="Q2570" s="23" t="e">
        <f>_xlfn.XLOOKUP(Tabla1[[#This Row],[Ean Normalizado]],Consumos!A:A,Consumos!E:E)</f>
        <v>#VALUE!</v>
      </c>
      <c r="R2570" s="38" t="e">
        <f>_xlfn.XLOOKUP(Tabla1[[#This Row],[Ean Normalizado]],tabla_consumos[EAN],tabla_consumos[UM])</f>
        <v>#VALUE!</v>
      </c>
      <c r="S2570" s="38" t="e">
        <f>Tabla1[[#This Row],[StockDisp]]*Tabla1[[#This Row],[UM producto]]</f>
        <v>#VALUE!</v>
      </c>
    </row>
    <row r="2571" spans="1:19" x14ac:dyDescent="0.35">
      <c r="A2571" s="5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6"/>
      <c r="P2571" s="23" t="e">
        <f>TRIM(Tabla1[[#This Row],[Articulo]])</f>
        <v>#VALUE!</v>
      </c>
      <c r="Q2571" s="23" t="e">
        <f>_xlfn.XLOOKUP(Tabla1[[#This Row],[Ean Normalizado]],Consumos!A:A,Consumos!E:E)</f>
        <v>#VALUE!</v>
      </c>
      <c r="R2571" s="38" t="e">
        <f>_xlfn.XLOOKUP(Tabla1[[#This Row],[Ean Normalizado]],tabla_consumos[EAN],tabla_consumos[UM])</f>
        <v>#VALUE!</v>
      </c>
      <c r="S2571" s="38" t="e">
        <f>Tabla1[[#This Row],[StockDisp]]*Tabla1[[#This Row],[UM producto]]</f>
        <v>#VALUE!</v>
      </c>
    </row>
    <row r="2572" spans="1:19" x14ac:dyDescent="0.35">
      <c r="A2572" s="5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6"/>
      <c r="P2572" s="23" t="e">
        <f>TRIM(Tabla1[[#This Row],[Articulo]])</f>
        <v>#VALUE!</v>
      </c>
      <c r="Q2572" s="23" t="e">
        <f>_xlfn.XLOOKUP(Tabla1[[#This Row],[Ean Normalizado]],Consumos!A:A,Consumos!E:E)</f>
        <v>#VALUE!</v>
      </c>
      <c r="R2572" s="38" t="e">
        <f>_xlfn.XLOOKUP(Tabla1[[#This Row],[Ean Normalizado]],tabla_consumos[EAN],tabla_consumos[UM])</f>
        <v>#VALUE!</v>
      </c>
      <c r="S2572" s="38" t="e">
        <f>Tabla1[[#This Row],[StockDisp]]*Tabla1[[#This Row],[UM producto]]</f>
        <v>#VALUE!</v>
      </c>
    </row>
    <row r="2573" spans="1:19" x14ac:dyDescent="0.35">
      <c r="A2573" s="5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6"/>
      <c r="P2573" s="23" t="e">
        <f>TRIM(Tabla1[[#This Row],[Articulo]])</f>
        <v>#VALUE!</v>
      </c>
      <c r="Q2573" s="23" t="e">
        <f>_xlfn.XLOOKUP(Tabla1[[#This Row],[Ean Normalizado]],Consumos!A:A,Consumos!E:E)</f>
        <v>#VALUE!</v>
      </c>
      <c r="R2573" s="38" t="e">
        <f>_xlfn.XLOOKUP(Tabla1[[#This Row],[Ean Normalizado]],tabla_consumos[EAN],tabla_consumos[UM])</f>
        <v>#VALUE!</v>
      </c>
      <c r="S2573" s="38" t="e">
        <f>Tabla1[[#This Row],[StockDisp]]*Tabla1[[#This Row],[UM producto]]</f>
        <v>#VALUE!</v>
      </c>
    </row>
    <row r="2574" spans="1:19" x14ac:dyDescent="0.35">
      <c r="A2574" s="5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6"/>
      <c r="P2574" s="23" t="e">
        <f>TRIM(Tabla1[[#This Row],[Articulo]])</f>
        <v>#VALUE!</v>
      </c>
      <c r="Q2574" s="23" t="e">
        <f>_xlfn.XLOOKUP(Tabla1[[#This Row],[Ean Normalizado]],Consumos!A:A,Consumos!E:E)</f>
        <v>#VALUE!</v>
      </c>
      <c r="R2574" s="38" t="e">
        <f>_xlfn.XLOOKUP(Tabla1[[#This Row],[Ean Normalizado]],tabla_consumos[EAN],tabla_consumos[UM])</f>
        <v>#VALUE!</v>
      </c>
      <c r="S2574" s="38" t="e">
        <f>Tabla1[[#This Row],[StockDisp]]*Tabla1[[#This Row],[UM producto]]</f>
        <v>#VALUE!</v>
      </c>
    </row>
    <row r="2575" spans="1:19" x14ac:dyDescent="0.35">
      <c r="A2575" s="5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6"/>
      <c r="P2575" s="23" t="e">
        <f>TRIM(Tabla1[[#This Row],[Articulo]])</f>
        <v>#VALUE!</v>
      </c>
      <c r="Q2575" s="23" t="e">
        <f>_xlfn.XLOOKUP(Tabla1[[#This Row],[Ean Normalizado]],Consumos!A:A,Consumos!E:E)</f>
        <v>#VALUE!</v>
      </c>
      <c r="R2575" s="38" t="e">
        <f>_xlfn.XLOOKUP(Tabla1[[#This Row],[Ean Normalizado]],tabla_consumos[EAN],tabla_consumos[UM])</f>
        <v>#VALUE!</v>
      </c>
      <c r="S2575" s="38" t="e">
        <f>Tabla1[[#This Row],[StockDisp]]*Tabla1[[#This Row],[UM producto]]</f>
        <v>#VALUE!</v>
      </c>
    </row>
    <row r="2576" spans="1:19" x14ac:dyDescent="0.35">
      <c r="A2576" s="5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6"/>
      <c r="P2576" s="23" t="e">
        <f>TRIM(Tabla1[[#This Row],[Articulo]])</f>
        <v>#VALUE!</v>
      </c>
      <c r="Q2576" s="23" t="e">
        <f>_xlfn.XLOOKUP(Tabla1[[#This Row],[Ean Normalizado]],Consumos!A:A,Consumos!E:E)</f>
        <v>#VALUE!</v>
      </c>
      <c r="R2576" s="38" t="e">
        <f>_xlfn.XLOOKUP(Tabla1[[#This Row],[Ean Normalizado]],tabla_consumos[EAN],tabla_consumos[UM])</f>
        <v>#VALUE!</v>
      </c>
      <c r="S2576" s="38" t="e">
        <f>Tabla1[[#This Row],[StockDisp]]*Tabla1[[#This Row],[UM producto]]</f>
        <v>#VALUE!</v>
      </c>
    </row>
    <row r="2577" spans="1:19" x14ac:dyDescent="0.35">
      <c r="A2577" s="5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6"/>
      <c r="P2577" s="23" t="e">
        <f>TRIM(Tabla1[[#This Row],[Articulo]])</f>
        <v>#VALUE!</v>
      </c>
      <c r="Q2577" s="23" t="e">
        <f>_xlfn.XLOOKUP(Tabla1[[#This Row],[Ean Normalizado]],Consumos!A:A,Consumos!E:E)</f>
        <v>#VALUE!</v>
      </c>
      <c r="R2577" s="38" t="e">
        <f>_xlfn.XLOOKUP(Tabla1[[#This Row],[Ean Normalizado]],tabla_consumos[EAN],tabla_consumos[UM])</f>
        <v>#VALUE!</v>
      </c>
      <c r="S2577" s="38" t="e">
        <f>Tabla1[[#This Row],[StockDisp]]*Tabla1[[#This Row],[UM producto]]</f>
        <v>#VALUE!</v>
      </c>
    </row>
    <row r="2578" spans="1:19" x14ac:dyDescent="0.35">
      <c r="A2578" s="5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6"/>
      <c r="P2578" s="23" t="e">
        <f>TRIM(Tabla1[[#This Row],[Articulo]])</f>
        <v>#VALUE!</v>
      </c>
      <c r="Q2578" s="23" t="e">
        <f>_xlfn.XLOOKUP(Tabla1[[#This Row],[Ean Normalizado]],Consumos!A:A,Consumos!E:E)</f>
        <v>#VALUE!</v>
      </c>
      <c r="R2578" s="38" t="e">
        <f>_xlfn.XLOOKUP(Tabla1[[#This Row],[Ean Normalizado]],tabla_consumos[EAN],tabla_consumos[UM])</f>
        <v>#VALUE!</v>
      </c>
      <c r="S2578" s="38" t="e">
        <f>Tabla1[[#This Row],[StockDisp]]*Tabla1[[#This Row],[UM producto]]</f>
        <v>#VALUE!</v>
      </c>
    </row>
    <row r="2579" spans="1:19" x14ac:dyDescent="0.35">
      <c r="A2579" s="5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6"/>
      <c r="P2579" s="23" t="e">
        <f>TRIM(Tabla1[[#This Row],[Articulo]])</f>
        <v>#VALUE!</v>
      </c>
      <c r="Q2579" s="23" t="e">
        <f>_xlfn.XLOOKUP(Tabla1[[#This Row],[Ean Normalizado]],Consumos!A:A,Consumos!E:E)</f>
        <v>#VALUE!</v>
      </c>
      <c r="R2579" s="38" t="e">
        <f>_xlfn.XLOOKUP(Tabla1[[#This Row],[Ean Normalizado]],tabla_consumos[EAN],tabla_consumos[UM])</f>
        <v>#VALUE!</v>
      </c>
      <c r="S2579" s="38" t="e">
        <f>Tabla1[[#This Row],[StockDisp]]*Tabla1[[#This Row],[UM producto]]</f>
        <v>#VALUE!</v>
      </c>
    </row>
    <row r="2580" spans="1:19" x14ac:dyDescent="0.35">
      <c r="A2580" s="5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6"/>
      <c r="P2580" s="23" t="e">
        <f>TRIM(Tabla1[[#This Row],[Articulo]])</f>
        <v>#VALUE!</v>
      </c>
      <c r="Q2580" s="23" t="e">
        <f>_xlfn.XLOOKUP(Tabla1[[#This Row],[Ean Normalizado]],Consumos!A:A,Consumos!E:E)</f>
        <v>#VALUE!</v>
      </c>
      <c r="R2580" s="38" t="e">
        <f>_xlfn.XLOOKUP(Tabla1[[#This Row],[Ean Normalizado]],tabla_consumos[EAN],tabla_consumos[UM])</f>
        <v>#VALUE!</v>
      </c>
      <c r="S2580" s="38" t="e">
        <f>Tabla1[[#This Row],[StockDisp]]*Tabla1[[#This Row],[UM producto]]</f>
        <v>#VALUE!</v>
      </c>
    </row>
    <row r="2581" spans="1:19" x14ac:dyDescent="0.35">
      <c r="A2581" s="5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6"/>
      <c r="P2581" s="23" t="e">
        <f>TRIM(Tabla1[[#This Row],[Articulo]])</f>
        <v>#VALUE!</v>
      </c>
      <c r="Q2581" s="23" t="e">
        <f>_xlfn.XLOOKUP(Tabla1[[#This Row],[Ean Normalizado]],Consumos!A:A,Consumos!E:E)</f>
        <v>#VALUE!</v>
      </c>
      <c r="R2581" s="38" t="e">
        <f>_xlfn.XLOOKUP(Tabla1[[#This Row],[Ean Normalizado]],tabla_consumos[EAN],tabla_consumos[UM])</f>
        <v>#VALUE!</v>
      </c>
      <c r="S2581" s="38" t="e">
        <f>Tabla1[[#This Row],[StockDisp]]*Tabla1[[#This Row],[UM producto]]</f>
        <v>#VALUE!</v>
      </c>
    </row>
    <row r="2582" spans="1:19" x14ac:dyDescent="0.35">
      <c r="A2582" s="5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6"/>
      <c r="P2582" s="23" t="e">
        <f>TRIM(Tabla1[[#This Row],[Articulo]])</f>
        <v>#VALUE!</v>
      </c>
      <c r="Q2582" s="23" t="e">
        <f>_xlfn.XLOOKUP(Tabla1[[#This Row],[Ean Normalizado]],Consumos!A:A,Consumos!E:E)</f>
        <v>#VALUE!</v>
      </c>
      <c r="R2582" s="38" t="e">
        <f>_xlfn.XLOOKUP(Tabla1[[#This Row],[Ean Normalizado]],tabla_consumos[EAN],tabla_consumos[UM])</f>
        <v>#VALUE!</v>
      </c>
      <c r="S2582" s="38" t="e">
        <f>Tabla1[[#This Row],[StockDisp]]*Tabla1[[#This Row],[UM producto]]</f>
        <v>#VALUE!</v>
      </c>
    </row>
    <row r="2583" spans="1:19" x14ac:dyDescent="0.35">
      <c r="A2583" s="5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6"/>
      <c r="P2583" s="23" t="e">
        <f>TRIM(Tabla1[[#This Row],[Articulo]])</f>
        <v>#VALUE!</v>
      </c>
      <c r="Q2583" s="23" t="e">
        <f>_xlfn.XLOOKUP(Tabla1[[#This Row],[Ean Normalizado]],Consumos!A:A,Consumos!E:E)</f>
        <v>#VALUE!</v>
      </c>
      <c r="R2583" s="38" t="e">
        <f>_xlfn.XLOOKUP(Tabla1[[#This Row],[Ean Normalizado]],tabla_consumos[EAN],tabla_consumos[UM])</f>
        <v>#VALUE!</v>
      </c>
      <c r="S2583" s="38" t="e">
        <f>Tabla1[[#This Row],[StockDisp]]*Tabla1[[#This Row],[UM producto]]</f>
        <v>#VALUE!</v>
      </c>
    </row>
    <row r="2584" spans="1:19" x14ac:dyDescent="0.35">
      <c r="A2584" s="5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6"/>
      <c r="P2584" s="23" t="e">
        <f>TRIM(Tabla1[[#This Row],[Articulo]])</f>
        <v>#VALUE!</v>
      </c>
      <c r="Q2584" s="23" t="e">
        <f>_xlfn.XLOOKUP(Tabla1[[#This Row],[Ean Normalizado]],Consumos!A:A,Consumos!E:E)</f>
        <v>#VALUE!</v>
      </c>
      <c r="R2584" s="38" t="e">
        <f>_xlfn.XLOOKUP(Tabla1[[#This Row],[Ean Normalizado]],tabla_consumos[EAN],tabla_consumos[UM])</f>
        <v>#VALUE!</v>
      </c>
      <c r="S2584" s="38" t="e">
        <f>Tabla1[[#This Row],[StockDisp]]*Tabla1[[#This Row],[UM producto]]</f>
        <v>#VALUE!</v>
      </c>
    </row>
    <row r="2585" spans="1:19" x14ac:dyDescent="0.35">
      <c r="A2585" s="5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6"/>
      <c r="P2585" s="23" t="e">
        <f>TRIM(Tabla1[[#This Row],[Articulo]])</f>
        <v>#VALUE!</v>
      </c>
      <c r="Q2585" s="23" t="e">
        <f>_xlfn.XLOOKUP(Tabla1[[#This Row],[Ean Normalizado]],Consumos!A:A,Consumos!E:E)</f>
        <v>#VALUE!</v>
      </c>
      <c r="R2585" s="38" t="e">
        <f>_xlfn.XLOOKUP(Tabla1[[#This Row],[Ean Normalizado]],tabla_consumos[EAN],tabla_consumos[UM])</f>
        <v>#VALUE!</v>
      </c>
      <c r="S2585" s="38" t="e">
        <f>Tabla1[[#This Row],[StockDisp]]*Tabla1[[#This Row],[UM producto]]</f>
        <v>#VALUE!</v>
      </c>
    </row>
    <row r="2586" spans="1:19" x14ac:dyDescent="0.35">
      <c r="A2586" s="5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6"/>
      <c r="P2586" s="23" t="e">
        <f>TRIM(Tabla1[[#This Row],[Articulo]])</f>
        <v>#VALUE!</v>
      </c>
      <c r="Q2586" s="23" t="e">
        <f>_xlfn.XLOOKUP(Tabla1[[#This Row],[Ean Normalizado]],Consumos!A:A,Consumos!E:E)</f>
        <v>#VALUE!</v>
      </c>
      <c r="R2586" s="38" t="e">
        <f>_xlfn.XLOOKUP(Tabla1[[#This Row],[Ean Normalizado]],tabla_consumos[EAN],tabla_consumos[UM])</f>
        <v>#VALUE!</v>
      </c>
      <c r="S2586" s="38" t="e">
        <f>Tabla1[[#This Row],[StockDisp]]*Tabla1[[#This Row],[UM producto]]</f>
        <v>#VALUE!</v>
      </c>
    </row>
    <row r="2587" spans="1:19" x14ac:dyDescent="0.35">
      <c r="A2587" s="5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6"/>
      <c r="P2587" s="23" t="e">
        <f>TRIM(Tabla1[[#This Row],[Articulo]])</f>
        <v>#VALUE!</v>
      </c>
      <c r="Q2587" s="23" t="e">
        <f>_xlfn.XLOOKUP(Tabla1[[#This Row],[Ean Normalizado]],Consumos!A:A,Consumos!E:E)</f>
        <v>#VALUE!</v>
      </c>
      <c r="R2587" s="38" t="e">
        <f>_xlfn.XLOOKUP(Tabla1[[#This Row],[Ean Normalizado]],tabla_consumos[EAN],tabla_consumos[UM])</f>
        <v>#VALUE!</v>
      </c>
      <c r="S2587" s="38" t="e">
        <f>Tabla1[[#This Row],[StockDisp]]*Tabla1[[#This Row],[UM producto]]</f>
        <v>#VALUE!</v>
      </c>
    </row>
    <row r="2588" spans="1:19" x14ac:dyDescent="0.35">
      <c r="A2588" s="5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6"/>
      <c r="P2588" s="23" t="e">
        <f>TRIM(Tabla1[[#This Row],[Articulo]])</f>
        <v>#VALUE!</v>
      </c>
      <c r="Q2588" s="23" t="e">
        <f>_xlfn.XLOOKUP(Tabla1[[#This Row],[Ean Normalizado]],Consumos!A:A,Consumos!E:E)</f>
        <v>#VALUE!</v>
      </c>
      <c r="R2588" s="38" t="e">
        <f>_xlfn.XLOOKUP(Tabla1[[#This Row],[Ean Normalizado]],tabla_consumos[EAN],tabla_consumos[UM])</f>
        <v>#VALUE!</v>
      </c>
      <c r="S2588" s="38" t="e">
        <f>Tabla1[[#This Row],[StockDisp]]*Tabla1[[#This Row],[UM producto]]</f>
        <v>#VALUE!</v>
      </c>
    </row>
    <row r="2589" spans="1:19" x14ac:dyDescent="0.35">
      <c r="A2589" s="5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6"/>
      <c r="P2589" s="23" t="e">
        <f>TRIM(Tabla1[[#This Row],[Articulo]])</f>
        <v>#VALUE!</v>
      </c>
      <c r="Q2589" s="23" t="e">
        <f>_xlfn.XLOOKUP(Tabla1[[#This Row],[Ean Normalizado]],Consumos!A:A,Consumos!E:E)</f>
        <v>#VALUE!</v>
      </c>
      <c r="R2589" s="38" t="e">
        <f>_xlfn.XLOOKUP(Tabla1[[#This Row],[Ean Normalizado]],tabla_consumos[EAN],tabla_consumos[UM])</f>
        <v>#VALUE!</v>
      </c>
      <c r="S2589" s="38" t="e">
        <f>Tabla1[[#This Row],[StockDisp]]*Tabla1[[#This Row],[UM producto]]</f>
        <v>#VALUE!</v>
      </c>
    </row>
    <row r="2590" spans="1:19" x14ac:dyDescent="0.35">
      <c r="A2590" s="5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6"/>
      <c r="P2590" s="23" t="e">
        <f>TRIM(Tabla1[[#This Row],[Articulo]])</f>
        <v>#VALUE!</v>
      </c>
      <c r="Q2590" s="23" t="e">
        <f>_xlfn.XLOOKUP(Tabla1[[#This Row],[Ean Normalizado]],Consumos!A:A,Consumos!E:E)</f>
        <v>#VALUE!</v>
      </c>
      <c r="R2590" s="38" t="e">
        <f>_xlfn.XLOOKUP(Tabla1[[#This Row],[Ean Normalizado]],tabla_consumos[EAN],tabla_consumos[UM])</f>
        <v>#VALUE!</v>
      </c>
      <c r="S2590" s="38" t="e">
        <f>Tabla1[[#This Row],[StockDisp]]*Tabla1[[#This Row],[UM producto]]</f>
        <v>#VALUE!</v>
      </c>
    </row>
    <row r="2591" spans="1:19" x14ac:dyDescent="0.35">
      <c r="A2591" s="5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6"/>
      <c r="P2591" s="23" t="e">
        <f>TRIM(Tabla1[[#This Row],[Articulo]])</f>
        <v>#VALUE!</v>
      </c>
      <c r="Q2591" s="23" t="e">
        <f>_xlfn.XLOOKUP(Tabla1[[#This Row],[Ean Normalizado]],Consumos!A:A,Consumos!E:E)</f>
        <v>#VALUE!</v>
      </c>
      <c r="R2591" s="38" t="e">
        <f>_xlfn.XLOOKUP(Tabla1[[#This Row],[Ean Normalizado]],tabla_consumos[EAN],tabla_consumos[UM])</f>
        <v>#VALUE!</v>
      </c>
      <c r="S2591" s="38" t="e">
        <f>Tabla1[[#This Row],[StockDisp]]*Tabla1[[#This Row],[UM producto]]</f>
        <v>#VALUE!</v>
      </c>
    </row>
    <row r="2592" spans="1:19" x14ac:dyDescent="0.35">
      <c r="A2592" s="5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6"/>
      <c r="P2592" s="23" t="e">
        <f>TRIM(Tabla1[[#This Row],[Articulo]])</f>
        <v>#VALUE!</v>
      </c>
      <c r="Q2592" s="23" t="e">
        <f>_xlfn.XLOOKUP(Tabla1[[#This Row],[Ean Normalizado]],Consumos!A:A,Consumos!E:E)</f>
        <v>#VALUE!</v>
      </c>
      <c r="R2592" s="38" t="e">
        <f>_xlfn.XLOOKUP(Tabla1[[#This Row],[Ean Normalizado]],tabla_consumos[EAN],tabla_consumos[UM])</f>
        <v>#VALUE!</v>
      </c>
      <c r="S2592" s="38" t="e">
        <f>Tabla1[[#This Row],[StockDisp]]*Tabla1[[#This Row],[UM producto]]</f>
        <v>#VALUE!</v>
      </c>
    </row>
    <row r="2593" spans="1:19" x14ac:dyDescent="0.35">
      <c r="A2593" s="5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6"/>
      <c r="P2593" s="23" t="e">
        <f>TRIM(Tabla1[[#This Row],[Articulo]])</f>
        <v>#VALUE!</v>
      </c>
      <c r="Q2593" s="23" t="e">
        <f>_xlfn.XLOOKUP(Tabla1[[#This Row],[Ean Normalizado]],Consumos!A:A,Consumos!E:E)</f>
        <v>#VALUE!</v>
      </c>
      <c r="R2593" s="38" t="e">
        <f>_xlfn.XLOOKUP(Tabla1[[#This Row],[Ean Normalizado]],tabla_consumos[EAN],tabla_consumos[UM])</f>
        <v>#VALUE!</v>
      </c>
      <c r="S2593" s="38" t="e">
        <f>Tabla1[[#This Row],[StockDisp]]*Tabla1[[#This Row],[UM producto]]</f>
        <v>#VALUE!</v>
      </c>
    </row>
    <row r="2594" spans="1:19" x14ac:dyDescent="0.35">
      <c r="A2594" s="5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6"/>
      <c r="P2594" s="23" t="e">
        <f>TRIM(Tabla1[[#This Row],[Articulo]])</f>
        <v>#VALUE!</v>
      </c>
      <c r="Q2594" s="23" t="e">
        <f>_xlfn.XLOOKUP(Tabla1[[#This Row],[Ean Normalizado]],Consumos!A:A,Consumos!E:E)</f>
        <v>#VALUE!</v>
      </c>
      <c r="R2594" s="38" t="e">
        <f>_xlfn.XLOOKUP(Tabla1[[#This Row],[Ean Normalizado]],tabla_consumos[EAN],tabla_consumos[UM])</f>
        <v>#VALUE!</v>
      </c>
      <c r="S2594" s="38" t="e">
        <f>Tabla1[[#This Row],[StockDisp]]*Tabla1[[#This Row],[UM producto]]</f>
        <v>#VALUE!</v>
      </c>
    </row>
    <row r="2595" spans="1:19" x14ac:dyDescent="0.35">
      <c r="A2595" s="5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6"/>
      <c r="P2595" s="23" t="e">
        <f>TRIM(Tabla1[[#This Row],[Articulo]])</f>
        <v>#VALUE!</v>
      </c>
      <c r="Q2595" s="23" t="e">
        <f>_xlfn.XLOOKUP(Tabla1[[#This Row],[Ean Normalizado]],Consumos!A:A,Consumos!E:E)</f>
        <v>#VALUE!</v>
      </c>
      <c r="R2595" s="38" t="e">
        <f>_xlfn.XLOOKUP(Tabla1[[#This Row],[Ean Normalizado]],tabla_consumos[EAN],tabla_consumos[UM])</f>
        <v>#VALUE!</v>
      </c>
      <c r="S2595" s="38" t="e">
        <f>Tabla1[[#This Row],[StockDisp]]*Tabla1[[#This Row],[UM producto]]</f>
        <v>#VALUE!</v>
      </c>
    </row>
    <row r="2596" spans="1:19" x14ac:dyDescent="0.35">
      <c r="A2596" s="5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6"/>
      <c r="P2596" s="23" t="e">
        <f>TRIM(Tabla1[[#This Row],[Articulo]])</f>
        <v>#VALUE!</v>
      </c>
      <c r="Q2596" s="23" t="e">
        <f>_xlfn.XLOOKUP(Tabla1[[#This Row],[Ean Normalizado]],Consumos!A:A,Consumos!E:E)</f>
        <v>#VALUE!</v>
      </c>
      <c r="R2596" s="38" t="e">
        <f>_xlfn.XLOOKUP(Tabla1[[#This Row],[Ean Normalizado]],tabla_consumos[EAN],tabla_consumos[UM])</f>
        <v>#VALUE!</v>
      </c>
      <c r="S2596" s="38" t="e">
        <f>Tabla1[[#This Row],[StockDisp]]*Tabla1[[#This Row],[UM producto]]</f>
        <v>#VALUE!</v>
      </c>
    </row>
    <row r="2597" spans="1:19" x14ac:dyDescent="0.35">
      <c r="A2597" s="5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6"/>
      <c r="P2597" s="23" t="e">
        <f>TRIM(Tabla1[[#This Row],[Articulo]])</f>
        <v>#VALUE!</v>
      </c>
      <c r="Q2597" s="23" t="e">
        <f>_xlfn.XLOOKUP(Tabla1[[#This Row],[Ean Normalizado]],Consumos!A:A,Consumos!E:E)</f>
        <v>#VALUE!</v>
      </c>
      <c r="R2597" s="38" t="e">
        <f>_xlfn.XLOOKUP(Tabla1[[#This Row],[Ean Normalizado]],tabla_consumos[EAN],tabla_consumos[UM])</f>
        <v>#VALUE!</v>
      </c>
      <c r="S2597" s="38" t="e">
        <f>Tabla1[[#This Row],[StockDisp]]*Tabla1[[#This Row],[UM producto]]</f>
        <v>#VALUE!</v>
      </c>
    </row>
    <row r="2598" spans="1:19" x14ac:dyDescent="0.35">
      <c r="A2598" s="5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6"/>
      <c r="P2598" s="23" t="e">
        <f>TRIM(Tabla1[[#This Row],[Articulo]])</f>
        <v>#VALUE!</v>
      </c>
      <c r="Q2598" s="23" t="e">
        <f>_xlfn.XLOOKUP(Tabla1[[#This Row],[Ean Normalizado]],Consumos!A:A,Consumos!E:E)</f>
        <v>#VALUE!</v>
      </c>
      <c r="R2598" s="38" t="e">
        <f>_xlfn.XLOOKUP(Tabla1[[#This Row],[Ean Normalizado]],tabla_consumos[EAN],tabla_consumos[UM])</f>
        <v>#VALUE!</v>
      </c>
      <c r="S2598" s="38" t="e">
        <f>Tabla1[[#This Row],[StockDisp]]*Tabla1[[#This Row],[UM producto]]</f>
        <v>#VALUE!</v>
      </c>
    </row>
    <row r="2599" spans="1:19" x14ac:dyDescent="0.35">
      <c r="A2599" s="5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6"/>
      <c r="P2599" s="23" t="e">
        <f>TRIM(Tabla1[[#This Row],[Articulo]])</f>
        <v>#VALUE!</v>
      </c>
      <c r="Q2599" s="23" t="e">
        <f>_xlfn.XLOOKUP(Tabla1[[#This Row],[Ean Normalizado]],Consumos!A:A,Consumos!E:E)</f>
        <v>#VALUE!</v>
      </c>
      <c r="R2599" s="38" t="e">
        <f>_xlfn.XLOOKUP(Tabla1[[#This Row],[Ean Normalizado]],tabla_consumos[EAN],tabla_consumos[UM])</f>
        <v>#VALUE!</v>
      </c>
      <c r="S2599" s="38" t="e">
        <f>Tabla1[[#This Row],[StockDisp]]*Tabla1[[#This Row],[UM producto]]</f>
        <v>#VALUE!</v>
      </c>
    </row>
    <row r="2600" spans="1:19" x14ac:dyDescent="0.35">
      <c r="A2600" s="5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6"/>
      <c r="P2600" s="23" t="e">
        <f>TRIM(Tabla1[[#This Row],[Articulo]])</f>
        <v>#VALUE!</v>
      </c>
      <c r="Q2600" s="23" t="e">
        <f>_xlfn.XLOOKUP(Tabla1[[#This Row],[Ean Normalizado]],Consumos!A:A,Consumos!E:E)</f>
        <v>#VALUE!</v>
      </c>
      <c r="R2600" s="38" t="e">
        <f>_xlfn.XLOOKUP(Tabla1[[#This Row],[Ean Normalizado]],tabla_consumos[EAN],tabla_consumos[UM])</f>
        <v>#VALUE!</v>
      </c>
      <c r="S2600" s="38" t="e">
        <f>Tabla1[[#This Row],[StockDisp]]*Tabla1[[#This Row],[UM producto]]</f>
        <v>#VALUE!</v>
      </c>
    </row>
    <row r="2601" spans="1:19" x14ac:dyDescent="0.35">
      <c r="A2601" s="5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6"/>
      <c r="P2601" s="23" t="e">
        <f>TRIM(Tabla1[[#This Row],[Articulo]])</f>
        <v>#VALUE!</v>
      </c>
      <c r="Q2601" s="23" t="e">
        <f>_xlfn.XLOOKUP(Tabla1[[#This Row],[Ean Normalizado]],Consumos!A:A,Consumos!E:E)</f>
        <v>#VALUE!</v>
      </c>
      <c r="R2601" s="38" t="e">
        <f>_xlfn.XLOOKUP(Tabla1[[#This Row],[Ean Normalizado]],tabla_consumos[EAN],tabla_consumos[UM])</f>
        <v>#VALUE!</v>
      </c>
      <c r="S2601" s="38" t="e">
        <f>Tabla1[[#This Row],[StockDisp]]*Tabla1[[#This Row],[UM producto]]</f>
        <v>#VALUE!</v>
      </c>
    </row>
    <row r="2602" spans="1:19" x14ac:dyDescent="0.35">
      <c r="A2602" s="5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6"/>
      <c r="P2602" s="23" t="e">
        <f>TRIM(Tabla1[[#This Row],[Articulo]])</f>
        <v>#VALUE!</v>
      </c>
      <c r="Q2602" s="23" t="e">
        <f>_xlfn.XLOOKUP(Tabla1[[#This Row],[Ean Normalizado]],Consumos!A:A,Consumos!E:E)</f>
        <v>#VALUE!</v>
      </c>
      <c r="R2602" s="38" t="e">
        <f>_xlfn.XLOOKUP(Tabla1[[#This Row],[Ean Normalizado]],tabla_consumos[EAN],tabla_consumos[UM])</f>
        <v>#VALUE!</v>
      </c>
      <c r="S2602" s="38" t="e">
        <f>Tabla1[[#This Row],[StockDisp]]*Tabla1[[#This Row],[UM producto]]</f>
        <v>#VALUE!</v>
      </c>
    </row>
    <row r="2603" spans="1:19" x14ac:dyDescent="0.35">
      <c r="A2603" s="5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6"/>
      <c r="P2603" s="23" t="e">
        <f>TRIM(Tabla1[[#This Row],[Articulo]])</f>
        <v>#VALUE!</v>
      </c>
      <c r="Q2603" s="23" t="e">
        <f>_xlfn.XLOOKUP(Tabla1[[#This Row],[Ean Normalizado]],Consumos!A:A,Consumos!E:E)</f>
        <v>#VALUE!</v>
      </c>
      <c r="R2603" s="38" t="e">
        <f>_xlfn.XLOOKUP(Tabla1[[#This Row],[Ean Normalizado]],tabla_consumos[EAN],tabla_consumos[UM])</f>
        <v>#VALUE!</v>
      </c>
      <c r="S2603" s="38" t="e">
        <f>Tabla1[[#This Row],[StockDisp]]*Tabla1[[#This Row],[UM producto]]</f>
        <v>#VALUE!</v>
      </c>
    </row>
    <row r="2604" spans="1:19" x14ac:dyDescent="0.35">
      <c r="A2604" s="5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6"/>
      <c r="P2604" s="23" t="e">
        <f>TRIM(Tabla1[[#This Row],[Articulo]])</f>
        <v>#VALUE!</v>
      </c>
      <c r="Q2604" s="23" t="e">
        <f>_xlfn.XLOOKUP(Tabla1[[#This Row],[Ean Normalizado]],Consumos!A:A,Consumos!E:E)</f>
        <v>#VALUE!</v>
      </c>
      <c r="R2604" s="38" t="e">
        <f>_xlfn.XLOOKUP(Tabla1[[#This Row],[Ean Normalizado]],tabla_consumos[EAN],tabla_consumos[UM])</f>
        <v>#VALUE!</v>
      </c>
      <c r="S2604" s="38" t="e">
        <f>Tabla1[[#This Row],[StockDisp]]*Tabla1[[#This Row],[UM producto]]</f>
        <v>#VALUE!</v>
      </c>
    </row>
    <row r="2605" spans="1:19" x14ac:dyDescent="0.35">
      <c r="A2605" s="5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6"/>
      <c r="P2605" s="23" t="e">
        <f>TRIM(Tabla1[[#This Row],[Articulo]])</f>
        <v>#VALUE!</v>
      </c>
      <c r="Q2605" s="23" t="e">
        <f>_xlfn.XLOOKUP(Tabla1[[#This Row],[Ean Normalizado]],Consumos!A:A,Consumos!E:E)</f>
        <v>#VALUE!</v>
      </c>
      <c r="R2605" s="38" t="e">
        <f>_xlfn.XLOOKUP(Tabla1[[#This Row],[Ean Normalizado]],tabla_consumos[EAN],tabla_consumos[UM])</f>
        <v>#VALUE!</v>
      </c>
      <c r="S2605" s="38" t="e">
        <f>Tabla1[[#This Row],[StockDisp]]*Tabla1[[#This Row],[UM producto]]</f>
        <v>#VALUE!</v>
      </c>
    </row>
    <row r="2606" spans="1:19" x14ac:dyDescent="0.35">
      <c r="A2606" s="5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6"/>
      <c r="P2606" s="23" t="e">
        <f>TRIM(Tabla1[[#This Row],[Articulo]])</f>
        <v>#VALUE!</v>
      </c>
      <c r="Q2606" s="23" t="e">
        <f>_xlfn.XLOOKUP(Tabla1[[#This Row],[Ean Normalizado]],Consumos!A:A,Consumos!E:E)</f>
        <v>#VALUE!</v>
      </c>
      <c r="R2606" s="38" t="e">
        <f>_xlfn.XLOOKUP(Tabla1[[#This Row],[Ean Normalizado]],tabla_consumos[EAN],tabla_consumos[UM])</f>
        <v>#VALUE!</v>
      </c>
      <c r="S2606" s="38" t="e">
        <f>Tabla1[[#This Row],[StockDisp]]*Tabla1[[#This Row],[UM producto]]</f>
        <v>#VALUE!</v>
      </c>
    </row>
    <row r="2607" spans="1:19" x14ac:dyDescent="0.35">
      <c r="A2607" s="5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6"/>
      <c r="P2607" s="23" t="e">
        <f>TRIM(Tabla1[[#This Row],[Articulo]])</f>
        <v>#VALUE!</v>
      </c>
      <c r="Q2607" s="23" t="e">
        <f>_xlfn.XLOOKUP(Tabla1[[#This Row],[Ean Normalizado]],Consumos!A:A,Consumos!E:E)</f>
        <v>#VALUE!</v>
      </c>
      <c r="R2607" s="38" t="e">
        <f>_xlfn.XLOOKUP(Tabla1[[#This Row],[Ean Normalizado]],tabla_consumos[EAN],tabla_consumos[UM])</f>
        <v>#VALUE!</v>
      </c>
      <c r="S2607" s="38" t="e">
        <f>Tabla1[[#This Row],[StockDisp]]*Tabla1[[#This Row],[UM producto]]</f>
        <v>#VALUE!</v>
      </c>
    </row>
    <row r="2608" spans="1:19" x14ac:dyDescent="0.35">
      <c r="A2608" s="5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6"/>
      <c r="P2608" s="23" t="e">
        <f>TRIM(Tabla1[[#This Row],[Articulo]])</f>
        <v>#VALUE!</v>
      </c>
      <c r="Q2608" s="23" t="e">
        <f>_xlfn.XLOOKUP(Tabla1[[#This Row],[Ean Normalizado]],Consumos!A:A,Consumos!E:E)</f>
        <v>#VALUE!</v>
      </c>
      <c r="R2608" s="38" t="e">
        <f>_xlfn.XLOOKUP(Tabla1[[#This Row],[Ean Normalizado]],tabla_consumos[EAN],tabla_consumos[UM])</f>
        <v>#VALUE!</v>
      </c>
      <c r="S2608" s="38" t="e">
        <f>Tabla1[[#This Row],[StockDisp]]*Tabla1[[#This Row],[UM producto]]</f>
        <v>#VALUE!</v>
      </c>
    </row>
    <row r="2609" spans="1:19" x14ac:dyDescent="0.35">
      <c r="A2609" s="5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6"/>
      <c r="P2609" s="23" t="e">
        <f>TRIM(Tabla1[[#This Row],[Articulo]])</f>
        <v>#VALUE!</v>
      </c>
      <c r="Q2609" s="23" t="e">
        <f>_xlfn.XLOOKUP(Tabla1[[#This Row],[Ean Normalizado]],Consumos!A:A,Consumos!E:E)</f>
        <v>#VALUE!</v>
      </c>
      <c r="R2609" s="38" t="e">
        <f>_xlfn.XLOOKUP(Tabla1[[#This Row],[Ean Normalizado]],tabla_consumos[EAN],tabla_consumos[UM])</f>
        <v>#VALUE!</v>
      </c>
      <c r="S2609" s="38" t="e">
        <f>Tabla1[[#This Row],[StockDisp]]*Tabla1[[#This Row],[UM producto]]</f>
        <v>#VALUE!</v>
      </c>
    </row>
    <row r="2610" spans="1:19" x14ac:dyDescent="0.35">
      <c r="A2610" s="5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6"/>
      <c r="P2610" s="23" t="e">
        <f>TRIM(Tabla1[[#This Row],[Articulo]])</f>
        <v>#VALUE!</v>
      </c>
      <c r="Q2610" s="23" t="e">
        <f>_xlfn.XLOOKUP(Tabla1[[#This Row],[Ean Normalizado]],Consumos!A:A,Consumos!E:E)</f>
        <v>#VALUE!</v>
      </c>
      <c r="R2610" s="38" t="e">
        <f>_xlfn.XLOOKUP(Tabla1[[#This Row],[Ean Normalizado]],tabla_consumos[EAN],tabla_consumos[UM])</f>
        <v>#VALUE!</v>
      </c>
      <c r="S2610" s="38" t="e">
        <f>Tabla1[[#This Row],[StockDisp]]*Tabla1[[#This Row],[UM producto]]</f>
        <v>#VALUE!</v>
      </c>
    </row>
    <row r="2611" spans="1:19" x14ac:dyDescent="0.35">
      <c r="A2611" s="5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6"/>
      <c r="P2611" s="23" t="e">
        <f>TRIM(Tabla1[[#This Row],[Articulo]])</f>
        <v>#VALUE!</v>
      </c>
      <c r="Q2611" s="23" t="e">
        <f>_xlfn.XLOOKUP(Tabla1[[#This Row],[Ean Normalizado]],Consumos!A:A,Consumos!E:E)</f>
        <v>#VALUE!</v>
      </c>
      <c r="R2611" s="38" t="e">
        <f>_xlfn.XLOOKUP(Tabla1[[#This Row],[Ean Normalizado]],tabla_consumos[EAN],tabla_consumos[UM])</f>
        <v>#VALUE!</v>
      </c>
      <c r="S2611" s="38" t="e">
        <f>Tabla1[[#This Row],[StockDisp]]*Tabla1[[#This Row],[UM producto]]</f>
        <v>#VALUE!</v>
      </c>
    </row>
    <row r="2612" spans="1:19" x14ac:dyDescent="0.35">
      <c r="A2612" s="5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6"/>
      <c r="P2612" s="23" t="e">
        <f>TRIM(Tabla1[[#This Row],[Articulo]])</f>
        <v>#VALUE!</v>
      </c>
      <c r="Q2612" s="23" t="e">
        <f>_xlfn.XLOOKUP(Tabla1[[#This Row],[Ean Normalizado]],Consumos!A:A,Consumos!E:E)</f>
        <v>#VALUE!</v>
      </c>
      <c r="R2612" s="38" t="e">
        <f>_xlfn.XLOOKUP(Tabla1[[#This Row],[Ean Normalizado]],tabla_consumos[EAN],tabla_consumos[UM])</f>
        <v>#VALUE!</v>
      </c>
      <c r="S2612" s="38" t="e">
        <f>Tabla1[[#This Row],[StockDisp]]*Tabla1[[#This Row],[UM producto]]</f>
        <v>#VALUE!</v>
      </c>
    </row>
    <row r="2613" spans="1:19" x14ac:dyDescent="0.35">
      <c r="A2613" s="5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6"/>
      <c r="P2613" s="23" t="e">
        <f>TRIM(Tabla1[[#This Row],[Articulo]])</f>
        <v>#VALUE!</v>
      </c>
      <c r="Q2613" s="23" t="e">
        <f>_xlfn.XLOOKUP(Tabla1[[#This Row],[Ean Normalizado]],Consumos!A:A,Consumos!E:E)</f>
        <v>#VALUE!</v>
      </c>
      <c r="R2613" s="38" t="e">
        <f>_xlfn.XLOOKUP(Tabla1[[#This Row],[Ean Normalizado]],tabla_consumos[EAN],tabla_consumos[UM])</f>
        <v>#VALUE!</v>
      </c>
      <c r="S2613" s="38" t="e">
        <f>Tabla1[[#This Row],[StockDisp]]*Tabla1[[#This Row],[UM producto]]</f>
        <v>#VALUE!</v>
      </c>
    </row>
    <row r="2614" spans="1:19" x14ac:dyDescent="0.35">
      <c r="A2614" s="5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6"/>
      <c r="P2614" s="23" t="e">
        <f>TRIM(Tabla1[[#This Row],[Articulo]])</f>
        <v>#VALUE!</v>
      </c>
      <c r="Q2614" s="23" t="e">
        <f>_xlfn.XLOOKUP(Tabla1[[#This Row],[Ean Normalizado]],Consumos!A:A,Consumos!E:E)</f>
        <v>#VALUE!</v>
      </c>
      <c r="R2614" s="38" t="e">
        <f>_xlfn.XLOOKUP(Tabla1[[#This Row],[Ean Normalizado]],tabla_consumos[EAN],tabla_consumos[UM])</f>
        <v>#VALUE!</v>
      </c>
      <c r="S2614" s="38" t="e">
        <f>Tabla1[[#This Row],[StockDisp]]*Tabla1[[#This Row],[UM producto]]</f>
        <v>#VALUE!</v>
      </c>
    </row>
    <row r="2615" spans="1:19" x14ac:dyDescent="0.35">
      <c r="A2615" s="5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6"/>
      <c r="P2615" s="23" t="e">
        <f>TRIM(Tabla1[[#This Row],[Articulo]])</f>
        <v>#VALUE!</v>
      </c>
      <c r="Q2615" s="23" t="e">
        <f>_xlfn.XLOOKUP(Tabla1[[#This Row],[Ean Normalizado]],Consumos!A:A,Consumos!E:E)</f>
        <v>#VALUE!</v>
      </c>
      <c r="R2615" s="38" t="e">
        <f>_xlfn.XLOOKUP(Tabla1[[#This Row],[Ean Normalizado]],tabla_consumos[EAN],tabla_consumos[UM])</f>
        <v>#VALUE!</v>
      </c>
      <c r="S2615" s="38" t="e">
        <f>Tabla1[[#This Row],[StockDisp]]*Tabla1[[#This Row],[UM producto]]</f>
        <v>#VALUE!</v>
      </c>
    </row>
    <row r="2616" spans="1:19" x14ac:dyDescent="0.35">
      <c r="A2616" s="5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6"/>
      <c r="P2616" s="23" t="e">
        <f>TRIM(Tabla1[[#This Row],[Articulo]])</f>
        <v>#VALUE!</v>
      </c>
      <c r="Q2616" s="23" t="e">
        <f>_xlfn.XLOOKUP(Tabla1[[#This Row],[Ean Normalizado]],Consumos!A:A,Consumos!E:E)</f>
        <v>#VALUE!</v>
      </c>
      <c r="R2616" s="38" t="e">
        <f>_xlfn.XLOOKUP(Tabla1[[#This Row],[Ean Normalizado]],tabla_consumos[EAN],tabla_consumos[UM])</f>
        <v>#VALUE!</v>
      </c>
      <c r="S2616" s="38" t="e">
        <f>Tabla1[[#This Row],[StockDisp]]*Tabla1[[#This Row],[UM producto]]</f>
        <v>#VALUE!</v>
      </c>
    </row>
    <row r="2617" spans="1:19" x14ac:dyDescent="0.35">
      <c r="A2617" s="5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6"/>
      <c r="P2617" s="23" t="e">
        <f>TRIM(Tabla1[[#This Row],[Articulo]])</f>
        <v>#VALUE!</v>
      </c>
      <c r="Q2617" s="23" t="e">
        <f>_xlfn.XLOOKUP(Tabla1[[#This Row],[Ean Normalizado]],Consumos!A:A,Consumos!E:E)</f>
        <v>#VALUE!</v>
      </c>
      <c r="R2617" s="38" t="e">
        <f>_xlfn.XLOOKUP(Tabla1[[#This Row],[Ean Normalizado]],tabla_consumos[EAN],tabla_consumos[UM])</f>
        <v>#VALUE!</v>
      </c>
      <c r="S2617" s="38" t="e">
        <f>Tabla1[[#This Row],[StockDisp]]*Tabla1[[#This Row],[UM producto]]</f>
        <v>#VALUE!</v>
      </c>
    </row>
    <row r="2618" spans="1:19" x14ac:dyDescent="0.35">
      <c r="A2618" s="5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6"/>
      <c r="P2618" s="23" t="e">
        <f>TRIM(Tabla1[[#This Row],[Articulo]])</f>
        <v>#VALUE!</v>
      </c>
      <c r="Q2618" s="23" t="e">
        <f>_xlfn.XLOOKUP(Tabla1[[#This Row],[Ean Normalizado]],Consumos!A:A,Consumos!E:E)</f>
        <v>#VALUE!</v>
      </c>
      <c r="R2618" s="38" t="e">
        <f>_xlfn.XLOOKUP(Tabla1[[#This Row],[Ean Normalizado]],tabla_consumos[EAN],tabla_consumos[UM])</f>
        <v>#VALUE!</v>
      </c>
      <c r="S2618" s="38" t="e">
        <f>Tabla1[[#This Row],[StockDisp]]*Tabla1[[#This Row],[UM producto]]</f>
        <v>#VALUE!</v>
      </c>
    </row>
    <row r="2619" spans="1:19" x14ac:dyDescent="0.35">
      <c r="A2619" s="5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6"/>
      <c r="P2619" s="23" t="e">
        <f>TRIM(Tabla1[[#This Row],[Articulo]])</f>
        <v>#VALUE!</v>
      </c>
      <c r="Q2619" s="23" t="e">
        <f>_xlfn.XLOOKUP(Tabla1[[#This Row],[Ean Normalizado]],Consumos!A:A,Consumos!E:E)</f>
        <v>#VALUE!</v>
      </c>
      <c r="R2619" s="38" t="e">
        <f>_xlfn.XLOOKUP(Tabla1[[#This Row],[Ean Normalizado]],tabla_consumos[EAN],tabla_consumos[UM])</f>
        <v>#VALUE!</v>
      </c>
      <c r="S2619" s="38" t="e">
        <f>Tabla1[[#This Row],[StockDisp]]*Tabla1[[#This Row],[UM producto]]</f>
        <v>#VALUE!</v>
      </c>
    </row>
    <row r="2620" spans="1:19" x14ac:dyDescent="0.35">
      <c r="A2620" s="5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6"/>
      <c r="P2620" s="23" t="e">
        <f>TRIM(Tabla1[[#This Row],[Articulo]])</f>
        <v>#VALUE!</v>
      </c>
      <c r="Q2620" s="23" t="e">
        <f>_xlfn.XLOOKUP(Tabla1[[#This Row],[Ean Normalizado]],Consumos!A:A,Consumos!E:E)</f>
        <v>#VALUE!</v>
      </c>
      <c r="R2620" s="38" t="e">
        <f>_xlfn.XLOOKUP(Tabla1[[#This Row],[Ean Normalizado]],tabla_consumos[EAN],tabla_consumos[UM])</f>
        <v>#VALUE!</v>
      </c>
      <c r="S2620" s="38" t="e">
        <f>Tabla1[[#This Row],[StockDisp]]*Tabla1[[#This Row],[UM producto]]</f>
        <v>#VALUE!</v>
      </c>
    </row>
    <row r="2621" spans="1:19" x14ac:dyDescent="0.35">
      <c r="A2621" s="5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6"/>
      <c r="P2621" s="23" t="e">
        <f>TRIM(Tabla1[[#This Row],[Articulo]])</f>
        <v>#VALUE!</v>
      </c>
      <c r="Q2621" s="23" t="e">
        <f>_xlfn.XLOOKUP(Tabla1[[#This Row],[Ean Normalizado]],Consumos!A:A,Consumos!E:E)</f>
        <v>#VALUE!</v>
      </c>
      <c r="R2621" s="38" t="e">
        <f>_xlfn.XLOOKUP(Tabla1[[#This Row],[Ean Normalizado]],tabla_consumos[EAN],tabla_consumos[UM])</f>
        <v>#VALUE!</v>
      </c>
      <c r="S2621" s="38" t="e">
        <f>Tabla1[[#This Row],[StockDisp]]*Tabla1[[#This Row],[UM producto]]</f>
        <v>#VALUE!</v>
      </c>
    </row>
    <row r="2622" spans="1:19" x14ac:dyDescent="0.35">
      <c r="A2622" s="5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6"/>
      <c r="P2622" s="23" t="e">
        <f>TRIM(Tabla1[[#This Row],[Articulo]])</f>
        <v>#VALUE!</v>
      </c>
      <c r="Q2622" s="23" t="e">
        <f>_xlfn.XLOOKUP(Tabla1[[#This Row],[Ean Normalizado]],Consumos!A:A,Consumos!E:E)</f>
        <v>#VALUE!</v>
      </c>
      <c r="R2622" s="38" t="e">
        <f>_xlfn.XLOOKUP(Tabla1[[#This Row],[Ean Normalizado]],tabla_consumos[EAN],tabla_consumos[UM])</f>
        <v>#VALUE!</v>
      </c>
      <c r="S2622" s="38" t="e">
        <f>Tabla1[[#This Row],[StockDisp]]*Tabla1[[#This Row],[UM producto]]</f>
        <v>#VALUE!</v>
      </c>
    </row>
    <row r="2623" spans="1:19" x14ac:dyDescent="0.35">
      <c r="A2623" s="5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6"/>
      <c r="P2623" s="23" t="e">
        <f>TRIM(Tabla1[[#This Row],[Articulo]])</f>
        <v>#VALUE!</v>
      </c>
      <c r="Q2623" s="23" t="e">
        <f>_xlfn.XLOOKUP(Tabla1[[#This Row],[Ean Normalizado]],Consumos!A:A,Consumos!E:E)</f>
        <v>#VALUE!</v>
      </c>
      <c r="R2623" s="38" t="e">
        <f>_xlfn.XLOOKUP(Tabla1[[#This Row],[Ean Normalizado]],tabla_consumos[EAN],tabla_consumos[UM])</f>
        <v>#VALUE!</v>
      </c>
      <c r="S2623" s="38" t="e">
        <f>Tabla1[[#This Row],[StockDisp]]*Tabla1[[#This Row],[UM producto]]</f>
        <v>#VALUE!</v>
      </c>
    </row>
    <row r="2624" spans="1:19" x14ac:dyDescent="0.35">
      <c r="A2624" s="5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6"/>
      <c r="P2624" s="23" t="e">
        <f>TRIM(Tabla1[[#This Row],[Articulo]])</f>
        <v>#VALUE!</v>
      </c>
      <c r="Q2624" s="23" t="e">
        <f>_xlfn.XLOOKUP(Tabla1[[#This Row],[Ean Normalizado]],Consumos!A:A,Consumos!E:E)</f>
        <v>#VALUE!</v>
      </c>
      <c r="R2624" s="38" t="e">
        <f>_xlfn.XLOOKUP(Tabla1[[#This Row],[Ean Normalizado]],tabla_consumos[EAN],tabla_consumos[UM])</f>
        <v>#VALUE!</v>
      </c>
      <c r="S2624" s="38" t="e">
        <f>Tabla1[[#This Row],[StockDisp]]*Tabla1[[#This Row],[UM producto]]</f>
        <v>#VALUE!</v>
      </c>
    </row>
    <row r="2625" spans="1:19" x14ac:dyDescent="0.35">
      <c r="A2625" s="5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6"/>
      <c r="P2625" s="23" t="e">
        <f>TRIM(Tabla1[[#This Row],[Articulo]])</f>
        <v>#VALUE!</v>
      </c>
      <c r="Q2625" s="23" t="e">
        <f>_xlfn.XLOOKUP(Tabla1[[#This Row],[Ean Normalizado]],Consumos!A:A,Consumos!E:E)</f>
        <v>#VALUE!</v>
      </c>
      <c r="R2625" s="38" t="e">
        <f>_xlfn.XLOOKUP(Tabla1[[#This Row],[Ean Normalizado]],tabla_consumos[EAN],tabla_consumos[UM])</f>
        <v>#VALUE!</v>
      </c>
      <c r="S2625" s="38" t="e">
        <f>Tabla1[[#This Row],[StockDisp]]*Tabla1[[#This Row],[UM producto]]</f>
        <v>#VALUE!</v>
      </c>
    </row>
    <row r="2626" spans="1:19" x14ac:dyDescent="0.35">
      <c r="A2626" s="5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6"/>
      <c r="P2626" s="23" t="e">
        <f>TRIM(Tabla1[[#This Row],[Articulo]])</f>
        <v>#VALUE!</v>
      </c>
      <c r="Q2626" s="23" t="e">
        <f>_xlfn.XLOOKUP(Tabla1[[#This Row],[Ean Normalizado]],Consumos!A:A,Consumos!E:E)</f>
        <v>#VALUE!</v>
      </c>
      <c r="R2626" s="38" t="e">
        <f>_xlfn.XLOOKUP(Tabla1[[#This Row],[Ean Normalizado]],tabla_consumos[EAN],tabla_consumos[UM])</f>
        <v>#VALUE!</v>
      </c>
      <c r="S2626" s="38" t="e">
        <f>Tabla1[[#This Row],[StockDisp]]*Tabla1[[#This Row],[UM producto]]</f>
        <v>#VALUE!</v>
      </c>
    </row>
    <row r="2627" spans="1:19" x14ac:dyDescent="0.35">
      <c r="A2627" s="5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6"/>
      <c r="P2627" s="23" t="e">
        <f>TRIM(Tabla1[[#This Row],[Articulo]])</f>
        <v>#VALUE!</v>
      </c>
      <c r="Q2627" s="23" t="e">
        <f>_xlfn.XLOOKUP(Tabla1[[#This Row],[Ean Normalizado]],Consumos!A:A,Consumos!E:E)</f>
        <v>#VALUE!</v>
      </c>
      <c r="R2627" s="38" t="e">
        <f>_xlfn.XLOOKUP(Tabla1[[#This Row],[Ean Normalizado]],tabla_consumos[EAN],tabla_consumos[UM])</f>
        <v>#VALUE!</v>
      </c>
      <c r="S2627" s="38" t="e">
        <f>Tabla1[[#This Row],[StockDisp]]*Tabla1[[#This Row],[UM producto]]</f>
        <v>#VALUE!</v>
      </c>
    </row>
    <row r="2628" spans="1:19" x14ac:dyDescent="0.35">
      <c r="A2628" s="5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6"/>
      <c r="P2628" s="23" t="e">
        <f>TRIM(Tabla1[[#This Row],[Articulo]])</f>
        <v>#VALUE!</v>
      </c>
      <c r="Q2628" s="23" t="e">
        <f>_xlfn.XLOOKUP(Tabla1[[#This Row],[Ean Normalizado]],Consumos!A:A,Consumos!E:E)</f>
        <v>#VALUE!</v>
      </c>
      <c r="R2628" s="38" t="e">
        <f>_xlfn.XLOOKUP(Tabla1[[#This Row],[Ean Normalizado]],tabla_consumos[EAN],tabla_consumos[UM])</f>
        <v>#VALUE!</v>
      </c>
      <c r="S2628" s="38" t="e">
        <f>Tabla1[[#This Row],[StockDisp]]*Tabla1[[#This Row],[UM producto]]</f>
        <v>#VALUE!</v>
      </c>
    </row>
    <row r="2629" spans="1:19" x14ac:dyDescent="0.35">
      <c r="A2629" s="5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6"/>
      <c r="P2629" s="23" t="e">
        <f>TRIM(Tabla1[[#This Row],[Articulo]])</f>
        <v>#VALUE!</v>
      </c>
      <c r="Q2629" s="23" t="e">
        <f>_xlfn.XLOOKUP(Tabla1[[#This Row],[Ean Normalizado]],Consumos!A:A,Consumos!E:E)</f>
        <v>#VALUE!</v>
      </c>
      <c r="R2629" s="38" t="e">
        <f>_xlfn.XLOOKUP(Tabla1[[#This Row],[Ean Normalizado]],tabla_consumos[EAN],tabla_consumos[UM])</f>
        <v>#VALUE!</v>
      </c>
      <c r="S2629" s="38" t="e">
        <f>Tabla1[[#This Row],[StockDisp]]*Tabla1[[#This Row],[UM producto]]</f>
        <v>#VALUE!</v>
      </c>
    </row>
    <row r="2630" spans="1:19" x14ac:dyDescent="0.35">
      <c r="A2630" s="5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6"/>
      <c r="P2630" s="23" t="e">
        <f>TRIM(Tabla1[[#This Row],[Articulo]])</f>
        <v>#VALUE!</v>
      </c>
      <c r="Q2630" s="23" t="e">
        <f>_xlfn.XLOOKUP(Tabla1[[#This Row],[Ean Normalizado]],Consumos!A:A,Consumos!E:E)</f>
        <v>#VALUE!</v>
      </c>
      <c r="R2630" s="38" t="e">
        <f>_xlfn.XLOOKUP(Tabla1[[#This Row],[Ean Normalizado]],tabla_consumos[EAN],tabla_consumos[UM])</f>
        <v>#VALUE!</v>
      </c>
      <c r="S2630" s="38" t="e">
        <f>Tabla1[[#This Row],[StockDisp]]*Tabla1[[#This Row],[UM producto]]</f>
        <v>#VALUE!</v>
      </c>
    </row>
    <row r="2631" spans="1:19" x14ac:dyDescent="0.35">
      <c r="A2631" s="5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6"/>
      <c r="P2631" s="23" t="e">
        <f>TRIM(Tabla1[[#This Row],[Articulo]])</f>
        <v>#VALUE!</v>
      </c>
      <c r="Q2631" s="23" t="e">
        <f>_xlfn.XLOOKUP(Tabla1[[#This Row],[Ean Normalizado]],Consumos!A:A,Consumos!E:E)</f>
        <v>#VALUE!</v>
      </c>
      <c r="R2631" s="38" t="e">
        <f>_xlfn.XLOOKUP(Tabla1[[#This Row],[Ean Normalizado]],tabla_consumos[EAN],tabla_consumos[UM])</f>
        <v>#VALUE!</v>
      </c>
      <c r="S2631" s="38" t="e">
        <f>Tabla1[[#This Row],[StockDisp]]*Tabla1[[#This Row],[UM producto]]</f>
        <v>#VALUE!</v>
      </c>
    </row>
    <row r="2632" spans="1:19" x14ac:dyDescent="0.35">
      <c r="A2632" s="5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6"/>
      <c r="P2632" s="23" t="e">
        <f>TRIM(Tabla1[[#This Row],[Articulo]])</f>
        <v>#VALUE!</v>
      </c>
      <c r="Q2632" s="23" t="e">
        <f>_xlfn.XLOOKUP(Tabla1[[#This Row],[Ean Normalizado]],Consumos!A:A,Consumos!E:E)</f>
        <v>#VALUE!</v>
      </c>
      <c r="R2632" s="38" t="e">
        <f>_xlfn.XLOOKUP(Tabla1[[#This Row],[Ean Normalizado]],tabla_consumos[EAN],tabla_consumos[UM])</f>
        <v>#VALUE!</v>
      </c>
      <c r="S2632" s="38" t="e">
        <f>Tabla1[[#This Row],[StockDisp]]*Tabla1[[#This Row],[UM producto]]</f>
        <v>#VALUE!</v>
      </c>
    </row>
    <row r="2633" spans="1:19" x14ac:dyDescent="0.35">
      <c r="A2633" s="5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6"/>
      <c r="P2633" s="23" t="e">
        <f>TRIM(Tabla1[[#This Row],[Articulo]])</f>
        <v>#VALUE!</v>
      </c>
      <c r="Q2633" s="23" t="e">
        <f>_xlfn.XLOOKUP(Tabla1[[#This Row],[Ean Normalizado]],Consumos!A:A,Consumos!E:E)</f>
        <v>#VALUE!</v>
      </c>
      <c r="R2633" s="38" t="e">
        <f>_xlfn.XLOOKUP(Tabla1[[#This Row],[Ean Normalizado]],tabla_consumos[EAN],tabla_consumos[UM])</f>
        <v>#VALUE!</v>
      </c>
      <c r="S2633" s="38" t="e">
        <f>Tabla1[[#This Row],[StockDisp]]*Tabla1[[#This Row],[UM producto]]</f>
        <v>#VALUE!</v>
      </c>
    </row>
    <row r="2634" spans="1:19" x14ac:dyDescent="0.35">
      <c r="A2634" s="5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6"/>
      <c r="P2634" s="23" t="e">
        <f>TRIM(Tabla1[[#This Row],[Articulo]])</f>
        <v>#VALUE!</v>
      </c>
      <c r="Q2634" s="23" t="e">
        <f>_xlfn.XLOOKUP(Tabla1[[#This Row],[Ean Normalizado]],Consumos!A:A,Consumos!E:E)</f>
        <v>#VALUE!</v>
      </c>
      <c r="R2634" s="38" t="e">
        <f>_xlfn.XLOOKUP(Tabla1[[#This Row],[Ean Normalizado]],tabla_consumos[EAN],tabla_consumos[UM])</f>
        <v>#VALUE!</v>
      </c>
      <c r="S2634" s="38" t="e">
        <f>Tabla1[[#This Row],[StockDisp]]*Tabla1[[#This Row],[UM producto]]</f>
        <v>#VALUE!</v>
      </c>
    </row>
    <row r="2635" spans="1:19" x14ac:dyDescent="0.35">
      <c r="A2635" s="5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6"/>
      <c r="P2635" s="23" t="e">
        <f>TRIM(Tabla1[[#This Row],[Articulo]])</f>
        <v>#VALUE!</v>
      </c>
      <c r="Q2635" s="23" t="e">
        <f>_xlfn.XLOOKUP(Tabla1[[#This Row],[Ean Normalizado]],Consumos!A:A,Consumos!E:E)</f>
        <v>#VALUE!</v>
      </c>
      <c r="R2635" s="38" t="e">
        <f>_xlfn.XLOOKUP(Tabla1[[#This Row],[Ean Normalizado]],tabla_consumos[EAN],tabla_consumos[UM])</f>
        <v>#VALUE!</v>
      </c>
      <c r="S2635" s="38" t="e">
        <f>Tabla1[[#This Row],[StockDisp]]*Tabla1[[#This Row],[UM producto]]</f>
        <v>#VALUE!</v>
      </c>
    </row>
    <row r="2636" spans="1:19" x14ac:dyDescent="0.35">
      <c r="A2636" s="5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6"/>
      <c r="P2636" s="23" t="e">
        <f>TRIM(Tabla1[[#This Row],[Articulo]])</f>
        <v>#VALUE!</v>
      </c>
      <c r="Q2636" s="23" t="e">
        <f>_xlfn.XLOOKUP(Tabla1[[#This Row],[Ean Normalizado]],Consumos!A:A,Consumos!E:E)</f>
        <v>#VALUE!</v>
      </c>
      <c r="R2636" s="38" t="e">
        <f>_xlfn.XLOOKUP(Tabla1[[#This Row],[Ean Normalizado]],tabla_consumos[EAN],tabla_consumos[UM])</f>
        <v>#VALUE!</v>
      </c>
      <c r="S2636" s="38" t="e">
        <f>Tabla1[[#This Row],[StockDisp]]*Tabla1[[#This Row],[UM producto]]</f>
        <v>#VALUE!</v>
      </c>
    </row>
    <row r="2637" spans="1:19" x14ac:dyDescent="0.35">
      <c r="A2637" s="5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6"/>
      <c r="P2637" s="23" t="e">
        <f>TRIM(Tabla1[[#This Row],[Articulo]])</f>
        <v>#VALUE!</v>
      </c>
      <c r="Q2637" s="23" t="e">
        <f>_xlfn.XLOOKUP(Tabla1[[#This Row],[Ean Normalizado]],Consumos!A:A,Consumos!E:E)</f>
        <v>#VALUE!</v>
      </c>
      <c r="R2637" s="38" t="e">
        <f>_xlfn.XLOOKUP(Tabla1[[#This Row],[Ean Normalizado]],tabla_consumos[EAN],tabla_consumos[UM])</f>
        <v>#VALUE!</v>
      </c>
      <c r="S2637" s="38" t="e">
        <f>Tabla1[[#This Row],[StockDisp]]*Tabla1[[#This Row],[UM producto]]</f>
        <v>#VALUE!</v>
      </c>
    </row>
    <row r="2638" spans="1:19" x14ac:dyDescent="0.35">
      <c r="A2638" s="5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6"/>
      <c r="P2638" s="23" t="e">
        <f>TRIM(Tabla1[[#This Row],[Articulo]])</f>
        <v>#VALUE!</v>
      </c>
      <c r="Q2638" s="23" t="e">
        <f>_xlfn.XLOOKUP(Tabla1[[#This Row],[Ean Normalizado]],Consumos!A:A,Consumos!E:E)</f>
        <v>#VALUE!</v>
      </c>
      <c r="R2638" s="38" t="e">
        <f>_xlfn.XLOOKUP(Tabla1[[#This Row],[Ean Normalizado]],tabla_consumos[EAN],tabla_consumos[UM])</f>
        <v>#VALUE!</v>
      </c>
      <c r="S2638" s="38" t="e">
        <f>Tabla1[[#This Row],[StockDisp]]*Tabla1[[#This Row],[UM producto]]</f>
        <v>#VALUE!</v>
      </c>
    </row>
    <row r="2639" spans="1:19" x14ac:dyDescent="0.35">
      <c r="A2639" s="5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6"/>
      <c r="P2639" s="23" t="e">
        <f>TRIM(Tabla1[[#This Row],[Articulo]])</f>
        <v>#VALUE!</v>
      </c>
      <c r="Q2639" s="23" t="e">
        <f>_xlfn.XLOOKUP(Tabla1[[#This Row],[Ean Normalizado]],Consumos!A:A,Consumos!E:E)</f>
        <v>#VALUE!</v>
      </c>
      <c r="R2639" s="38" t="e">
        <f>_xlfn.XLOOKUP(Tabla1[[#This Row],[Ean Normalizado]],tabla_consumos[EAN],tabla_consumos[UM])</f>
        <v>#VALUE!</v>
      </c>
      <c r="S2639" s="38" t="e">
        <f>Tabla1[[#This Row],[StockDisp]]*Tabla1[[#This Row],[UM producto]]</f>
        <v>#VALUE!</v>
      </c>
    </row>
    <row r="2640" spans="1:19" x14ac:dyDescent="0.35">
      <c r="A2640" s="5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6"/>
      <c r="P2640" s="23" t="e">
        <f>TRIM(Tabla1[[#This Row],[Articulo]])</f>
        <v>#VALUE!</v>
      </c>
      <c r="Q2640" s="23" t="e">
        <f>_xlfn.XLOOKUP(Tabla1[[#This Row],[Ean Normalizado]],Consumos!A:A,Consumos!E:E)</f>
        <v>#VALUE!</v>
      </c>
      <c r="R2640" s="38" t="e">
        <f>_xlfn.XLOOKUP(Tabla1[[#This Row],[Ean Normalizado]],tabla_consumos[EAN],tabla_consumos[UM])</f>
        <v>#VALUE!</v>
      </c>
      <c r="S2640" s="38" t="e">
        <f>Tabla1[[#This Row],[StockDisp]]*Tabla1[[#This Row],[UM producto]]</f>
        <v>#VALUE!</v>
      </c>
    </row>
    <row r="2641" spans="1:19" x14ac:dyDescent="0.35">
      <c r="A2641" s="5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6"/>
      <c r="P2641" s="23" t="e">
        <f>TRIM(Tabla1[[#This Row],[Articulo]])</f>
        <v>#VALUE!</v>
      </c>
      <c r="Q2641" s="23" t="e">
        <f>_xlfn.XLOOKUP(Tabla1[[#This Row],[Ean Normalizado]],Consumos!A:A,Consumos!E:E)</f>
        <v>#VALUE!</v>
      </c>
      <c r="R2641" s="38" t="e">
        <f>_xlfn.XLOOKUP(Tabla1[[#This Row],[Ean Normalizado]],tabla_consumos[EAN],tabla_consumos[UM])</f>
        <v>#VALUE!</v>
      </c>
      <c r="S2641" s="38" t="e">
        <f>Tabla1[[#This Row],[StockDisp]]*Tabla1[[#This Row],[UM producto]]</f>
        <v>#VALUE!</v>
      </c>
    </row>
    <row r="2642" spans="1:19" x14ac:dyDescent="0.35">
      <c r="A2642" s="5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6"/>
      <c r="P2642" s="23" t="e">
        <f>TRIM(Tabla1[[#This Row],[Articulo]])</f>
        <v>#VALUE!</v>
      </c>
      <c r="Q2642" s="23" t="e">
        <f>_xlfn.XLOOKUP(Tabla1[[#This Row],[Ean Normalizado]],Consumos!A:A,Consumos!E:E)</f>
        <v>#VALUE!</v>
      </c>
      <c r="R2642" s="38" t="e">
        <f>_xlfn.XLOOKUP(Tabla1[[#This Row],[Ean Normalizado]],tabla_consumos[EAN],tabla_consumos[UM])</f>
        <v>#VALUE!</v>
      </c>
      <c r="S2642" s="38" t="e">
        <f>Tabla1[[#This Row],[StockDisp]]*Tabla1[[#This Row],[UM producto]]</f>
        <v>#VALUE!</v>
      </c>
    </row>
    <row r="2643" spans="1:19" x14ac:dyDescent="0.35">
      <c r="A2643" s="5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6"/>
      <c r="P2643" s="23" t="e">
        <f>TRIM(Tabla1[[#This Row],[Articulo]])</f>
        <v>#VALUE!</v>
      </c>
      <c r="Q2643" s="23" t="e">
        <f>_xlfn.XLOOKUP(Tabla1[[#This Row],[Ean Normalizado]],Consumos!A:A,Consumos!E:E)</f>
        <v>#VALUE!</v>
      </c>
      <c r="R2643" s="38" t="e">
        <f>_xlfn.XLOOKUP(Tabla1[[#This Row],[Ean Normalizado]],tabla_consumos[EAN],tabla_consumos[UM])</f>
        <v>#VALUE!</v>
      </c>
      <c r="S2643" s="38" t="e">
        <f>Tabla1[[#This Row],[StockDisp]]*Tabla1[[#This Row],[UM producto]]</f>
        <v>#VALUE!</v>
      </c>
    </row>
    <row r="2644" spans="1:19" x14ac:dyDescent="0.35">
      <c r="A2644" s="5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6"/>
      <c r="P2644" s="23" t="e">
        <f>TRIM(Tabla1[[#This Row],[Articulo]])</f>
        <v>#VALUE!</v>
      </c>
      <c r="Q2644" s="23" t="e">
        <f>_xlfn.XLOOKUP(Tabla1[[#This Row],[Ean Normalizado]],Consumos!A:A,Consumos!E:E)</f>
        <v>#VALUE!</v>
      </c>
      <c r="R2644" s="38" t="e">
        <f>_xlfn.XLOOKUP(Tabla1[[#This Row],[Ean Normalizado]],tabla_consumos[EAN],tabla_consumos[UM])</f>
        <v>#VALUE!</v>
      </c>
      <c r="S2644" s="38" t="e">
        <f>Tabla1[[#This Row],[StockDisp]]*Tabla1[[#This Row],[UM producto]]</f>
        <v>#VALUE!</v>
      </c>
    </row>
    <row r="2645" spans="1:19" x14ac:dyDescent="0.35">
      <c r="A2645" s="5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6"/>
      <c r="P2645" s="23" t="e">
        <f>TRIM(Tabla1[[#This Row],[Articulo]])</f>
        <v>#VALUE!</v>
      </c>
      <c r="Q2645" s="23" t="e">
        <f>_xlfn.XLOOKUP(Tabla1[[#This Row],[Ean Normalizado]],Consumos!A:A,Consumos!E:E)</f>
        <v>#VALUE!</v>
      </c>
      <c r="R2645" s="38" t="e">
        <f>_xlfn.XLOOKUP(Tabla1[[#This Row],[Ean Normalizado]],tabla_consumos[EAN],tabla_consumos[UM])</f>
        <v>#VALUE!</v>
      </c>
      <c r="S2645" s="38" t="e">
        <f>Tabla1[[#This Row],[StockDisp]]*Tabla1[[#This Row],[UM producto]]</f>
        <v>#VALUE!</v>
      </c>
    </row>
    <row r="2646" spans="1:19" x14ac:dyDescent="0.35">
      <c r="A2646" s="5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6"/>
      <c r="P2646" s="23" t="e">
        <f>TRIM(Tabla1[[#This Row],[Articulo]])</f>
        <v>#VALUE!</v>
      </c>
      <c r="Q2646" s="23" t="e">
        <f>_xlfn.XLOOKUP(Tabla1[[#This Row],[Ean Normalizado]],Consumos!A:A,Consumos!E:E)</f>
        <v>#VALUE!</v>
      </c>
      <c r="R2646" s="38" t="e">
        <f>_xlfn.XLOOKUP(Tabla1[[#This Row],[Ean Normalizado]],tabla_consumos[EAN],tabla_consumos[UM])</f>
        <v>#VALUE!</v>
      </c>
      <c r="S2646" s="38" t="e">
        <f>Tabla1[[#This Row],[StockDisp]]*Tabla1[[#This Row],[UM producto]]</f>
        <v>#VALUE!</v>
      </c>
    </row>
    <row r="2647" spans="1:19" x14ac:dyDescent="0.35">
      <c r="A2647" s="5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6"/>
      <c r="P2647" s="23" t="e">
        <f>TRIM(Tabla1[[#This Row],[Articulo]])</f>
        <v>#VALUE!</v>
      </c>
      <c r="Q2647" s="23" t="e">
        <f>_xlfn.XLOOKUP(Tabla1[[#This Row],[Ean Normalizado]],Consumos!A:A,Consumos!E:E)</f>
        <v>#VALUE!</v>
      </c>
      <c r="R2647" s="38" t="e">
        <f>_xlfn.XLOOKUP(Tabla1[[#This Row],[Ean Normalizado]],tabla_consumos[EAN],tabla_consumos[UM])</f>
        <v>#VALUE!</v>
      </c>
      <c r="S2647" s="38" t="e">
        <f>Tabla1[[#This Row],[StockDisp]]*Tabla1[[#This Row],[UM producto]]</f>
        <v>#VALUE!</v>
      </c>
    </row>
    <row r="2648" spans="1:19" x14ac:dyDescent="0.35">
      <c r="A2648" s="5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6"/>
      <c r="P2648" s="23" t="e">
        <f>TRIM(Tabla1[[#This Row],[Articulo]])</f>
        <v>#VALUE!</v>
      </c>
      <c r="Q2648" s="23" t="e">
        <f>_xlfn.XLOOKUP(Tabla1[[#This Row],[Ean Normalizado]],Consumos!A:A,Consumos!E:E)</f>
        <v>#VALUE!</v>
      </c>
      <c r="R2648" s="38" t="e">
        <f>_xlfn.XLOOKUP(Tabla1[[#This Row],[Ean Normalizado]],tabla_consumos[EAN],tabla_consumos[UM])</f>
        <v>#VALUE!</v>
      </c>
      <c r="S2648" s="38" t="e">
        <f>Tabla1[[#This Row],[StockDisp]]*Tabla1[[#This Row],[UM producto]]</f>
        <v>#VALUE!</v>
      </c>
    </row>
    <row r="2649" spans="1:19" x14ac:dyDescent="0.35">
      <c r="A2649" s="5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6"/>
      <c r="P2649" s="23" t="e">
        <f>TRIM(Tabla1[[#This Row],[Articulo]])</f>
        <v>#VALUE!</v>
      </c>
      <c r="Q2649" s="23" t="e">
        <f>_xlfn.XLOOKUP(Tabla1[[#This Row],[Ean Normalizado]],Consumos!A:A,Consumos!E:E)</f>
        <v>#VALUE!</v>
      </c>
      <c r="R2649" s="38" t="e">
        <f>_xlfn.XLOOKUP(Tabla1[[#This Row],[Ean Normalizado]],tabla_consumos[EAN],tabla_consumos[UM])</f>
        <v>#VALUE!</v>
      </c>
      <c r="S2649" s="38" t="e">
        <f>Tabla1[[#This Row],[StockDisp]]*Tabla1[[#This Row],[UM producto]]</f>
        <v>#VALUE!</v>
      </c>
    </row>
    <row r="2650" spans="1:19" x14ac:dyDescent="0.35">
      <c r="A2650" s="5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6"/>
      <c r="P2650" s="23" t="e">
        <f>TRIM(Tabla1[[#This Row],[Articulo]])</f>
        <v>#VALUE!</v>
      </c>
      <c r="Q2650" s="23" t="e">
        <f>_xlfn.XLOOKUP(Tabla1[[#This Row],[Ean Normalizado]],Consumos!A:A,Consumos!E:E)</f>
        <v>#VALUE!</v>
      </c>
      <c r="R2650" s="38" t="e">
        <f>_xlfn.XLOOKUP(Tabla1[[#This Row],[Ean Normalizado]],tabla_consumos[EAN],tabla_consumos[UM])</f>
        <v>#VALUE!</v>
      </c>
      <c r="S2650" s="38" t="e">
        <f>Tabla1[[#This Row],[StockDisp]]*Tabla1[[#This Row],[UM producto]]</f>
        <v>#VALUE!</v>
      </c>
    </row>
    <row r="2651" spans="1:19" x14ac:dyDescent="0.35">
      <c r="A2651" s="5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6"/>
      <c r="P2651" s="23" t="e">
        <f>TRIM(Tabla1[[#This Row],[Articulo]])</f>
        <v>#VALUE!</v>
      </c>
      <c r="Q2651" s="23" t="e">
        <f>_xlfn.XLOOKUP(Tabla1[[#This Row],[Ean Normalizado]],Consumos!A:A,Consumos!E:E)</f>
        <v>#VALUE!</v>
      </c>
      <c r="R2651" s="38" t="e">
        <f>_xlfn.XLOOKUP(Tabla1[[#This Row],[Ean Normalizado]],tabla_consumos[EAN],tabla_consumos[UM])</f>
        <v>#VALUE!</v>
      </c>
      <c r="S2651" s="38" t="e">
        <f>Tabla1[[#This Row],[StockDisp]]*Tabla1[[#This Row],[UM producto]]</f>
        <v>#VALUE!</v>
      </c>
    </row>
    <row r="2652" spans="1:19" x14ac:dyDescent="0.35">
      <c r="A2652" s="5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6"/>
      <c r="P2652" s="23" t="e">
        <f>TRIM(Tabla1[[#This Row],[Articulo]])</f>
        <v>#VALUE!</v>
      </c>
      <c r="Q2652" s="23" t="e">
        <f>_xlfn.XLOOKUP(Tabla1[[#This Row],[Ean Normalizado]],Consumos!A:A,Consumos!E:E)</f>
        <v>#VALUE!</v>
      </c>
      <c r="R2652" s="38" t="e">
        <f>_xlfn.XLOOKUP(Tabla1[[#This Row],[Ean Normalizado]],tabla_consumos[EAN],tabla_consumos[UM])</f>
        <v>#VALUE!</v>
      </c>
      <c r="S2652" s="38" t="e">
        <f>Tabla1[[#This Row],[StockDisp]]*Tabla1[[#This Row],[UM producto]]</f>
        <v>#VALUE!</v>
      </c>
    </row>
    <row r="2653" spans="1:19" x14ac:dyDescent="0.35">
      <c r="A2653" s="5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6"/>
      <c r="P2653" s="23" t="e">
        <f>TRIM(Tabla1[[#This Row],[Articulo]])</f>
        <v>#VALUE!</v>
      </c>
      <c r="Q2653" s="23" t="e">
        <f>_xlfn.XLOOKUP(Tabla1[[#This Row],[Ean Normalizado]],Consumos!A:A,Consumos!E:E)</f>
        <v>#VALUE!</v>
      </c>
      <c r="R2653" s="38" t="e">
        <f>_xlfn.XLOOKUP(Tabla1[[#This Row],[Ean Normalizado]],tabla_consumos[EAN],tabla_consumos[UM])</f>
        <v>#VALUE!</v>
      </c>
      <c r="S2653" s="38" t="e">
        <f>Tabla1[[#This Row],[StockDisp]]*Tabla1[[#This Row],[UM producto]]</f>
        <v>#VALUE!</v>
      </c>
    </row>
    <row r="2654" spans="1:19" x14ac:dyDescent="0.35">
      <c r="A2654" s="5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6"/>
      <c r="P2654" s="23" t="e">
        <f>TRIM(Tabla1[[#This Row],[Articulo]])</f>
        <v>#VALUE!</v>
      </c>
      <c r="Q2654" s="23" t="e">
        <f>_xlfn.XLOOKUP(Tabla1[[#This Row],[Ean Normalizado]],Consumos!A:A,Consumos!E:E)</f>
        <v>#VALUE!</v>
      </c>
      <c r="R2654" s="38" t="e">
        <f>_xlfn.XLOOKUP(Tabla1[[#This Row],[Ean Normalizado]],tabla_consumos[EAN],tabla_consumos[UM])</f>
        <v>#VALUE!</v>
      </c>
      <c r="S2654" s="38" t="e">
        <f>Tabla1[[#This Row],[StockDisp]]*Tabla1[[#This Row],[UM producto]]</f>
        <v>#VALUE!</v>
      </c>
    </row>
    <row r="2655" spans="1:19" x14ac:dyDescent="0.35">
      <c r="A2655" s="5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6"/>
      <c r="P2655" s="23" t="e">
        <f>TRIM(Tabla1[[#This Row],[Articulo]])</f>
        <v>#VALUE!</v>
      </c>
      <c r="Q2655" s="23" t="e">
        <f>_xlfn.XLOOKUP(Tabla1[[#This Row],[Ean Normalizado]],Consumos!A:A,Consumos!E:E)</f>
        <v>#VALUE!</v>
      </c>
      <c r="R2655" s="38" t="e">
        <f>_xlfn.XLOOKUP(Tabla1[[#This Row],[Ean Normalizado]],tabla_consumos[EAN],tabla_consumos[UM])</f>
        <v>#VALUE!</v>
      </c>
      <c r="S2655" s="38" t="e">
        <f>Tabla1[[#This Row],[StockDisp]]*Tabla1[[#This Row],[UM producto]]</f>
        <v>#VALUE!</v>
      </c>
    </row>
    <row r="2656" spans="1:19" x14ac:dyDescent="0.35">
      <c r="A2656" s="5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6"/>
      <c r="P2656" s="23" t="e">
        <f>TRIM(Tabla1[[#This Row],[Articulo]])</f>
        <v>#VALUE!</v>
      </c>
      <c r="Q2656" s="23" t="e">
        <f>_xlfn.XLOOKUP(Tabla1[[#This Row],[Ean Normalizado]],Consumos!A:A,Consumos!E:E)</f>
        <v>#VALUE!</v>
      </c>
      <c r="R2656" s="38" t="e">
        <f>_xlfn.XLOOKUP(Tabla1[[#This Row],[Ean Normalizado]],tabla_consumos[EAN],tabla_consumos[UM])</f>
        <v>#VALUE!</v>
      </c>
      <c r="S2656" s="38" t="e">
        <f>Tabla1[[#This Row],[StockDisp]]*Tabla1[[#This Row],[UM producto]]</f>
        <v>#VALUE!</v>
      </c>
    </row>
    <row r="2657" spans="1:19" x14ac:dyDescent="0.35">
      <c r="A2657" s="5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6"/>
      <c r="P2657" s="23" t="e">
        <f>TRIM(Tabla1[[#This Row],[Articulo]])</f>
        <v>#VALUE!</v>
      </c>
      <c r="Q2657" s="23" t="e">
        <f>_xlfn.XLOOKUP(Tabla1[[#This Row],[Ean Normalizado]],Consumos!A:A,Consumos!E:E)</f>
        <v>#VALUE!</v>
      </c>
      <c r="R2657" s="38" t="e">
        <f>_xlfn.XLOOKUP(Tabla1[[#This Row],[Ean Normalizado]],tabla_consumos[EAN],tabla_consumos[UM])</f>
        <v>#VALUE!</v>
      </c>
      <c r="S2657" s="38" t="e">
        <f>Tabla1[[#This Row],[StockDisp]]*Tabla1[[#This Row],[UM producto]]</f>
        <v>#VALUE!</v>
      </c>
    </row>
    <row r="2658" spans="1:19" x14ac:dyDescent="0.35">
      <c r="A2658" s="5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6"/>
      <c r="P2658" s="23" t="e">
        <f>TRIM(Tabla1[[#This Row],[Articulo]])</f>
        <v>#VALUE!</v>
      </c>
      <c r="Q2658" s="23" t="e">
        <f>_xlfn.XLOOKUP(Tabla1[[#This Row],[Ean Normalizado]],Consumos!A:A,Consumos!E:E)</f>
        <v>#VALUE!</v>
      </c>
      <c r="R2658" s="38" t="e">
        <f>_xlfn.XLOOKUP(Tabla1[[#This Row],[Ean Normalizado]],tabla_consumos[EAN],tabla_consumos[UM])</f>
        <v>#VALUE!</v>
      </c>
      <c r="S2658" s="38" t="e">
        <f>Tabla1[[#This Row],[StockDisp]]*Tabla1[[#This Row],[UM producto]]</f>
        <v>#VALUE!</v>
      </c>
    </row>
    <row r="2659" spans="1:19" x14ac:dyDescent="0.35">
      <c r="A2659" s="5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6"/>
      <c r="P2659" s="23" t="e">
        <f>TRIM(Tabla1[[#This Row],[Articulo]])</f>
        <v>#VALUE!</v>
      </c>
      <c r="Q2659" s="23" t="e">
        <f>_xlfn.XLOOKUP(Tabla1[[#This Row],[Ean Normalizado]],Consumos!A:A,Consumos!E:E)</f>
        <v>#VALUE!</v>
      </c>
      <c r="R2659" s="38" t="e">
        <f>_xlfn.XLOOKUP(Tabla1[[#This Row],[Ean Normalizado]],tabla_consumos[EAN],tabla_consumos[UM])</f>
        <v>#VALUE!</v>
      </c>
      <c r="S2659" s="38" t="e">
        <f>Tabla1[[#This Row],[StockDisp]]*Tabla1[[#This Row],[UM producto]]</f>
        <v>#VALUE!</v>
      </c>
    </row>
    <row r="2660" spans="1:19" x14ac:dyDescent="0.35">
      <c r="A2660" s="5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6"/>
      <c r="P2660" s="23" t="e">
        <f>TRIM(Tabla1[[#This Row],[Articulo]])</f>
        <v>#VALUE!</v>
      </c>
      <c r="Q2660" s="23" t="e">
        <f>_xlfn.XLOOKUP(Tabla1[[#This Row],[Ean Normalizado]],Consumos!A:A,Consumos!E:E)</f>
        <v>#VALUE!</v>
      </c>
      <c r="R2660" s="38" t="e">
        <f>_xlfn.XLOOKUP(Tabla1[[#This Row],[Ean Normalizado]],tabla_consumos[EAN],tabla_consumos[UM])</f>
        <v>#VALUE!</v>
      </c>
      <c r="S2660" s="38" t="e">
        <f>Tabla1[[#This Row],[StockDisp]]*Tabla1[[#This Row],[UM producto]]</f>
        <v>#VALUE!</v>
      </c>
    </row>
    <row r="2661" spans="1:19" x14ac:dyDescent="0.35">
      <c r="A2661" s="5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6"/>
      <c r="P2661" s="23" t="e">
        <f>TRIM(Tabla1[[#This Row],[Articulo]])</f>
        <v>#VALUE!</v>
      </c>
      <c r="Q2661" s="23" t="e">
        <f>_xlfn.XLOOKUP(Tabla1[[#This Row],[Ean Normalizado]],Consumos!A:A,Consumos!E:E)</f>
        <v>#VALUE!</v>
      </c>
      <c r="R2661" s="38" t="e">
        <f>_xlfn.XLOOKUP(Tabla1[[#This Row],[Ean Normalizado]],tabla_consumos[EAN],tabla_consumos[UM])</f>
        <v>#VALUE!</v>
      </c>
      <c r="S2661" s="38" t="e">
        <f>Tabla1[[#This Row],[StockDisp]]*Tabla1[[#This Row],[UM producto]]</f>
        <v>#VALUE!</v>
      </c>
    </row>
    <row r="2662" spans="1:19" x14ac:dyDescent="0.35">
      <c r="A2662" s="5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6"/>
      <c r="P2662" s="23" t="e">
        <f>TRIM(Tabla1[[#This Row],[Articulo]])</f>
        <v>#VALUE!</v>
      </c>
      <c r="Q2662" s="23" t="e">
        <f>_xlfn.XLOOKUP(Tabla1[[#This Row],[Ean Normalizado]],Consumos!A:A,Consumos!E:E)</f>
        <v>#VALUE!</v>
      </c>
      <c r="R2662" s="38" t="e">
        <f>_xlfn.XLOOKUP(Tabla1[[#This Row],[Ean Normalizado]],tabla_consumos[EAN],tabla_consumos[UM])</f>
        <v>#VALUE!</v>
      </c>
      <c r="S2662" s="38" t="e">
        <f>Tabla1[[#This Row],[StockDisp]]*Tabla1[[#This Row],[UM producto]]</f>
        <v>#VALUE!</v>
      </c>
    </row>
    <row r="2663" spans="1:19" x14ac:dyDescent="0.35">
      <c r="A2663" s="5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6"/>
      <c r="P2663" s="23" t="e">
        <f>TRIM(Tabla1[[#This Row],[Articulo]])</f>
        <v>#VALUE!</v>
      </c>
      <c r="Q2663" s="23" t="e">
        <f>_xlfn.XLOOKUP(Tabla1[[#This Row],[Ean Normalizado]],Consumos!A:A,Consumos!E:E)</f>
        <v>#VALUE!</v>
      </c>
      <c r="R2663" s="38" t="e">
        <f>_xlfn.XLOOKUP(Tabla1[[#This Row],[Ean Normalizado]],tabla_consumos[EAN],tabla_consumos[UM])</f>
        <v>#VALUE!</v>
      </c>
      <c r="S2663" s="38" t="e">
        <f>Tabla1[[#This Row],[StockDisp]]*Tabla1[[#This Row],[UM producto]]</f>
        <v>#VALUE!</v>
      </c>
    </row>
    <row r="2664" spans="1:19" x14ac:dyDescent="0.35">
      <c r="A2664" s="5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6"/>
      <c r="P2664" s="23" t="e">
        <f>TRIM(Tabla1[[#This Row],[Articulo]])</f>
        <v>#VALUE!</v>
      </c>
      <c r="Q2664" s="23" t="e">
        <f>_xlfn.XLOOKUP(Tabla1[[#This Row],[Ean Normalizado]],Consumos!A:A,Consumos!E:E)</f>
        <v>#VALUE!</v>
      </c>
      <c r="R2664" s="38" t="e">
        <f>_xlfn.XLOOKUP(Tabla1[[#This Row],[Ean Normalizado]],tabla_consumos[EAN],tabla_consumos[UM])</f>
        <v>#VALUE!</v>
      </c>
      <c r="S2664" s="38" t="e">
        <f>Tabla1[[#This Row],[StockDisp]]*Tabla1[[#This Row],[UM producto]]</f>
        <v>#VALUE!</v>
      </c>
    </row>
    <row r="2665" spans="1:19" x14ac:dyDescent="0.35">
      <c r="A2665" s="5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6"/>
      <c r="P2665" s="23" t="e">
        <f>TRIM(Tabla1[[#This Row],[Articulo]])</f>
        <v>#VALUE!</v>
      </c>
      <c r="Q2665" s="23" t="e">
        <f>_xlfn.XLOOKUP(Tabla1[[#This Row],[Ean Normalizado]],Consumos!A:A,Consumos!E:E)</f>
        <v>#VALUE!</v>
      </c>
      <c r="R2665" s="38" t="e">
        <f>_xlfn.XLOOKUP(Tabla1[[#This Row],[Ean Normalizado]],tabla_consumos[EAN],tabla_consumos[UM])</f>
        <v>#VALUE!</v>
      </c>
      <c r="S2665" s="38" t="e">
        <f>Tabla1[[#This Row],[StockDisp]]*Tabla1[[#This Row],[UM producto]]</f>
        <v>#VALUE!</v>
      </c>
    </row>
    <row r="2666" spans="1:19" x14ac:dyDescent="0.35">
      <c r="A2666" s="5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6"/>
      <c r="P2666" s="23" t="e">
        <f>TRIM(Tabla1[[#This Row],[Articulo]])</f>
        <v>#VALUE!</v>
      </c>
      <c r="Q2666" s="23" t="e">
        <f>_xlfn.XLOOKUP(Tabla1[[#This Row],[Ean Normalizado]],Consumos!A:A,Consumos!E:E)</f>
        <v>#VALUE!</v>
      </c>
      <c r="R2666" s="38" t="e">
        <f>_xlfn.XLOOKUP(Tabla1[[#This Row],[Ean Normalizado]],tabla_consumos[EAN],tabla_consumos[UM])</f>
        <v>#VALUE!</v>
      </c>
      <c r="S2666" s="38" t="e">
        <f>Tabla1[[#This Row],[StockDisp]]*Tabla1[[#This Row],[UM producto]]</f>
        <v>#VALUE!</v>
      </c>
    </row>
    <row r="2667" spans="1:19" x14ac:dyDescent="0.35">
      <c r="A2667" s="5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6"/>
      <c r="P2667" s="23" t="e">
        <f>TRIM(Tabla1[[#This Row],[Articulo]])</f>
        <v>#VALUE!</v>
      </c>
      <c r="Q2667" s="23" t="e">
        <f>_xlfn.XLOOKUP(Tabla1[[#This Row],[Ean Normalizado]],Consumos!A:A,Consumos!E:E)</f>
        <v>#VALUE!</v>
      </c>
      <c r="R2667" s="38" t="e">
        <f>_xlfn.XLOOKUP(Tabla1[[#This Row],[Ean Normalizado]],tabla_consumos[EAN],tabla_consumos[UM])</f>
        <v>#VALUE!</v>
      </c>
      <c r="S2667" s="38" t="e">
        <f>Tabla1[[#This Row],[StockDisp]]*Tabla1[[#This Row],[UM producto]]</f>
        <v>#VALUE!</v>
      </c>
    </row>
    <row r="2668" spans="1:19" x14ac:dyDescent="0.35">
      <c r="A2668" s="5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6"/>
      <c r="P2668" s="23" t="e">
        <f>TRIM(Tabla1[[#This Row],[Articulo]])</f>
        <v>#VALUE!</v>
      </c>
      <c r="Q2668" s="23" t="e">
        <f>_xlfn.XLOOKUP(Tabla1[[#This Row],[Ean Normalizado]],Consumos!A:A,Consumos!E:E)</f>
        <v>#VALUE!</v>
      </c>
      <c r="R2668" s="38" t="e">
        <f>_xlfn.XLOOKUP(Tabla1[[#This Row],[Ean Normalizado]],tabla_consumos[EAN],tabla_consumos[UM])</f>
        <v>#VALUE!</v>
      </c>
      <c r="S2668" s="38" t="e">
        <f>Tabla1[[#This Row],[StockDisp]]*Tabla1[[#This Row],[UM producto]]</f>
        <v>#VALUE!</v>
      </c>
    </row>
    <row r="2669" spans="1:19" x14ac:dyDescent="0.35">
      <c r="A2669" s="5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6"/>
      <c r="P2669" s="23" t="e">
        <f>TRIM(Tabla1[[#This Row],[Articulo]])</f>
        <v>#VALUE!</v>
      </c>
      <c r="Q2669" s="23" t="e">
        <f>_xlfn.XLOOKUP(Tabla1[[#This Row],[Ean Normalizado]],Consumos!A:A,Consumos!E:E)</f>
        <v>#VALUE!</v>
      </c>
      <c r="R2669" s="38" t="e">
        <f>_xlfn.XLOOKUP(Tabla1[[#This Row],[Ean Normalizado]],tabla_consumos[EAN],tabla_consumos[UM])</f>
        <v>#VALUE!</v>
      </c>
      <c r="S2669" s="38" t="e">
        <f>Tabla1[[#This Row],[StockDisp]]*Tabla1[[#This Row],[UM producto]]</f>
        <v>#VALUE!</v>
      </c>
    </row>
    <row r="2670" spans="1:19" x14ac:dyDescent="0.35">
      <c r="A2670" s="5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6"/>
      <c r="P2670" s="23" t="e">
        <f>TRIM(Tabla1[[#This Row],[Articulo]])</f>
        <v>#VALUE!</v>
      </c>
      <c r="Q2670" s="23" t="e">
        <f>_xlfn.XLOOKUP(Tabla1[[#This Row],[Ean Normalizado]],Consumos!A:A,Consumos!E:E)</f>
        <v>#VALUE!</v>
      </c>
      <c r="R2670" s="38" t="e">
        <f>_xlfn.XLOOKUP(Tabla1[[#This Row],[Ean Normalizado]],tabla_consumos[EAN],tabla_consumos[UM])</f>
        <v>#VALUE!</v>
      </c>
      <c r="S2670" s="38" t="e">
        <f>Tabla1[[#This Row],[StockDisp]]*Tabla1[[#This Row],[UM producto]]</f>
        <v>#VALUE!</v>
      </c>
    </row>
    <row r="2671" spans="1:19" x14ac:dyDescent="0.35">
      <c r="A2671" s="5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6"/>
      <c r="P2671" s="23" t="e">
        <f>TRIM(Tabla1[[#This Row],[Articulo]])</f>
        <v>#VALUE!</v>
      </c>
      <c r="Q2671" s="23" t="e">
        <f>_xlfn.XLOOKUP(Tabla1[[#This Row],[Ean Normalizado]],Consumos!A:A,Consumos!E:E)</f>
        <v>#VALUE!</v>
      </c>
      <c r="R2671" s="38" t="e">
        <f>_xlfn.XLOOKUP(Tabla1[[#This Row],[Ean Normalizado]],tabla_consumos[EAN],tabla_consumos[UM])</f>
        <v>#VALUE!</v>
      </c>
      <c r="S2671" s="38" t="e">
        <f>Tabla1[[#This Row],[StockDisp]]*Tabla1[[#This Row],[UM producto]]</f>
        <v>#VALUE!</v>
      </c>
    </row>
    <row r="2672" spans="1:19" x14ac:dyDescent="0.35">
      <c r="A2672" s="5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6"/>
      <c r="P2672" s="23" t="e">
        <f>TRIM(Tabla1[[#This Row],[Articulo]])</f>
        <v>#VALUE!</v>
      </c>
      <c r="Q2672" s="23" t="e">
        <f>_xlfn.XLOOKUP(Tabla1[[#This Row],[Ean Normalizado]],Consumos!A:A,Consumos!E:E)</f>
        <v>#VALUE!</v>
      </c>
      <c r="R2672" s="38" t="e">
        <f>_xlfn.XLOOKUP(Tabla1[[#This Row],[Ean Normalizado]],tabla_consumos[EAN],tabla_consumos[UM])</f>
        <v>#VALUE!</v>
      </c>
      <c r="S2672" s="38" t="e">
        <f>Tabla1[[#This Row],[StockDisp]]*Tabla1[[#This Row],[UM producto]]</f>
        <v>#VALUE!</v>
      </c>
    </row>
    <row r="2673" spans="1:19" x14ac:dyDescent="0.35">
      <c r="A2673" s="5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6"/>
      <c r="P2673" s="23" t="e">
        <f>TRIM(Tabla1[[#This Row],[Articulo]])</f>
        <v>#VALUE!</v>
      </c>
      <c r="Q2673" s="23" t="e">
        <f>_xlfn.XLOOKUP(Tabla1[[#This Row],[Ean Normalizado]],Consumos!A:A,Consumos!E:E)</f>
        <v>#VALUE!</v>
      </c>
      <c r="R2673" s="38" t="e">
        <f>_xlfn.XLOOKUP(Tabla1[[#This Row],[Ean Normalizado]],tabla_consumos[EAN],tabla_consumos[UM])</f>
        <v>#VALUE!</v>
      </c>
      <c r="S2673" s="38" t="e">
        <f>Tabla1[[#This Row],[StockDisp]]*Tabla1[[#This Row],[UM producto]]</f>
        <v>#VALUE!</v>
      </c>
    </row>
    <row r="2674" spans="1:19" x14ac:dyDescent="0.35">
      <c r="A2674" s="5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6"/>
      <c r="P2674" s="23" t="e">
        <f>TRIM(Tabla1[[#This Row],[Articulo]])</f>
        <v>#VALUE!</v>
      </c>
      <c r="Q2674" s="23" t="e">
        <f>_xlfn.XLOOKUP(Tabla1[[#This Row],[Ean Normalizado]],Consumos!A:A,Consumos!E:E)</f>
        <v>#VALUE!</v>
      </c>
      <c r="R2674" s="38" t="e">
        <f>_xlfn.XLOOKUP(Tabla1[[#This Row],[Ean Normalizado]],tabla_consumos[EAN],tabla_consumos[UM])</f>
        <v>#VALUE!</v>
      </c>
      <c r="S2674" s="38" t="e">
        <f>Tabla1[[#This Row],[StockDisp]]*Tabla1[[#This Row],[UM producto]]</f>
        <v>#VALUE!</v>
      </c>
    </row>
    <row r="2675" spans="1:19" x14ac:dyDescent="0.35">
      <c r="A2675" s="5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6"/>
      <c r="P2675" s="23" t="e">
        <f>TRIM(Tabla1[[#This Row],[Articulo]])</f>
        <v>#VALUE!</v>
      </c>
      <c r="Q2675" s="23" t="e">
        <f>_xlfn.XLOOKUP(Tabla1[[#This Row],[Ean Normalizado]],Consumos!A:A,Consumos!E:E)</f>
        <v>#VALUE!</v>
      </c>
      <c r="R2675" s="38" t="e">
        <f>_xlfn.XLOOKUP(Tabla1[[#This Row],[Ean Normalizado]],tabla_consumos[EAN],tabla_consumos[UM])</f>
        <v>#VALUE!</v>
      </c>
      <c r="S2675" s="38" t="e">
        <f>Tabla1[[#This Row],[StockDisp]]*Tabla1[[#This Row],[UM producto]]</f>
        <v>#VALUE!</v>
      </c>
    </row>
    <row r="2676" spans="1:19" x14ac:dyDescent="0.35">
      <c r="A2676" s="5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6"/>
      <c r="P2676" s="23" t="e">
        <f>TRIM(Tabla1[[#This Row],[Articulo]])</f>
        <v>#VALUE!</v>
      </c>
      <c r="Q2676" s="23" t="e">
        <f>_xlfn.XLOOKUP(Tabla1[[#This Row],[Ean Normalizado]],Consumos!A:A,Consumos!E:E)</f>
        <v>#VALUE!</v>
      </c>
      <c r="R2676" s="38" t="e">
        <f>_xlfn.XLOOKUP(Tabla1[[#This Row],[Ean Normalizado]],tabla_consumos[EAN],tabla_consumos[UM])</f>
        <v>#VALUE!</v>
      </c>
      <c r="S2676" s="38" t="e">
        <f>Tabla1[[#This Row],[StockDisp]]*Tabla1[[#This Row],[UM producto]]</f>
        <v>#VALUE!</v>
      </c>
    </row>
    <row r="2677" spans="1:19" x14ac:dyDescent="0.35">
      <c r="A2677" s="5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6"/>
      <c r="P2677" s="23" t="e">
        <f>TRIM(Tabla1[[#This Row],[Articulo]])</f>
        <v>#VALUE!</v>
      </c>
      <c r="Q2677" s="23" t="e">
        <f>_xlfn.XLOOKUP(Tabla1[[#This Row],[Ean Normalizado]],Consumos!A:A,Consumos!E:E)</f>
        <v>#VALUE!</v>
      </c>
      <c r="R2677" s="38" t="e">
        <f>_xlfn.XLOOKUP(Tabla1[[#This Row],[Ean Normalizado]],tabla_consumos[EAN],tabla_consumos[UM])</f>
        <v>#VALUE!</v>
      </c>
      <c r="S2677" s="38" t="e">
        <f>Tabla1[[#This Row],[StockDisp]]*Tabla1[[#This Row],[UM producto]]</f>
        <v>#VALUE!</v>
      </c>
    </row>
    <row r="2678" spans="1:19" x14ac:dyDescent="0.35">
      <c r="A2678" s="5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6"/>
      <c r="P2678" s="23" t="e">
        <f>TRIM(Tabla1[[#This Row],[Articulo]])</f>
        <v>#VALUE!</v>
      </c>
      <c r="Q2678" s="23" t="e">
        <f>_xlfn.XLOOKUP(Tabla1[[#This Row],[Ean Normalizado]],Consumos!A:A,Consumos!E:E)</f>
        <v>#VALUE!</v>
      </c>
      <c r="R2678" s="38" t="e">
        <f>_xlfn.XLOOKUP(Tabla1[[#This Row],[Ean Normalizado]],tabla_consumos[EAN],tabla_consumos[UM])</f>
        <v>#VALUE!</v>
      </c>
      <c r="S2678" s="38" t="e">
        <f>Tabla1[[#This Row],[StockDisp]]*Tabla1[[#This Row],[UM producto]]</f>
        <v>#VALUE!</v>
      </c>
    </row>
    <row r="2679" spans="1:19" x14ac:dyDescent="0.35">
      <c r="A2679" s="5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6"/>
      <c r="P2679" s="23" t="e">
        <f>TRIM(Tabla1[[#This Row],[Articulo]])</f>
        <v>#VALUE!</v>
      </c>
      <c r="Q2679" s="23" t="e">
        <f>_xlfn.XLOOKUP(Tabla1[[#This Row],[Ean Normalizado]],Consumos!A:A,Consumos!E:E)</f>
        <v>#VALUE!</v>
      </c>
      <c r="R2679" s="38" t="e">
        <f>_xlfn.XLOOKUP(Tabla1[[#This Row],[Ean Normalizado]],tabla_consumos[EAN],tabla_consumos[UM])</f>
        <v>#VALUE!</v>
      </c>
      <c r="S2679" s="38" t="e">
        <f>Tabla1[[#This Row],[StockDisp]]*Tabla1[[#This Row],[UM producto]]</f>
        <v>#VALUE!</v>
      </c>
    </row>
    <row r="2680" spans="1:19" x14ac:dyDescent="0.35">
      <c r="A2680" s="5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6"/>
      <c r="P2680" s="23" t="e">
        <f>TRIM(Tabla1[[#This Row],[Articulo]])</f>
        <v>#VALUE!</v>
      </c>
      <c r="Q2680" s="23" t="e">
        <f>_xlfn.XLOOKUP(Tabla1[[#This Row],[Ean Normalizado]],Consumos!A:A,Consumos!E:E)</f>
        <v>#VALUE!</v>
      </c>
      <c r="R2680" s="38" t="e">
        <f>_xlfn.XLOOKUP(Tabla1[[#This Row],[Ean Normalizado]],tabla_consumos[EAN],tabla_consumos[UM])</f>
        <v>#VALUE!</v>
      </c>
      <c r="S2680" s="38" t="e">
        <f>Tabla1[[#This Row],[StockDisp]]*Tabla1[[#This Row],[UM producto]]</f>
        <v>#VALUE!</v>
      </c>
    </row>
    <row r="2681" spans="1:19" x14ac:dyDescent="0.35">
      <c r="A2681" s="5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6"/>
      <c r="P2681" s="23" t="e">
        <f>TRIM(Tabla1[[#This Row],[Articulo]])</f>
        <v>#VALUE!</v>
      </c>
      <c r="Q2681" s="23" t="e">
        <f>_xlfn.XLOOKUP(Tabla1[[#This Row],[Ean Normalizado]],Consumos!A:A,Consumos!E:E)</f>
        <v>#VALUE!</v>
      </c>
      <c r="R2681" s="38" t="e">
        <f>_xlfn.XLOOKUP(Tabla1[[#This Row],[Ean Normalizado]],tabla_consumos[EAN],tabla_consumos[UM])</f>
        <v>#VALUE!</v>
      </c>
      <c r="S2681" s="38" t="e">
        <f>Tabla1[[#This Row],[StockDisp]]*Tabla1[[#This Row],[UM producto]]</f>
        <v>#VALUE!</v>
      </c>
    </row>
    <row r="2682" spans="1:19" x14ac:dyDescent="0.35">
      <c r="A2682" s="5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6"/>
      <c r="P2682" s="23" t="e">
        <f>TRIM(Tabla1[[#This Row],[Articulo]])</f>
        <v>#VALUE!</v>
      </c>
      <c r="Q2682" s="23" t="e">
        <f>_xlfn.XLOOKUP(Tabla1[[#This Row],[Ean Normalizado]],Consumos!A:A,Consumos!E:E)</f>
        <v>#VALUE!</v>
      </c>
      <c r="R2682" s="38" t="e">
        <f>_xlfn.XLOOKUP(Tabla1[[#This Row],[Ean Normalizado]],tabla_consumos[EAN],tabla_consumos[UM])</f>
        <v>#VALUE!</v>
      </c>
      <c r="S2682" s="38" t="e">
        <f>Tabla1[[#This Row],[StockDisp]]*Tabla1[[#This Row],[UM producto]]</f>
        <v>#VALUE!</v>
      </c>
    </row>
    <row r="2683" spans="1:19" x14ac:dyDescent="0.35">
      <c r="A2683" s="5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6"/>
      <c r="P2683" s="23" t="e">
        <f>TRIM(Tabla1[[#This Row],[Articulo]])</f>
        <v>#VALUE!</v>
      </c>
      <c r="Q2683" s="23" t="e">
        <f>_xlfn.XLOOKUP(Tabla1[[#This Row],[Ean Normalizado]],Consumos!A:A,Consumos!E:E)</f>
        <v>#VALUE!</v>
      </c>
      <c r="R2683" s="38" t="e">
        <f>_xlfn.XLOOKUP(Tabla1[[#This Row],[Ean Normalizado]],tabla_consumos[EAN],tabla_consumos[UM])</f>
        <v>#VALUE!</v>
      </c>
      <c r="S2683" s="38" t="e">
        <f>Tabla1[[#This Row],[StockDisp]]*Tabla1[[#This Row],[UM producto]]</f>
        <v>#VALUE!</v>
      </c>
    </row>
    <row r="2684" spans="1:19" x14ac:dyDescent="0.35">
      <c r="A2684" s="5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6"/>
      <c r="P2684" s="23" t="e">
        <f>TRIM(Tabla1[[#This Row],[Articulo]])</f>
        <v>#VALUE!</v>
      </c>
      <c r="Q2684" s="23" t="e">
        <f>_xlfn.XLOOKUP(Tabla1[[#This Row],[Ean Normalizado]],Consumos!A:A,Consumos!E:E)</f>
        <v>#VALUE!</v>
      </c>
      <c r="R2684" s="38" t="e">
        <f>_xlfn.XLOOKUP(Tabla1[[#This Row],[Ean Normalizado]],tabla_consumos[EAN],tabla_consumos[UM])</f>
        <v>#VALUE!</v>
      </c>
      <c r="S2684" s="38" t="e">
        <f>Tabla1[[#This Row],[StockDisp]]*Tabla1[[#This Row],[UM producto]]</f>
        <v>#VALUE!</v>
      </c>
    </row>
    <row r="2685" spans="1:19" x14ac:dyDescent="0.35">
      <c r="A2685" s="5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6"/>
      <c r="P2685" s="23" t="e">
        <f>TRIM(Tabla1[[#This Row],[Articulo]])</f>
        <v>#VALUE!</v>
      </c>
      <c r="Q2685" s="23" t="e">
        <f>_xlfn.XLOOKUP(Tabla1[[#This Row],[Ean Normalizado]],Consumos!A:A,Consumos!E:E)</f>
        <v>#VALUE!</v>
      </c>
      <c r="R2685" s="38" t="e">
        <f>_xlfn.XLOOKUP(Tabla1[[#This Row],[Ean Normalizado]],tabla_consumos[EAN],tabla_consumos[UM])</f>
        <v>#VALUE!</v>
      </c>
      <c r="S2685" s="38" t="e">
        <f>Tabla1[[#This Row],[StockDisp]]*Tabla1[[#This Row],[UM producto]]</f>
        <v>#VALUE!</v>
      </c>
    </row>
    <row r="2686" spans="1:19" x14ac:dyDescent="0.35">
      <c r="A2686" s="5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6"/>
      <c r="P2686" s="23" t="e">
        <f>TRIM(Tabla1[[#This Row],[Articulo]])</f>
        <v>#VALUE!</v>
      </c>
      <c r="Q2686" s="23" t="e">
        <f>_xlfn.XLOOKUP(Tabla1[[#This Row],[Ean Normalizado]],Consumos!A:A,Consumos!E:E)</f>
        <v>#VALUE!</v>
      </c>
      <c r="R2686" s="38" t="e">
        <f>_xlfn.XLOOKUP(Tabla1[[#This Row],[Ean Normalizado]],tabla_consumos[EAN],tabla_consumos[UM])</f>
        <v>#VALUE!</v>
      </c>
      <c r="S2686" s="38" t="e">
        <f>Tabla1[[#This Row],[StockDisp]]*Tabla1[[#This Row],[UM producto]]</f>
        <v>#VALUE!</v>
      </c>
    </row>
    <row r="2687" spans="1:19" x14ac:dyDescent="0.35">
      <c r="A2687" s="5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6"/>
      <c r="P2687" s="23" t="e">
        <f>TRIM(Tabla1[[#This Row],[Articulo]])</f>
        <v>#VALUE!</v>
      </c>
      <c r="Q2687" s="23" t="e">
        <f>_xlfn.XLOOKUP(Tabla1[[#This Row],[Ean Normalizado]],Consumos!A:A,Consumos!E:E)</f>
        <v>#VALUE!</v>
      </c>
      <c r="R2687" s="38" t="e">
        <f>_xlfn.XLOOKUP(Tabla1[[#This Row],[Ean Normalizado]],tabla_consumos[EAN],tabla_consumos[UM])</f>
        <v>#VALUE!</v>
      </c>
      <c r="S2687" s="38" t="e">
        <f>Tabla1[[#This Row],[StockDisp]]*Tabla1[[#This Row],[UM producto]]</f>
        <v>#VALUE!</v>
      </c>
    </row>
    <row r="2688" spans="1:19" x14ac:dyDescent="0.35">
      <c r="A2688" s="5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6"/>
      <c r="P2688" s="23" t="e">
        <f>TRIM(Tabla1[[#This Row],[Articulo]])</f>
        <v>#VALUE!</v>
      </c>
      <c r="Q2688" s="23" t="e">
        <f>_xlfn.XLOOKUP(Tabla1[[#This Row],[Ean Normalizado]],Consumos!A:A,Consumos!E:E)</f>
        <v>#VALUE!</v>
      </c>
      <c r="R2688" s="38" t="e">
        <f>_xlfn.XLOOKUP(Tabla1[[#This Row],[Ean Normalizado]],tabla_consumos[EAN],tabla_consumos[UM])</f>
        <v>#VALUE!</v>
      </c>
      <c r="S2688" s="38" t="e">
        <f>Tabla1[[#This Row],[StockDisp]]*Tabla1[[#This Row],[UM producto]]</f>
        <v>#VALUE!</v>
      </c>
    </row>
    <row r="2689" spans="1:19" x14ac:dyDescent="0.35">
      <c r="A2689" s="5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6"/>
      <c r="P2689" s="23" t="e">
        <f>TRIM(Tabla1[[#This Row],[Articulo]])</f>
        <v>#VALUE!</v>
      </c>
      <c r="Q2689" s="23" t="e">
        <f>_xlfn.XLOOKUP(Tabla1[[#This Row],[Ean Normalizado]],Consumos!A:A,Consumos!E:E)</f>
        <v>#VALUE!</v>
      </c>
      <c r="R2689" s="38" t="e">
        <f>_xlfn.XLOOKUP(Tabla1[[#This Row],[Ean Normalizado]],tabla_consumos[EAN],tabla_consumos[UM])</f>
        <v>#VALUE!</v>
      </c>
      <c r="S2689" s="38" t="e">
        <f>Tabla1[[#This Row],[StockDisp]]*Tabla1[[#This Row],[UM producto]]</f>
        <v>#VALUE!</v>
      </c>
    </row>
    <row r="2690" spans="1:19" x14ac:dyDescent="0.35">
      <c r="A2690" s="5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6"/>
      <c r="P2690" s="23" t="e">
        <f>TRIM(Tabla1[[#This Row],[Articulo]])</f>
        <v>#VALUE!</v>
      </c>
      <c r="Q2690" s="23" t="e">
        <f>_xlfn.XLOOKUP(Tabla1[[#This Row],[Ean Normalizado]],Consumos!A:A,Consumos!E:E)</f>
        <v>#VALUE!</v>
      </c>
      <c r="R2690" s="38" t="e">
        <f>_xlfn.XLOOKUP(Tabla1[[#This Row],[Ean Normalizado]],tabla_consumos[EAN],tabla_consumos[UM])</f>
        <v>#VALUE!</v>
      </c>
      <c r="S2690" s="38" t="e">
        <f>Tabla1[[#This Row],[StockDisp]]*Tabla1[[#This Row],[UM producto]]</f>
        <v>#VALUE!</v>
      </c>
    </row>
    <row r="2691" spans="1:19" x14ac:dyDescent="0.35">
      <c r="A2691" s="5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6"/>
      <c r="P2691" s="23" t="e">
        <f>TRIM(Tabla1[[#This Row],[Articulo]])</f>
        <v>#VALUE!</v>
      </c>
      <c r="Q2691" s="23" t="e">
        <f>_xlfn.XLOOKUP(Tabla1[[#This Row],[Ean Normalizado]],Consumos!A:A,Consumos!E:E)</f>
        <v>#VALUE!</v>
      </c>
      <c r="R2691" s="38" t="e">
        <f>_xlfn.XLOOKUP(Tabla1[[#This Row],[Ean Normalizado]],tabla_consumos[EAN],tabla_consumos[UM])</f>
        <v>#VALUE!</v>
      </c>
      <c r="S2691" s="38" t="e">
        <f>Tabla1[[#This Row],[StockDisp]]*Tabla1[[#This Row],[UM producto]]</f>
        <v>#VALUE!</v>
      </c>
    </row>
    <row r="2692" spans="1:19" x14ac:dyDescent="0.35">
      <c r="A2692" s="5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6"/>
      <c r="P2692" s="23" t="e">
        <f>TRIM(Tabla1[[#This Row],[Articulo]])</f>
        <v>#VALUE!</v>
      </c>
      <c r="Q2692" s="23" t="e">
        <f>_xlfn.XLOOKUP(Tabla1[[#This Row],[Ean Normalizado]],Consumos!A:A,Consumos!E:E)</f>
        <v>#VALUE!</v>
      </c>
      <c r="R2692" s="38" t="e">
        <f>_xlfn.XLOOKUP(Tabla1[[#This Row],[Ean Normalizado]],tabla_consumos[EAN],tabla_consumos[UM])</f>
        <v>#VALUE!</v>
      </c>
      <c r="S2692" s="38" t="e">
        <f>Tabla1[[#This Row],[StockDisp]]*Tabla1[[#This Row],[UM producto]]</f>
        <v>#VALUE!</v>
      </c>
    </row>
    <row r="2693" spans="1:19" x14ac:dyDescent="0.35">
      <c r="A2693" s="5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6"/>
      <c r="P2693" s="23" t="e">
        <f>TRIM(Tabla1[[#This Row],[Articulo]])</f>
        <v>#VALUE!</v>
      </c>
      <c r="Q2693" s="23" t="e">
        <f>_xlfn.XLOOKUP(Tabla1[[#This Row],[Ean Normalizado]],Consumos!A:A,Consumos!E:E)</f>
        <v>#VALUE!</v>
      </c>
      <c r="R2693" s="38" t="e">
        <f>_xlfn.XLOOKUP(Tabla1[[#This Row],[Ean Normalizado]],tabla_consumos[EAN],tabla_consumos[UM])</f>
        <v>#VALUE!</v>
      </c>
      <c r="S2693" s="38" t="e">
        <f>Tabla1[[#This Row],[StockDisp]]*Tabla1[[#This Row],[UM producto]]</f>
        <v>#VALUE!</v>
      </c>
    </row>
    <row r="2694" spans="1:19" x14ac:dyDescent="0.35">
      <c r="A2694" s="5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6"/>
      <c r="P2694" s="23" t="e">
        <f>TRIM(Tabla1[[#This Row],[Articulo]])</f>
        <v>#VALUE!</v>
      </c>
      <c r="Q2694" s="23" t="e">
        <f>_xlfn.XLOOKUP(Tabla1[[#This Row],[Ean Normalizado]],Consumos!A:A,Consumos!E:E)</f>
        <v>#VALUE!</v>
      </c>
      <c r="R2694" s="38" t="e">
        <f>_xlfn.XLOOKUP(Tabla1[[#This Row],[Ean Normalizado]],tabla_consumos[EAN],tabla_consumos[UM])</f>
        <v>#VALUE!</v>
      </c>
      <c r="S2694" s="38" t="e">
        <f>Tabla1[[#This Row],[StockDisp]]*Tabla1[[#This Row],[UM producto]]</f>
        <v>#VALUE!</v>
      </c>
    </row>
    <row r="2695" spans="1:19" x14ac:dyDescent="0.35">
      <c r="A2695" s="5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6"/>
      <c r="P2695" s="23" t="e">
        <f>TRIM(Tabla1[[#This Row],[Articulo]])</f>
        <v>#VALUE!</v>
      </c>
      <c r="Q2695" s="23" t="e">
        <f>_xlfn.XLOOKUP(Tabla1[[#This Row],[Ean Normalizado]],Consumos!A:A,Consumos!E:E)</f>
        <v>#VALUE!</v>
      </c>
      <c r="R2695" s="38" t="e">
        <f>_xlfn.XLOOKUP(Tabla1[[#This Row],[Ean Normalizado]],tabla_consumos[EAN],tabla_consumos[UM])</f>
        <v>#VALUE!</v>
      </c>
      <c r="S2695" s="38" t="e">
        <f>Tabla1[[#This Row],[StockDisp]]*Tabla1[[#This Row],[UM producto]]</f>
        <v>#VALUE!</v>
      </c>
    </row>
    <row r="2696" spans="1:19" x14ac:dyDescent="0.35">
      <c r="A2696" s="5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6"/>
      <c r="P2696" s="23" t="e">
        <f>TRIM(Tabla1[[#This Row],[Articulo]])</f>
        <v>#VALUE!</v>
      </c>
      <c r="Q2696" s="23" t="e">
        <f>_xlfn.XLOOKUP(Tabla1[[#This Row],[Ean Normalizado]],Consumos!A:A,Consumos!E:E)</f>
        <v>#VALUE!</v>
      </c>
      <c r="R2696" s="38" t="e">
        <f>_xlfn.XLOOKUP(Tabla1[[#This Row],[Ean Normalizado]],tabla_consumos[EAN],tabla_consumos[UM])</f>
        <v>#VALUE!</v>
      </c>
      <c r="S2696" s="38" t="e">
        <f>Tabla1[[#This Row],[StockDisp]]*Tabla1[[#This Row],[UM producto]]</f>
        <v>#VALUE!</v>
      </c>
    </row>
    <row r="2697" spans="1:19" x14ac:dyDescent="0.35">
      <c r="A2697" s="5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6"/>
      <c r="P2697" s="23" t="e">
        <f>TRIM(Tabla1[[#This Row],[Articulo]])</f>
        <v>#VALUE!</v>
      </c>
      <c r="Q2697" s="23" t="e">
        <f>_xlfn.XLOOKUP(Tabla1[[#This Row],[Ean Normalizado]],Consumos!A:A,Consumos!E:E)</f>
        <v>#VALUE!</v>
      </c>
      <c r="R2697" s="38" t="e">
        <f>_xlfn.XLOOKUP(Tabla1[[#This Row],[Ean Normalizado]],tabla_consumos[EAN],tabla_consumos[UM])</f>
        <v>#VALUE!</v>
      </c>
      <c r="S2697" s="38" t="e">
        <f>Tabla1[[#This Row],[StockDisp]]*Tabla1[[#This Row],[UM producto]]</f>
        <v>#VALUE!</v>
      </c>
    </row>
    <row r="2698" spans="1:19" x14ac:dyDescent="0.35">
      <c r="A2698" s="5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6"/>
      <c r="P2698" s="23" t="e">
        <f>TRIM(Tabla1[[#This Row],[Articulo]])</f>
        <v>#VALUE!</v>
      </c>
      <c r="Q2698" s="23" t="e">
        <f>_xlfn.XLOOKUP(Tabla1[[#This Row],[Ean Normalizado]],Consumos!A:A,Consumos!E:E)</f>
        <v>#VALUE!</v>
      </c>
      <c r="R2698" s="38" t="e">
        <f>_xlfn.XLOOKUP(Tabla1[[#This Row],[Ean Normalizado]],tabla_consumos[EAN],tabla_consumos[UM])</f>
        <v>#VALUE!</v>
      </c>
      <c r="S2698" s="38" t="e">
        <f>Tabla1[[#This Row],[StockDisp]]*Tabla1[[#This Row],[UM producto]]</f>
        <v>#VALUE!</v>
      </c>
    </row>
    <row r="2699" spans="1:19" x14ac:dyDescent="0.35">
      <c r="A2699" s="5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6"/>
      <c r="P2699" s="23" t="e">
        <f>TRIM(Tabla1[[#This Row],[Articulo]])</f>
        <v>#VALUE!</v>
      </c>
      <c r="Q2699" s="23" t="e">
        <f>_xlfn.XLOOKUP(Tabla1[[#This Row],[Ean Normalizado]],Consumos!A:A,Consumos!E:E)</f>
        <v>#VALUE!</v>
      </c>
      <c r="R2699" s="38" t="e">
        <f>_xlfn.XLOOKUP(Tabla1[[#This Row],[Ean Normalizado]],tabla_consumos[EAN],tabla_consumos[UM])</f>
        <v>#VALUE!</v>
      </c>
      <c r="S2699" s="38" t="e">
        <f>Tabla1[[#This Row],[StockDisp]]*Tabla1[[#This Row],[UM producto]]</f>
        <v>#VALUE!</v>
      </c>
    </row>
    <row r="2700" spans="1:19" x14ac:dyDescent="0.35">
      <c r="A2700" s="5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6"/>
      <c r="P2700" s="23" t="e">
        <f>TRIM(Tabla1[[#This Row],[Articulo]])</f>
        <v>#VALUE!</v>
      </c>
      <c r="Q2700" s="23" t="e">
        <f>_xlfn.XLOOKUP(Tabla1[[#This Row],[Ean Normalizado]],Consumos!A:A,Consumos!E:E)</f>
        <v>#VALUE!</v>
      </c>
      <c r="R2700" s="38" t="e">
        <f>_xlfn.XLOOKUP(Tabla1[[#This Row],[Ean Normalizado]],tabla_consumos[EAN],tabla_consumos[UM])</f>
        <v>#VALUE!</v>
      </c>
      <c r="S2700" s="38" t="e">
        <f>Tabla1[[#This Row],[StockDisp]]*Tabla1[[#This Row],[UM producto]]</f>
        <v>#VALUE!</v>
      </c>
    </row>
    <row r="2701" spans="1:19" x14ac:dyDescent="0.35">
      <c r="A2701" s="5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6"/>
      <c r="P2701" s="23" t="e">
        <f>TRIM(Tabla1[[#This Row],[Articulo]])</f>
        <v>#VALUE!</v>
      </c>
      <c r="Q2701" s="23" t="e">
        <f>_xlfn.XLOOKUP(Tabla1[[#This Row],[Ean Normalizado]],Consumos!A:A,Consumos!E:E)</f>
        <v>#VALUE!</v>
      </c>
      <c r="R2701" s="38" t="e">
        <f>_xlfn.XLOOKUP(Tabla1[[#This Row],[Ean Normalizado]],tabla_consumos[EAN],tabla_consumos[UM])</f>
        <v>#VALUE!</v>
      </c>
      <c r="S2701" s="38" t="e">
        <f>Tabla1[[#This Row],[StockDisp]]*Tabla1[[#This Row],[UM producto]]</f>
        <v>#VALUE!</v>
      </c>
    </row>
    <row r="2702" spans="1:19" x14ac:dyDescent="0.35">
      <c r="A2702" s="5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6"/>
      <c r="P2702" s="23" t="e">
        <f>TRIM(Tabla1[[#This Row],[Articulo]])</f>
        <v>#VALUE!</v>
      </c>
      <c r="Q2702" s="23" t="e">
        <f>_xlfn.XLOOKUP(Tabla1[[#This Row],[Ean Normalizado]],Consumos!A:A,Consumos!E:E)</f>
        <v>#VALUE!</v>
      </c>
      <c r="R2702" s="38" t="e">
        <f>_xlfn.XLOOKUP(Tabla1[[#This Row],[Ean Normalizado]],tabla_consumos[EAN],tabla_consumos[UM])</f>
        <v>#VALUE!</v>
      </c>
      <c r="S2702" s="38" t="e">
        <f>Tabla1[[#This Row],[StockDisp]]*Tabla1[[#This Row],[UM producto]]</f>
        <v>#VALUE!</v>
      </c>
    </row>
    <row r="2703" spans="1:19" x14ac:dyDescent="0.35">
      <c r="A2703" s="5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6"/>
      <c r="P2703" s="23" t="e">
        <f>TRIM(Tabla1[[#This Row],[Articulo]])</f>
        <v>#VALUE!</v>
      </c>
      <c r="Q2703" s="23" t="e">
        <f>_xlfn.XLOOKUP(Tabla1[[#This Row],[Ean Normalizado]],Consumos!A:A,Consumos!E:E)</f>
        <v>#VALUE!</v>
      </c>
      <c r="R2703" s="38" t="e">
        <f>_xlfn.XLOOKUP(Tabla1[[#This Row],[Ean Normalizado]],tabla_consumos[EAN],tabla_consumos[UM])</f>
        <v>#VALUE!</v>
      </c>
      <c r="S2703" s="38" t="e">
        <f>Tabla1[[#This Row],[StockDisp]]*Tabla1[[#This Row],[UM producto]]</f>
        <v>#VALUE!</v>
      </c>
    </row>
    <row r="2704" spans="1:19" x14ac:dyDescent="0.35">
      <c r="A2704" s="5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6"/>
      <c r="P2704" s="23" t="e">
        <f>TRIM(Tabla1[[#This Row],[Articulo]])</f>
        <v>#VALUE!</v>
      </c>
      <c r="Q2704" s="23" t="e">
        <f>_xlfn.XLOOKUP(Tabla1[[#This Row],[Ean Normalizado]],Consumos!A:A,Consumos!E:E)</f>
        <v>#VALUE!</v>
      </c>
      <c r="R2704" s="38" t="e">
        <f>_xlfn.XLOOKUP(Tabla1[[#This Row],[Ean Normalizado]],tabla_consumos[EAN],tabla_consumos[UM])</f>
        <v>#VALUE!</v>
      </c>
      <c r="S2704" s="38" t="e">
        <f>Tabla1[[#This Row],[StockDisp]]*Tabla1[[#This Row],[UM producto]]</f>
        <v>#VALUE!</v>
      </c>
    </row>
    <row r="2705" spans="1:19" x14ac:dyDescent="0.35">
      <c r="A2705" s="5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6"/>
      <c r="P2705" s="23" t="e">
        <f>TRIM(Tabla1[[#This Row],[Articulo]])</f>
        <v>#VALUE!</v>
      </c>
      <c r="Q2705" s="23" t="e">
        <f>_xlfn.XLOOKUP(Tabla1[[#This Row],[Ean Normalizado]],Consumos!A:A,Consumos!E:E)</f>
        <v>#VALUE!</v>
      </c>
      <c r="R2705" s="38" t="e">
        <f>_xlfn.XLOOKUP(Tabla1[[#This Row],[Ean Normalizado]],tabla_consumos[EAN],tabla_consumos[UM])</f>
        <v>#VALUE!</v>
      </c>
      <c r="S2705" s="38" t="e">
        <f>Tabla1[[#This Row],[StockDisp]]*Tabla1[[#This Row],[UM producto]]</f>
        <v>#VALUE!</v>
      </c>
    </row>
    <row r="2706" spans="1:19" x14ac:dyDescent="0.35">
      <c r="A2706" s="5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6"/>
      <c r="P2706" s="23" t="e">
        <f>TRIM(Tabla1[[#This Row],[Articulo]])</f>
        <v>#VALUE!</v>
      </c>
      <c r="Q2706" s="23" t="e">
        <f>_xlfn.XLOOKUP(Tabla1[[#This Row],[Ean Normalizado]],Consumos!A:A,Consumos!E:E)</f>
        <v>#VALUE!</v>
      </c>
      <c r="R2706" s="38" t="e">
        <f>_xlfn.XLOOKUP(Tabla1[[#This Row],[Ean Normalizado]],tabla_consumos[EAN],tabla_consumos[UM])</f>
        <v>#VALUE!</v>
      </c>
      <c r="S2706" s="38" t="e">
        <f>Tabla1[[#This Row],[StockDisp]]*Tabla1[[#This Row],[UM producto]]</f>
        <v>#VALUE!</v>
      </c>
    </row>
    <row r="2707" spans="1:19" x14ac:dyDescent="0.35">
      <c r="A2707" s="5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6"/>
      <c r="P2707" s="23" t="e">
        <f>TRIM(Tabla1[[#This Row],[Articulo]])</f>
        <v>#VALUE!</v>
      </c>
      <c r="Q2707" s="23" t="e">
        <f>_xlfn.XLOOKUP(Tabla1[[#This Row],[Ean Normalizado]],Consumos!A:A,Consumos!E:E)</f>
        <v>#VALUE!</v>
      </c>
      <c r="R2707" s="38" t="e">
        <f>_xlfn.XLOOKUP(Tabla1[[#This Row],[Ean Normalizado]],tabla_consumos[EAN],tabla_consumos[UM])</f>
        <v>#VALUE!</v>
      </c>
      <c r="S2707" s="38" t="e">
        <f>Tabla1[[#This Row],[StockDisp]]*Tabla1[[#This Row],[UM producto]]</f>
        <v>#VALUE!</v>
      </c>
    </row>
    <row r="2708" spans="1:19" x14ac:dyDescent="0.35">
      <c r="A2708" s="5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6"/>
      <c r="P2708" s="23" t="e">
        <f>TRIM(Tabla1[[#This Row],[Articulo]])</f>
        <v>#VALUE!</v>
      </c>
      <c r="Q2708" s="23" t="e">
        <f>_xlfn.XLOOKUP(Tabla1[[#This Row],[Ean Normalizado]],Consumos!A:A,Consumos!E:E)</f>
        <v>#VALUE!</v>
      </c>
      <c r="R2708" s="38" t="e">
        <f>_xlfn.XLOOKUP(Tabla1[[#This Row],[Ean Normalizado]],tabla_consumos[EAN],tabla_consumos[UM])</f>
        <v>#VALUE!</v>
      </c>
      <c r="S2708" s="38" t="e">
        <f>Tabla1[[#This Row],[StockDisp]]*Tabla1[[#This Row],[UM producto]]</f>
        <v>#VALUE!</v>
      </c>
    </row>
    <row r="2709" spans="1:19" x14ac:dyDescent="0.35">
      <c r="A2709" s="5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6"/>
      <c r="P2709" s="23" t="e">
        <f>TRIM(Tabla1[[#This Row],[Articulo]])</f>
        <v>#VALUE!</v>
      </c>
      <c r="Q2709" s="23" t="e">
        <f>_xlfn.XLOOKUP(Tabla1[[#This Row],[Ean Normalizado]],Consumos!A:A,Consumos!E:E)</f>
        <v>#VALUE!</v>
      </c>
      <c r="R2709" s="38" t="e">
        <f>_xlfn.XLOOKUP(Tabla1[[#This Row],[Ean Normalizado]],tabla_consumos[EAN],tabla_consumos[UM])</f>
        <v>#VALUE!</v>
      </c>
      <c r="S2709" s="38" t="e">
        <f>Tabla1[[#This Row],[StockDisp]]*Tabla1[[#This Row],[UM producto]]</f>
        <v>#VALUE!</v>
      </c>
    </row>
    <row r="2710" spans="1:19" x14ac:dyDescent="0.35">
      <c r="A2710" s="5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6"/>
      <c r="P2710" s="23" t="e">
        <f>TRIM(Tabla1[[#This Row],[Articulo]])</f>
        <v>#VALUE!</v>
      </c>
      <c r="Q2710" s="23" t="e">
        <f>_xlfn.XLOOKUP(Tabla1[[#This Row],[Ean Normalizado]],Consumos!A:A,Consumos!E:E)</f>
        <v>#VALUE!</v>
      </c>
      <c r="R2710" s="38" t="e">
        <f>_xlfn.XLOOKUP(Tabla1[[#This Row],[Ean Normalizado]],tabla_consumos[EAN],tabla_consumos[UM])</f>
        <v>#VALUE!</v>
      </c>
      <c r="S2710" s="38" t="e">
        <f>Tabla1[[#This Row],[StockDisp]]*Tabla1[[#This Row],[UM producto]]</f>
        <v>#VALUE!</v>
      </c>
    </row>
    <row r="2711" spans="1:19" x14ac:dyDescent="0.35">
      <c r="A2711" s="5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6"/>
      <c r="P2711" s="23" t="e">
        <f>TRIM(Tabla1[[#This Row],[Articulo]])</f>
        <v>#VALUE!</v>
      </c>
      <c r="Q2711" s="23" t="e">
        <f>_xlfn.XLOOKUP(Tabla1[[#This Row],[Ean Normalizado]],Consumos!A:A,Consumos!E:E)</f>
        <v>#VALUE!</v>
      </c>
      <c r="R2711" s="38" t="e">
        <f>_xlfn.XLOOKUP(Tabla1[[#This Row],[Ean Normalizado]],tabla_consumos[EAN],tabla_consumos[UM])</f>
        <v>#VALUE!</v>
      </c>
      <c r="S2711" s="38" t="e">
        <f>Tabla1[[#This Row],[StockDisp]]*Tabla1[[#This Row],[UM producto]]</f>
        <v>#VALUE!</v>
      </c>
    </row>
    <row r="2712" spans="1:19" x14ac:dyDescent="0.35">
      <c r="A2712" s="5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6"/>
      <c r="P2712" s="23" t="e">
        <f>TRIM(Tabla1[[#This Row],[Articulo]])</f>
        <v>#VALUE!</v>
      </c>
      <c r="Q2712" s="23" t="e">
        <f>_xlfn.XLOOKUP(Tabla1[[#This Row],[Ean Normalizado]],Consumos!A:A,Consumos!E:E)</f>
        <v>#VALUE!</v>
      </c>
      <c r="R2712" s="38" t="e">
        <f>_xlfn.XLOOKUP(Tabla1[[#This Row],[Ean Normalizado]],tabla_consumos[EAN],tabla_consumos[UM])</f>
        <v>#VALUE!</v>
      </c>
      <c r="S2712" s="38" t="e">
        <f>Tabla1[[#This Row],[StockDisp]]*Tabla1[[#This Row],[UM producto]]</f>
        <v>#VALUE!</v>
      </c>
    </row>
    <row r="2713" spans="1:19" x14ac:dyDescent="0.35">
      <c r="A2713" s="5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6"/>
      <c r="P2713" s="23" t="e">
        <f>TRIM(Tabla1[[#This Row],[Articulo]])</f>
        <v>#VALUE!</v>
      </c>
      <c r="Q2713" s="23" t="e">
        <f>_xlfn.XLOOKUP(Tabla1[[#This Row],[Ean Normalizado]],Consumos!A:A,Consumos!E:E)</f>
        <v>#VALUE!</v>
      </c>
      <c r="R2713" s="38" t="e">
        <f>_xlfn.XLOOKUP(Tabla1[[#This Row],[Ean Normalizado]],tabla_consumos[EAN],tabla_consumos[UM])</f>
        <v>#VALUE!</v>
      </c>
      <c r="S2713" s="38" t="e">
        <f>Tabla1[[#This Row],[StockDisp]]*Tabla1[[#This Row],[UM producto]]</f>
        <v>#VALUE!</v>
      </c>
    </row>
    <row r="2714" spans="1:19" x14ac:dyDescent="0.35">
      <c r="A2714" s="5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6"/>
      <c r="P2714" s="23" t="e">
        <f>TRIM(Tabla1[[#This Row],[Articulo]])</f>
        <v>#VALUE!</v>
      </c>
      <c r="Q2714" s="23" t="e">
        <f>_xlfn.XLOOKUP(Tabla1[[#This Row],[Ean Normalizado]],Consumos!A:A,Consumos!E:E)</f>
        <v>#VALUE!</v>
      </c>
      <c r="R2714" s="38" t="e">
        <f>_xlfn.XLOOKUP(Tabla1[[#This Row],[Ean Normalizado]],tabla_consumos[EAN],tabla_consumos[UM])</f>
        <v>#VALUE!</v>
      </c>
      <c r="S2714" s="38" t="e">
        <f>Tabla1[[#This Row],[StockDisp]]*Tabla1[[#This Row],[UM producto]]</f>
        <v>#VALUE!</v>
      </c>
    </row>
    <row r="2715" spans="1:19" x14ac:dyDescent="0.35">
      <c r="A2715" s="5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6"/>
      <c r="P2715" s="23" t="e">
        <f>TRIM(Tabla1[[#This Row],[Articulo]])</f>
        <v>#VALUE!</v>
      </c>
      <c r="Q2715" s="23" t="e">
        <f>_xlfn.XLOOKUP(Tabla1[[#This Row],[Ean Normalizado]],Consumos!A:A,Consumos!E:E)</f>
        <v>#VALUE!</v>
      </c>
      <c r="R2715" s="38" t="e">
        <f>_xlfn.XLOOKUP(Tabla1[[#This Row],[Ean Normalizado]],tabla_consumos[EAN],tabla_consumos[UM])</f>
        <v>#VALUE!</v>
      </c>
      <c r="S2715" s="38" t="e">
        <f>Tabla1[[#This Row],[StockDisp]]*Tabla1[[#This Row],[UM producto]]</f>
        <v>#VALUE!</v>
      </c>
    </row>
    <row r="2716" spans="1:19" x14ac:dyDescent="0.35">
      <c r="A2716" s="5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6"/>
      <c r="P2716" s="23" t="e">
        <f>TRIM(Tabla1[[#This Row],[Articulo]])</f>
        <v>#VALUE!</v>
      </c>
      <c r="Q2716" s="23" t="e">
        <f>_xlfn.XLOOKUP(Tabla1[[#This Row],[Ean Normalizado]],Consumos!A:A,Consumos!E:E)</f>
        <v>#VALUE!</v>
      </c>
      <c r="R2716" s="38" t="e">
        <f>_xlfn.XLOOKUP(Tabla1[[#This Row],[Ean Normalizado]],tabla_consumos[EAN],tabla_consumos[UM])</f>
        <v>#VALUE!</v>
      </c>
      <c r="S2716" s="38" t="e">
        <f>Tabla1[[#This Row],[StockDisp]]*Tabla1[[#This Row],[UM producto]]</f>
        <v>#VALUE!</v>
      </c>
    </row>
    <row r="2717" spans="1:19" x14ac:dyDescent="0.35">
      <c r="A2717" s="5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6"/>
      <c r="P2717" s="23" t="e">
        <f>TRIM(Tabla1[[#This Row],[Articulo]])</f>
        <v>#VALUE!</v>
      </c>
      <c r="Q2717" s="23" t="e">
        <f>_xlfn.XLOOKUP(Tabla1[[#This Row],[Ean Normalizado]],Consumos!A:A,Consumos!E:E)</f>
        <v>#VALUE!</v>
      </c>
      <c r="R2717" s="38" t="e">
        <f>_xlfn.XLOOKUP(Tabla1[[#This Row],[Ean Normalizado]],tabla_consumos[EAN],tabla_consumos[UM])</f>
        <v>#VALUE!</v>
      </c>
      <c r="S2717" s="38" t="e">
        <f>Tabla1[[#This Row],[StockDisp]]*Tabla1[[#This Row],[UM producto]]</f>
        <v>#VALUE!</v>
      </c>
    </row>
    <row r="2718" spans="1:19" x14ac:dyDescent="0.35">
      <c r="A2718" s="5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6"/>
      <c r="P2718" s="23" t="e">
        <f>TRIM(Tabla1[[#This Row],[Articulo]])</f>
        <v>#VALUE!</v>
      </c>
      <c r="Q2718" s="23" t="e">
        <f>_xlfn.XLOOKUP(Tabla1[[#This Row],[Ean Normalizado]],Consumos!A:A,Consumos!E:E)</f>
        <v>#VALUE!</v>
      </c>
      <c r="R2718" s="38" t="e">
        <f>_xlfn.XLOOKUP(Tabla1[[#This Row],[Ean Normalizado]],tabla_consumos[EAN],tabla_consumos[UM])</f>
        <v>#VALUE!</v>
      </c>
      <c r="S2718" s="38" t="e">
        <f>Tabla1[[#This Row],[StockDisp]]*Tabla1[[#This Row],[UM producto]]</f>
        <v>#VALUE!</v>
      </c>
    </row>
    <row r="2719" spans="1:19" x14ac:dyDescent="0.35">
      <c r="A2719" s="5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6"/>
      <c r="P2719" s="23" t="e">
        <f>TRIM(Tabla1[[#This Row],[Articulo]])</f>
        <v>#VALUE!</v>
      </c>
      <c r="Q2719" s="23" t="e">
        <f>_xlfn.XLOOKUP(Tabla1[[#This Row],[Ean Normalizado]],Consumos!A:A,Consumos!E:E)</f>
        <v>#VALUE!</v>
      </c>
      <c r="R2719" s="38" t="e">
        <f>_xlfn.XLOOKUP(Tabla1[[#This Row],[Ean Normalizado]],tabla_consumos[EAN],tabla_consumos[UM])</f>
        <v>#VALUE!</v>
      </c>
      <c r="S2719" s="38" t="e">
        <f>Tabla1[[#This Row],[StockDisp]]*Tabla1[[#This Row],[UM producto]]</f>
        <v>#VALUE!</v>
      </c>
    </row>
    <row r="2720" spans="1:19" x14ac:dyDescent="0.35">
      <c r="A2720" s="5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6"/>
      <c r="P2720" s="23" t="e">
        <f>TRIM(Tabla1[[#This Row],[Articulo]])</f>
        <v>#VALUE!</v>
      </c>
      <c r="Q2720" s="23" t="e">
        <f>_xlfn.XLOOKUP(Tabla1[[#This Row],[Ean Normalizado]],Consumos!A:A,Consumos!E:E)</f>
        <v>#VALUE!</v>
      </c>
      <c r="R2720" s="38" t="e">
        <f>_xlfn.XLOOKUP(Tabla1[[#This Row],[Ean Normalizado]],tabla_consumos[EAN],tabla_consumos[UM])</f>
        <v>#VALUE!</v>
      </c>
      <c r="S2720" s="38" t="e">
        <f>Tabla1[[#This Row],[StockDisp]]*Tabla1[[#This Row],[UM producto]]</f>
        <v>#VALUE!</v>
      </c>
    </row>
    <row r="2721" spans="1:19" x14ac:dyDescent="0.35">
      <c r="A2721" s="5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6"/>
      <c r="P2721" s="23" t="e">
        <f>TRIM(Tabla1[[#This Row],[Articulo]])</f>
        <v>#VALUE!</v>
      </c>
      <c r="Q2721" s="23" t="e">
        <f>_xlfn.XLOOKUP(Tabla1[[#This Row],[Ean Normalizado]],Consumos!A:A,Consumos!E:E)</f>
        <v>#VALUE!</v>
      </c>
      <c r="R2721" s="38" t="e">
        <f>_xlfn.XLOOKUP(Tabla1[[#This Row],[Ean Normalizado]],tabla_consumos[EAN],tabla_consumos[UM])</f>
        <v>#VALUE!</v>
      </c>
      <c r="S2721" s="38" t="e">
        <f>Tabla1[[#This Row],[StockDisp]]*Tabla1[[#This Row],[UM producto]]</f>
        <v>#VALUE!</v>
      </c>
    </row>
    <row r="2722" spans="1:19" x14ac:dyDescent="0.35">
      <c r="A2722" s="5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6"/>
      <c r="P2722" s="23" t="e">
        <f>TRIM(Tabla1[[#This Row],[Articulo]])</f>
        <v>#VALUE!</v>
      </c>
      <c r="Q2722" s="23" t="e">
        <f>_xlfn.XLOOKUP(Tabla1[[#This Row],[Ean Normalizado]],Consumos!A:A,Consumos!E:E)</f>
        <v>#VALUE!</v>
      </c>
      <c r="R2722" s="38" t="e">
        <f>_xlfn.XLOOKUP(Tabla1[[#This Row],[Ean Normalizado]],tabla_consumos[EAN],tabla_consumos[UM])</f>
        <v>#VALUE!</v>
      </c>
      <c r="S2722" s="38" t="e">
        <f>Tabla1[[#This Row],[StockDisp]]*Tabla1[[#This Row],[UM producto]]</f>
        <v>#VALUE!</v>
      </c>
    </row>
    <row r="2723" spans="1:19" x14ac:dyDescent="0.35">
      <c r="A2723" s="5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6"/>
      <c r="P2723" s="23" t="e">
        <f>TRIM(Tabla1[[#This Row],[Articulo]])</f>
        <v>#VALUE!</v>
      </c>
      <c r="Q2723" s="23" t="e">
        <f>_xlfn.XLOOKUP(Tabla1[[#This Row],[Ean Normalizado]],Consumos!A:A,Consumos!E:E)</f>
        <v>#VALUE!</v>
      </c>
      <c r="R2723" s="38" t="e">
        <f>_xlfn.XLOOKUP(Tabla1[[#This Row],[Ean Normalizado]],tabla_consumos[EAN],tabla_consumos[UM])</f>
        <v>#VALUE!</v>
      </c>
      <c r="S2723" s="38" t="e">
        <f>Tabla1[[#This Row],[StockDisp]]*Tabla1[[#This Row],[UM producto]]</f>
        <v>#VALUE!</v>
      </c>
    </row>
    <row r="2724" spans="1:19" x14ac:dyDescent="0.35">
      <c r="A2724" s="5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6"/>
      <c r="P2724" s="23" t="e">
        <f>TRIM(Tabla1[[#This Row],[Articulo]])</f>
        <v>#VALUE!</v>
      </c>
      <c r="Q2724" s="23" t="e">
        <f>_xlfn.XLOOKUP(Tabla1[[#This Row],[Ean Normalizado]],Consumos!A:A,Consumos!E:E)</f>
        <v>#VALUE!</v>
      </c>
      <c r="R2724" s="38" t="e">
        <f>_xlfn.XLOOKUP(Tabla1[[#This Row],[Ean Normalizado]],tabla_consumos[EAN],tabla_consumos[UM])</f>
        <v>#VALUE!</v>
      </c>
      <c r="S2724" s="38" t="e">
        <f>Tabla1[[#This Row],[StockDisp]]*Tabla1[[#This Row],[UM producto]]</f>
        <v>#VALUE!</v>
      </c>
    </row>
    <row r="2725" spans="1:19" x14ac:dyDescent="0.35">
      <c r="A2725" s="5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6"/>
      <c r="P2725" s="23" t="e">
        <f>TRIM(Tabla1[[#This Row],[Articulo]])</f>
        <v>#VALUE!</v>
      </c>
      <c r="Q2725" s="23" t="e">
        <f>_xlfn.XLOOKUP(Tabla1[[#This Row],[Ean Normalizado]],Consumos!A:A,Consumos!E:E)</f>
        <v>#VALUE!</v>
      </c>
      <c r="R2725" s="38" t="e">
        <f>_xlfn.XLOOKUP(Tabla1[[#This Row],[Ean Normalizado]],tabla_consumos[EAN],tabla_consumos[UM])</f>
        <v>#VALUE!</v>
      </c>
      <c r="S2725" s="38" t="e">
        <f>Tabla1[[#This Row],[StockDisp]]*Tabla1[[#This Row],[UM producto]]</f>
        <v>#VALUE!</v>
      </c>
    </row>
    <row r="2726" spans="1:19" x14ac:dyDescent="0.35">
      <c r="A2726" s="5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6"/>
      <c r="P2726" s="23" t="e">
        <f>TRIM(Tabla1[[#This Row],[Articulo]])</f>
        <v>#VALUE!</v>
      </c>
      <c r="Q2726" s="23" t="e">
        <f>_xlfn.XLOOKUP(Tabla1[[#This Row],[Ean Normalizado]],Consumos!A:A,Consumos!E:E)</f>
        <v>#VALUE!</v>
      </c>
      <c r="R2726" s="38" t="e">
        <f>_xlfn.XLOOKUP(Tabla1[[#This Row],[Ean Normalizado]],tabla_consumos[EAN],tabla_consumos[UM])</f>
        <v>#VALUE!</v>
      </c>
      <c r="S2726" s="38" t="e">
        <f>Tabla1[[#This Row],[StockDisp]]*Tabla1[[#This Row],[UM producto]]</f>
        <v>#VALUE!</v>
      </c>
    </row>
    <row r="2727" spans="1:19" x14ac:dyDescent="0.35">
      <c r="A2727" s="5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6"/>
      <c r="P2727" s="23" t="e">
        <f>TRIM(Tabla1[[#This Row],[Articulo]])</f>
        <v>#VALUE!</v>
      </c>
      <c r="Q2727" s="23" t="e">
        <f>_xlfn.XLOOKUP(Tabla1[[#This Row],[Ean Normalizado]],Consumos!A:A,Consumos!E:E)</f>
        <v>#VALUE!</v>
      </c>
      <c r="R2727" s="38" t="e">
        <f>_xlfn.XLOOKUP(Tabla1[[#This Row],[Ean Normalizado]],tabla_consumos[EAN],tabla_consumos[UM])</f>
        <v>#VALUE!</v>
      </c>
      <c r="S2727" s="38" t="e">
        <f>Tabla1[[#This Row],[StockDisp]]*Tabla1[[#This Row],[UM producto]]</f>
        <v>#VALUE!</v>
      </c>
    </row>
    <row r="2728" spans="1:19" x14ac:dyDescent="0.35">
      <c r="A2728" s="5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6"/>
      <c r="P2728" s="23" t="e">
        <f>TRIM(Tabla1[[#This Row],[Articulo]])</f>
        <v>#VALUE!</v>
      </c>
      <c r="Q2728" s="23" t="e">
        <f>_xlfn.XLOOKUP(Tabla1[[#This Row],[Ean Normalizado]],Consumos!A:A,Consumos!E:E)</f>
        <v>#VALUE!</v>
      </c>
      <c r="R2728" s="38" t="e">
        <f>_xlfn.XLOOKUP(Tabla1[[#This Row],[Ean Normalizado]],tabla_consumos[EAN],tabla_consumos[UM])</f>
        <v>#VALUE!</v>
      </c>
      <c r="S2728" s="38" t="e">
        <f>Tabla1[[#This Row],[StockDisp]]*Tabla1[[#This Row],[UM producto]]</f>
        <v>#VALUE!</v>
      </c>
    </row>
    <row r="2729" spans="1:19" x14ac:dyDescent="0.35">
      <c r="A2729" s="5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6"/>
      <c r="P2729" s="23" t="e">
        <f>TRIM(Tabla1[[#This Row],[Articulo]])</f>
        <v>#VALUE!</v>
      </c>
      <c r="Q2729" s="23" t="e">
        <f>_xlfn.XLOOKUP(Tabla1[[#This Row],[Ean Normalizado]],Consumos!A:A,Consumos!E:E)</f>
        <v>#VALUE!</v>
      </c>
      <c r="R2729" s="38" t="e">
        <f>_xlfn.XLOOKUP(Tabla1[[#This Row],[Ean Normalizado]],tabla_consumos[EAN],tabla_consumos[UM])</f>
        <v>#VALUE!</v>
      </c>
      <c r="S2729" s="38" t="e">
        <f>Tabla1[[#This Row],[StockDisp]]*Tabla1[[#This Row],[UM producto]]</f>
        <v>#VALUE!</v>
      </c>
    </row>
    <row r="2730" spans="1:19" x14ac:dyDescent="0.35">
      <c r="A2730" s="5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6"/>
      <c r="P2730" s="23" t="e">
        <f>TRIM(Tabla1[[#This Row],[Articulo]])</f>
        <v>#VALUE!</v>
      </c>
      <c r="Q2730" s="23" t="e">
        <f>_xlfn.XLOOKUP(Tabla1[[#This Row],[Ean Normalizado]],Consumos!A:A,Consumos!E:E)</f>
        <v>#VALUE!</v>
      </c>
      <c r="R2730" s="38" t="e">
        <f>_xlfn.XLOOKUP(Tabla1[[#This Row],[Ean Normalizado]],tabla_consumos[EAN],tabla_consumos[UM])</f>
        <v>#VALUE!</v>
      </c>
      <c r="S2730" s="38" t="e">
        <f>Tabla1[[#This Row],[StockDisp]]*Tabla1[[#This Row],[UM producto]]</f>
        <v>#VALUE!</v>
      </c>
    </row>
    <row r="2731" spans="1:19" x14ac:dyDescent="0.35">
      <c r="A2731" s="5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6"/>
      <c r="P2731" s="23" t="e">
        <f>TRIM(Tabla1[[#This Row],[Articulo]])</f>
        <v>#VALUE!</v>
      </c>
      <c r="Q2731" s="23" t="e">
        <f>_xlfn.XLOOKUP(Tabla1[[#This Row],[Ean Normalizado]],Consumos!A:A,Consumos!E:E)</f>
        <v>#VALUE!</v>
      </c>
      <c r="R2731" s="38" t="e">
        <f>_xlfn.XLOOKUP(Tabla1[[#This Row],[Ean Normalizado]],tabla_consumos[EAN],tabla_consumos[UM])</f>
        <v>#VALUE!</v>
      </c>
      <c r="S2731" s="38" t="e">
        <f>Tabla1[[#This Row],[StockDisp]]*Tabla1[[#This Row],[UM producto]]</f>
        <v>#VALUE!</v>
      </c>
    </row>
    <row r="2732" spans="1:19" x14ac:dyDescent="0.35">
      <c r="A2732" s="5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6"/>
      <c r="P2732" s="23" t="e">
        <f>TRIM(Tabla1[[#This Row],[Articulo]])</f>
        <v>#VALUE!</v>
      </c>
      <c r="Q2732" s="23" t="e">
        <f>_xlfn.XLOOKUP(Tabla1[[#This Row],[Ean Normalizado]],Consumos!A:A,Consumos!E:E)</f>
        <v>#VALUE!</v>
      </c>
      <c r="R2732" s="38" t="e">
        <f>_xlfn.XLOOKUP(Tabla1[[#This Row],[Ean Normalizado]],tabla_consumos[EAN],tabla_consumos[UM])</f>
        <v>#VALUE!</v>
      </c>
      <c r="S2732" s="38" t="e">
        <f>Tabla1[[#This Row],[StockDisp]]*Tabla1[[#This Row],[UM producto]]</f>
        <v>#VALUE!</v>
      </c>
    </row>
    <row r="2733" spans="1:19" x14ac:dyDescent="0.35">
      <c r="A2733" s="5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6"/>
      <c r="P2733" s="23" t="e">
        <f>TRIM(Tabla1[[#This Row],[Articulo]])</f>
        <v>#VALUE!</v>
      </c>
      <c r="Q2733" s="23" t="e">
        <f>_xlfn.XLOOKUP(Tabla1[[#This Row],[Ean Normalizado]],Consumos!A:A,Consumos!E:E)</f>
        <v>#VALUE!</v>
      </c>
      <c r="R2733" s="38" t="e">
        <f>_xlfn.XLOOKUP(Tabla1[[#This Row],[Ean Normalizado]],tabla_consumos[EAN],tabla_consumos[UM])</f>
        <v>#VALUE!</v>
      </c>
      <c r="S2733" s="38" t="e">
        <f>Tabla1[[#This Row],[StockDisp]]*Tabla1[[#This Row],[UM producto]]</f>
        <v>#VALUE!</v>
      </c>
    </row>
    <row r="2734" spans="1:19" x14ac:dyDescent="0.35">
      <c r="A2734" s="5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6"/>
      <c r="P2734" s="23" t="e">
        <f>TRIM(Tabla1[[#This Row],[Articulo]])</f>
        <v>#VALUE!</v>
      </c>
      <c r="Q2734" s="23" t="e">
        <f>_xlfn.XLOOKUP(Tabla1[[#This Row],[Ean Normalizado]],Consumos!A:A,Consumos!E:E)</f>
        <v>#VALUE!</v>
      </c>
      <c r="R2734" s="38" t="e">
        <f>_xlfn.XLOOKUP(Tabla1[[#This Row],[Ean Normalizado]],tabla_consumos[EAN],tabla_consumos[UM])</f>
        <v>#VALUE!</v>
      </c>
      <c r="S2734" s="38" t="e">
        <f>Tabla1[[#This Row],[StockDisp]]*Tabla1[[#This Row],[UM producto]]</f>
        <v>#VALUE!</v>
      </c>
    </row>
    <row r="2735" spans="1:19" x14ac:dyDescent="0.35">
      <c r="A2735" s="5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6"/>
      <c r="P2735" s="23" t="e">
        <f>TRIM(Tabla1[[#This Row],[Articulo]])</f>
        <v>#VALUE!</v>
      </c>
      <c r="Q2735" s="23" t="e">
        <f>_xlfn.XLOOKUP(Tabla1[[#This Row],[Ean Normalizado]],Consumos!A:A,Consumos!E:E)</f>
        <v>#VALUE!</v>
      </c>
      <c r="R2735" s="38" t="e">
        <f>_xlfn.XLOOKUP(Tabla1[[#This Row],[Ean Normalizado]],tabla_consumos[EAN],tabla_consumos[UM])</f>
        <v>#VALUE!</v>
      </c>
      <c r="S2735" s="38" t="e">
        <f>Tabla1[[#This Row],[StockDisp]]*Tabla1[[#This Row],[UM producto]]</f>
        <v>#VALUE!</v>
      </c>
    </row>
    <row r="2736" spans="1:19" x14ac:dyDescent="0.35">
      <c r="A2736" s="5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6"/>
      <c r="P2736" s="23" t="e">
        <f>TRIM(Tabla1[[#This Row],[Articulo]])</f>
        <v>#VALUE!</v>
      </c>
      <c r="Q2736" s="23" t="e">
        <f>_xlfn.XLOOKUP(Tabla1[[#This Row],[Ean Normalizado]],Consumos!A:A,Consumos!E:E)</f>
        <v>#VALUE!</v>
      </c>
      <c r="R2736" s="38" t="e">
        <f>_xlfn.XLOOKUP(Tabla1[[#This Row],[Ean Normalizado]],tabla_consumos[EAN],tabla_consumos[UM])</f>
        <v>#VALUE!</v>
      </c>
      <c r="S2736" s="38" t="e">
        <f>Tabla1[[#This Row],[StockDisp]]*Tabla1[[#This Row],[UM producto]]</f>
        <v>#VALUE!</v>
      </c>
    </row>
    <row r="2737" spans="1:19" x14ac:dyDescent="0.35">
      <c r="A2737" s="5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6"/>
      <c r="P2737" s="23" t="e">
        <f>TRIM(Tabla1[[#This Row],[Articulo]])</f>
        <v>#VALUE!</v>
      </c>
      <c r="Q2737" s="23" t="e">
        <f>_xlfn.XLOOKUP(Tabla1[[#This Row],[Ean Normalizado]],Consumos!A:A,Consumos!E:E)</f>
        <v>#VALUE!</v>
      </c>
      <c r="R2737" s="38" t="e">
        <f>_xlfn.XLOOKUP(Tabla1[[#This Row],[Ean Normalizado]],tabla_consumos[EAN],tabla_consumos[UM])</f>
        <v>#VALUE!</v>
      </c>
      <c r="S2737" s="38" t="e">
        <f>Tabla1[[#This Row],[StockDisp]]*Tabla1[[#This Row],[UM producto]]</f>
        <v>#VALUE!</v>
      </c>
    </row>
    <row r="2738" spans="1:19" x14ac:dyDescent="0.35">
      <c r="A2738" s="5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6"/>
      <c r="P2738" s="23" t="e">
        <f>TRIM(Tabla1[[#This Row],[Articulo]])</f>
        <v>#VALUE!</v>
      </c>
      <c r="Q2738" s="23" t="e">
        <f>_xlfn.XLOOKUP(Tabla1[[#This Row],[Ean Normalizado]],Consumos!A:A,Consumos!E:E)</f>
        <v>#VALUE!</v>
      </c>
      <c r="R2738" s="38" t="e">
        <f>_xlfn.XLOOKUP(Tabla1[[#This Row],[Ean Normalizado]],tabla_consumos[EAN],tabla_consumos[UM])</f>
        <v>#VALUE!</v>
      </c>
      <c r="S2738" s="38" t="e">
        <f>Tabla1[[#This Row],[StockDisp]]*Tabla1[[#This Row],[UM producto]]</f>
        <v>#VALUE!</v>
      </c>
    </row>
    <row r="2739" spans="1:19" x14ac:dyDescent="0.35">
      <c r="A2739" s="5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6"/>
      <c r="P2739" s="23" t="e">
        <f>TRIM(Tabla1[[#This Row],[Articulo]])</f>
        <v>#VALUE!</v>
      </c>
      <c r="Q2739" s="23" t="e">
        <f>_xlfn.XLOOKUP(Tabla1[[#This Row],[Ean Normalizado]],Consumos!A:A,Consumos!E:E)</f>
        <v>#VALUE!</v>
      </c>
      <c r="R2739" s="38" t="e">
        <f>_xlfn.XLOOKUP(Tabla1[[#This Row],[Ean Normalizado]],tabla_consumos[EAN],tabla_consumos[UM])</f>
        <v>#VALUE!</v>
      </c>
      <c r="S2739" s="38" t="e">
        <f>Tabla1[[#This Row],[StockDisp]]*Tabla1[[#This Row],[UM producto]]</f>
        <v>#VALUE!</v>
      </c>
    </row>
    <row r="2740" spans="1:19" x14ac:dyDescent="0.35">
      <c r="A2740" s="5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6"/>
      <c r="P2740" s="23" t="e">
        <f>TRIM(Tabla1[[#This Row],[Articulo]])</f>
        <v>#VALUE!</v>
      </c>
      <c r="Q2740" s="23" t="e">
        <f>_xlfn.XLOOKUP(Tabla1[[#This Row],[Ean Normalizado]],Consumos!A:A,Consumos!E:E)</f>
        <v>#VALUE!</v>
      </c>
      <c r="R2740" s="38" t="e">
        <f>_xlfn.XLOOKUP(Tabla1[[#This Row],[Ean Normalizado]],tabla_consumos[EAN],tabla_consumos[UM])</f>
        <v>#VALUE!</v>
      </c>
      <c r="S2740" s="38" t="e">
        <f>Tabla1[[#This Row],[StockDisp]]*Tabla1[[#This Row],[UM producto]]</f>
        <v>#VALUE!</v>
      </c>
    </row>
    <row r="2741" spans="1:19" x14ac:dyDescent="0.35">
      <c r="A2741" s="5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6"/>
      <c r="P2741" s="23" t="e">
        <f>TRIM(Tabla1[[#This Row],[Articulo]])</f>
        <v>#VALUE!</v>
      </c>
      <c r="Q2741" s="23" t="e">
        <f>_xlfn.XLOOKUP(Tabla1[[#This Row],[Ean Normalizado]],Consumos!A:A,Consumos!E:E)</f>
        <v>#VALUE!</v>
      </c>
      <c r="R2741" s="38" t="e">
        <f>_xlfn.XLOOKUP(Tabla1[[#This Row],[Ean Normalizado]],tabla_consumos[EAN],tabla_consumos[UM])</f>
        <v>#VALUE!</v>
      </c>
      <c r="S2741" s="38" t="e">
        <f>Tabla1[[#This Row],[StockDisp]]*Tabla1[[#This Row],[UM producto]]</f>
        <v>#VALUE!</v>
      </c>
    </row>
    <row r="2742" spans="1:19" x14ac:dyDescent="0.35">
      <c r="A2742" s="5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6"/>
      <c r="P2742" s="23" t="e">
        <f>TRIM(Tabla1[[#This Row],[Articulo]])</f>
        <v>#VALUE!</v>
      </c>
      <c r="Q2742" s="23" t="e">
        <f>_xlfn.XLOOKUP(Tabla1[[#This Row],[Ean Normalizado]],Consumos!A:A,Consumos!E:E)</f>
        <v>#VALUE!</v>
      </c>
      <c r="R2742" s="38" t="e">
        <f>_xlfn.XLOOKUP(Tabla1[[#This Row],[Ean Normalizado]],tabla_consumos[EAN],tabla_consumos[UM])</f>
        <v>#VALUE!</v>
      </c>
      <c r="S2742" s="38" t="e">
        <f>Tabla1[[#This Row],[StockDisp]]*Tabla1[[#This Row],[UM producto]]</f>
        <v>#VALUE!</v>
      </c>
    </row>
    <row r="2743" spans="1:19" x14ac:dyDescent="0.35">
      <c r="A2743" s="5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6"/>
      <c r="P2743" s="23" t="e">
        <f>TRIM(Tabla1[[#This Row],[Articulo]])</f>
        <v>#VALUE!</v>
      </c>
      <c r="Q2743" s="23" t="e">
        <f>_xlfn.XLOOKUP(Tabla1[[#This Row],[Ean Normalizado]],Consumos!A:A,Consumos!E:E)</f>
        <v>#VALUE!</v>
      </c>
      <c r="R2743" s="38" t="e">
        <f>_xlfn.XLOOKUP(Tabla1[[#This Row],[Ean Normalizado]],tabla_consumos[EAN],tabla_consumos[UM])</f>
        <v>#VALUE!</v>
      </c>
      <c r="S2743" s="38" t="e">
        <f>Tabla1[[#This Row],[StockDisp]]*Tabla1[[#This Row],[UM producto]]</f>
        <v>#VALUE!</v>
      </c>
    </row>
    <row r="2744" spans="1:19" x14ac:dyDescent="0.35">
      <c r="A2744" s="5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6"/>
      <c r="P2744" s="23" t="e">
        <f>TRIM(Tabla1[[#This Row],[Articulo]])</f>
        <v>#VALUE!</v>
      </c>
      <c r="Q2744" s="23" t="e">
        <f>_xlfn.XLOOKUP(Tabla1[[#This Row],[Ean Normalizado]],Consumos!A:A,Consumos!E:E)</f>
        <v>#VALUE!</v>
      </c>
      <c r="R2744" s="38" t="e">
        <f>_xlfn.XLOOKUP(Tabla1[[#This Row],[Ean Normalizado]],tabla_consumos[EAN],tabla_consumos[UM])</f>
        <v>#VALUE!</v>
      </c>
      <c r="S2744" s="38" t="e">
        <f>Tabla1[[#This Row],[StockDisp]]*Tabla1[[#This Row],[UM producto]]</f>
        <v>#VALUE!</v>
      </c>
    </row>
    <row r="2745" spans="1:19" x14ac:dyDescent="0.35">
      <c r="A2745" s="5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6"/>
      <c r="P2745" s="23" t="e">
        <f>TRIM(Tabla1[[#This Row],[Articulo]])</f>
        <v>#VALUE!</v>
      </c>
      <c r="Q2745" s="23" t="e">
        <f>_xlfn.XLOOKUP(Tabla1[[#This Row],[Ean Normalizado]],Consumos!A:A,Consumos!E:E)</f>
        <v>#VALUE!</v>
      </c>
      <c r="R2745" s="38" t="e">
        <f>_xlfn.XLOOKUP(Tabla1[[#This Row],[Ean Normalizado]],tabla_consumos[EAN],tabla_consumos[UM])</f>
        <v>#VALUE!</v>
      </c>
      <c r="S2745" s="38" t="e">
        <f>Tabla1[[#This Row],[StockDisp]]*Tabla1[[#This Row],[UM producto]]</f>
        <v>#VALUE!</v>
      </c>
    </row>
    <row r="2746" spans="1:19" x14ac:dyDescent="0.35">
      <c r="A2746" s="5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6"/>
      <c r="P2746" s="23" t="e">
        <f>TRIM(Tabla1[[#This Row],[Articulo]])</f>
        <v>#VALUE!</v>
      </c>
      <c r="Q2746" s="23" t="e">
        <f>_xlfn.XLOOKUP(Tabla1[[#This Row],[Ean Normalizado]],Consumos!A:A,Consumos!E:E)</f>
        <v>#VALUE!</v>
      </c>
      <c r="R2746" s="38" t="e">
        <f>_xlfn.XLOOKUP(Tabla1[[#This Row],[Ean Normalizado]],tabla_consumos[EAN],tabla_consumos[UM])</f>
        <v>#VALUE!</v>
      </c>
      <c r="S2746" s="38" t="e">
        <f>Tabla1[[#This Row],[StockDisp]]*Tabla1[[#This Row],[UM producto]]</f>
        <v>#VALUE!</v>
      </c>
    </row>
    <row r="2747" spans="1:19" x14ac:dyDescent="0.35">
      <c r="A2747" s="5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6"/>
      <c r="P2747" s="23" t="e">
        <f>TRIM(Tabla1[[#This Row],[Articulo]])</f>
        <v>#VALUE!</v>
      </c>
      <c r="Q2747" s="23" t="e">
        <f>_xlfn.XLOOKUP(Tabla1[[#This Row],[Ean Normalizado]],Consumos!A:A,Consumos!E:E)</f>
        <v>#VALUE!</v>
      </c>
      <c r="R2747" s="38" t="e">
        <f>_xlfn.XLOOKUP(Tabla1[[#This Row],[Ean Normalizado]],tabla_consumos[EAN],tabla_consumos[UM])</f>
        <v>#VALUE!</v>
      </c>
      <c r="S2747" s="38" t="e">
        <f>Tabla1[[#This Row],[StockDisp]]*Tabla1[[#This Row],[UM producto]]</f>
        <v>#VALUE!</v>
      </c>
    </row>
    <row r="2748" spans="1:19" x14ac:dyDescent="0.35">
      <c r="A2748" s="5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6"/>
      <c r="P2748" s="23" t="e">
        <f>TRIM(Tabla1[[#This Row],[Articulo]])</f>
        <v>#VALUE!</v>
      </c>
      <c r="Q2748" s="23" t="e">
        <f>_xlfn.XLOOKUP(Tabla1[[#This Row],[Ean Normalizado]],Consumos!A:A,Consumos!E:E)</f>
        <v>#VALUE!</v>
      </c>
      <c r="R2748" s="38" t="e">
        <f>_xlfn.XLOOKUP(Tabla1[[#This Row],[Ean Normalizado]],tabla_consumos[EAN],tabla_consumos[UM])</f>
        <v>#VALUE!</v>
      </c>
      <c r="S2748" s="38" t="e">
        <f>Tabla1[[#This Row],[StockDisp]]*Tabla1[[#This Row],[UM producto]]</f>
        <v>#VALUE!</v>
      </c>
    </row>
    <row r="2749" spans="1:19" x14ac:dyDescent="0.35">
      <c r="A2749" s="5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6"/>
      <c r="P2749" s="23" t="e">
        <f>TRIM(Tabla1[[#This Row],[Articulo]])</f>
        <v>#VALUE!</v>
      </c>
      <c r="Q2749" s="23" t="e">
        <f>_xlfn.XLOOKUP(Tabla1[[#This Row],[Ean Normalizado]],Consumos!A:A,Consumos!E:E)</f>
        <v>#VALUE!</v>
      </c>
      <c r="R2749" s="38" t="e">
        <f>_xlfn.XLOOKUP(Tabla1[[#This Row],[Ean Normalizado]],tabla_consumos[EAN],tabla_consumos[UM])</f>
        <v>#VALUE!</v>
      </c>
      <c r="S2749" s="38" t="e">
        <f>Tabla1[[#This Row],[StockDisp]]*Tabla1[[#This Row],[UM producto]]</f>
        <v>#VALUE!</v>
      </c>
    </row>
    <row r="2750" spans="1:19" x14ac:dyDescent="0.35">
      <c r="A2750" s="5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6"/>
      <c r="P2750" s="23" t="e">
        <f>TRIM(Tabla1[[#This Row],[Articulo]])</f>
        <v>#VALUE!</v>
      </c>
      <c r="Q2750" s="23" t="e">
        <f>_xlfn.XLOOKUP(Tabla1[[#This Row],[Ean Normalizado]],Consumos!A:A,Consumos!E:E)</f>
        <v>#VALUE!</v>
      </c>
      <c r="R2750" s="38" t="e">
        <f>_xlfn.XLOOKUP(Tabla1[[#This Row],[Ean Normalizado]],tabla_consumos[EAN],tabla_consumos[UM])</f>
        <v>#VALUE!</v>
      </c>
      <c r="S2750" s="38" t="e">
        <f>Tabla1[[#This Row],[StockDisp]]*Tabla1[[#This Row],[UM producto]]</f>
        <v>#VALUE!</v>
      </c>
    </row>
    <row r="2751" spans="1:19" x14ac:dyDescent="0.35">
      <c r="A2751" s="5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6"/>
      <c r="P2751" s="23" t="e">
        <f>TRIM(Tabla1[[#This Row],[Articulo]])</f>
        <v>#VALUE!</v>
      </c>
      <c r="Q2751" s="23" t="e">
        <f>_xlfn.XLOOKUP(Tabla1[[#This Row],[Ean Normalizado]],Consumos!A:A,Consumos!E:E)</f>
        <v>#VALUE!</v>
      </c>
      <c r="R2751" s="38" t="e">
        <f>_xlfn.XLOOKUP(Tabla1[[#This Row],[Ean Normalizado]],tabla_consumos[EAN],tabla_consumos[UM])</f>
        <v>#VALUE!</v>
      </c>
      <c r="S2751" s="38" t="e">
        <f>Tabla1[[#This Row],[StockDisp]]*Tabla1[[#This Row],[UM producto]]</f>
        <v>#VALUE!</v>
      </c>
    </row>
    <row r="2752" spans="1:19" x14ac:dyDescent="0.35">
      <c r="A2752" s="5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6"/>
      <c r="P2752" s="23" t="e">
        <f>TRIM(Tabla1[[#This Row],[Articulo]])</f>
        <v>#VALUE!</v>
      </c>
      <c r="Q2752" s="23" t="e">
        <f>_xlfn.XLOOKUP(Tabla1[[#This Row],[Ean Normalizado]],Consumos!A:A,Consumos!E:E)</f>
        <v>#VALUE!</v>
      </c>
      <c r="R2752" s="38" t="e">
        <f>_xlfn.XLOOKUP(Tabla1[[#This Row],[Ean Normalizado]],tabla_consumos[EAN],tabla_consumos[UM])</f>
        <v>#VALUE!</v>
      </c>
      <c r="S2752" s="38" t="e">
        <f>Tabla1[[#This Row],[StockDisp]]*Tabla1[[#This Row],[UM producto]]</f>
        <v>#VALUE!</v>
      </c>
    </row>
    <row r="2753" spans="1:19" x14ac:dyDescent="0.35">
      <c r="A2753" s="5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6"/>
      <c r="P2753" s="23" t="e">
        <f>TRIM(Tabla1[[#This Row],[Articulo]])</f>
        <v>#VALUE!</v>
      </c>
      <c r="Q2753" s="23" t="e">
        <f>_xlfn.XLOOKUP(Tabla1[[#This Row],[Ean Normalizado]],Consumos!A:A,Consumos!E:E)</f>
        <v>#VALUE!</v>
      </c>
      <c r="R2753" s="38" t="e">
        <f>_xlfn.XLOOKUP(Tabla1[[#This Row],[Ean Normalizado]],tabla_consumos[EAN],tabla_consumos[UM])</f>
        <v>#VALUE!</v>
      </c>
      <c r="S2753" s="38" t="e">
        <f>Tabla1[[#This Row],[StockDisp]]*Tabla1[[#This Row],[UM producto]]</f>
        <v>#VALUE!</v>
      </c>
    </row>
    <row r="2754" spans="1:19" x14ac:dyDescent="0.35">
      <c r="A2754" s="5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6"/>
      <c r="P2754" s="23" t="e">
        <f>TRIM(Tabla1[[#This Row],[Articulo]])</f>
        <v>#VALUE!</v>
      </c>
      <c r="Q2754" s="23" t="e">
        <f>_xlfn.XLOOKUP(Tabla1[[#This Row],[Ean Normalizado]],Consumos!A:A,Consumos!E:E)</f>
        <v>#VALUE!</v>
      </c>
      <c r="R2754" s="38" t="e">
        <f>_xlfn.XLOOKUP(Tabla1[[#This Row],[Ean Normalizado]],tabla_consumos[EAN],tabla_consumos[UM])</f>
        <v>#VALUE!</v>
      </c>
      <c r="S2754" s="38" t="e">
        <f>Tabla1[[#This Row],[StockDisp]]*Tabla1[[#This Row],[UM producto]]</f>
        <v>#VALUE!</v>
      </c>
    </row>
    <row r="2755" spans="1:19" x14ac:dyDescent="0.35">
      <c r="A2755" s="5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6"/>
      <c r="P2755" s="23" t="e">
        <f>TRIM(Tabla1[[#This Row],[Articulo]])</f>
        <v>#VALUE!</v>
      </c>
      <c r="Q2755" s="23" t="e">
        <f>_xlfn.XLOOKUP(Tabla1[[#This Row],[Ean Normalizado]],Consumos!A:A,Consumos!E:E)</f>
        <v>#VALUE!</v>
      </c>
      <c r="R2755" s="38" t="e">
        <f>_xlfn.XLOOKUP(Tabla1[[#This Row],[Ean Normalizado]],tabla_consumos[EAN],tabla_consumos[UM])</f>
        <v>#VALUE!</v>
      </c>
      <c r="S2755" s="38" t="e">
        <f>Tabla1[[#This Row],[StockDisp]]*Tabla1[[#This Row],[UM producto]]</f>
        <v>#VALUE!</v>
      </c>
    </row>
    <row r="2756" spans="1:19" x14ac:dyDescent="0.35">
      <c r="A2756" s="5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6"/>
      <c r="P2756" s="23" t="e">
        <f>TRIM(Tabla1[[#This Row],[Articulo]])</f>
        <v>#VALUE!</v>
      </c>
      <c r="Q2756" s="23" t="e">
        <f>_xlfn.XLOOKUP(Tabla1[[#This Row],[Ean Normalizado]],Consumos!A:A,Consumos!E:E)</f>
        <v>#VALUE!</v>
      </c>
      <c r="R2756" s="38" t="e">
        <f>_xlfn.XLOOKUP(Tabla1[[#This Row],[Ean Normalizado]],tabla_consumos[EAN],tabla_consumos[UM])</f>
        <v>#VALUE!</v>
      </c>
      <c r="S2756" s="38" t="e">
        <f>Tabla1[[#This Row],[StockDisp]]*Tabla1[[#This Row],[UM producto]]</f>
        <v>#VALUE!</v>
      </c>
    </row>
    <row r="2757" spans="1:19" x14ac:dyDescent="0.35">
      <c r="A2757" s="5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6"/>
      <c r="P2757" s="23" t="e">
        <f>TRIM(Tabla1[[#This Row],[Articulo]])</f>
        <v>#VALUE!</v>
      </c>
      <c r="Q2757" s="23" t="e">
        <f>_xlfn.XLOOKUP(Tabla1[[#This Row],[Ean Normalizado]],Consumos!A:A,Consumos!E:E)</f>
        <v>#VALUE!</v>
      </c>
      <c r="R2757" s="38" t="e">
        <f>_xlfn.XLOOKUP(Tabla1[[#This Row],[Ean Normalizado]],tabla_consumos[EAN],tabla_consumos[UM])</f>
        <v>#VALUE!</v>
      </c>
      <c r="S2757" s="38" t="e">
        <f>Tabla1[[#This Row],[StockDisp]]*Tabla1[[#This Row],[UM producto]]</f>
        <v>#VALUE!</v>
      </c>
    </row>
    <row r="2758" spans="1:19" x14ac:dyDescent="0.35">
      <c r="A2758" s="5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6"/>
      <c r="P2758" s="23" t="e">
        <f>TRIM(Tabla1[[#This Row],[Articulo]])</f>
        <v>#VALUE!</v>
      </c>
      <c r="Q2758" s="23" t="e">
        <f>_xlfn.XLOOKUP(Tabla1[[#This Row],[Ean Normalizado]],Consumos!A:A,Consumos!E:E)</f>
        <v>#VALUE!</v>
      </c>
      <c r="R2758" s="38" t="e">
        <f>_xlfn.XLOOKUP(Tabla1[[#This Row],[Ean Normalizado]],tabla_consumos[EAN],tabla_consumos[UM])</f>
        <v>#VALUE!</v>
      </c>
      <c r="S2758" s="38" t="e">
        <f>Tabla1[[#This Row],[StockDisp]]*Tabla1[[#This Row],[UM producto]]</f>
        <v>#VALUE!</v>
      </c>
    </row>
    <row r="2759" spans="1:19" x14ac:dyDescent="0.35">
      <c r="A2759" s="5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6"/>
      <c r="P2759" s="23" t="e">
        <f>TRIM(Tabla1[[#This Row],[Articulo]])</f>
        <v>#VALUE!</v>
      </c>
      <c r="Q2759" s="23" t="e">
        <f>_xlfn.XLOOKUP(Tabla1[[#This Row],[Ean Normalizado]],Consumos!A:A,Consumos!E:E)</f>
        <v>#VALUE!</v>
      </c>
      <c r="R2759" s="38" t="e">
        <f>_xlfn.XLOOKUP(Tabla1[[#This Row],[Ean Normalizado]],tabla_consumos[EAN],tabla_consumos[UM])</f>
        <v>#VALUE!</v>
      </c>
      <c r="S2759" s="38" t="e">
        <f>Tabla1[[#This Row],[StockDisp]]*Tabla1[[#This Row],[UM producto]]</f>
        <v>#VALUE!</v>
      </c>
    </row>
    <row r="2760" spans="1:19" x14ac:dyDescent="0.35">
      <c r="A2760" s="5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6"/>
      <c r="P2760" s="23" t="e">
        <f>TRIM(Tabla1[[#This Row],[Articulo]])</f>
        <v>#VALUE!</v>
      </c>
      <c r="Q2760" s="23" t="e">
        <f>_xlfn.XLOOKUP(Tabla1[[#This Row],[Ean Normalizado]],Consumos!A:A,Consumos!E:E)</f>
        <v>#VALUE!</v>
      </c>
      <c r="R2760" s="38" t="e">
        <f>_xlfn.XLOOKUP(Tabla1[[#This Row],[Ean Normalizado]],tabla_consumos[EAN],tabla_consumos[UM])</f>
        <v>#VALUE!</v>
      </c>
      <c r="S2760" s="38" t="e">
        <f>Tabla1[[#This Row],[StockDisp]]*Tabla1[[#This Row],[UM producto]]</f>
        <v>#VALUE!</v>
      </c>
    </row>
    <row r="2761" spans="1:19" x14ac:dyDescent="0.35">
      <c r="A2761" s="5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6"/>
      <c r="P2761" s="23" t="e">
        <f>TRIM(Tabla1[[#This Row],[Articulo]])</f>
        <v>#VALUE!</v>
      </c>
      <c r="Q2761" s="23" t="e">
        <f>_xlfn.XLOOKUP(Tabla1[[#This Row],[Ean Normalizado]],Consumos!A:A,Consumos!E:E)</f>
        <v>#VALUE!</v>
      </c>
      <c r="R2761" s="38" t="e">
        <f>_xlfn.XLOOKUP(Tabla1[[#This Row],[Ean Normalizado]],tabla_consumos[EAN],tabla_consumos[UM])</f>
        <v>#VALUE!</v>
      </c>
      <c r="S2761" s="38" t="e">
        <f>Tabla1[[#This Row],[StockDisp]]*Tabla1[[#This Row],[UM producto]]</f>
        <v>#VALUE!</v>
      </c>
    </row>
    <row r="2762" spans="1:19" x14ac:dyDescent="0.35">
      <c r="A2762" s="5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6"/>
      <c r="P2762" s="23" t="e">
        <f>TRIM(Tabla1[[#This Row],[Articulo]])</f>
        <v>#VALUE!</v>
      </c>
      <c r="Q2762" s="23" t="e">
        <f>_xlfn.XLOOKUP(Tabla1[[#This Row],[Ean Normalizado]],Consumos!A:A,Consumos!E:E)</f>
        <v>#VALUE!</v>
      </c>
      <c r="R2762" s="38" t="e">
        <f>_xlfn.XLOOKUP(Tabla1[[#This Row],[Ean Normalizado]],tabla_consumos[EAN],tabla_consumos[UM])</f>
        <v>#VALUE!</v>
      </c>
      <c r="S2762" s="38" t="e">
        <f>Tabla1[[#This Row],[StockDisp]]*Tabla1[[#This Row],[UM producto]]</f>
        <v>#VALUE!</v>
      </c>
    </row>
    <row r="2763" spans="1:19" x14ac:dyDescent="0.35">
      <c r="A2763" s="5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6"/>
      <c r="P2763" s="23" t="e">
        <f>TRIM(Tabla1[[#This Row],[Articulo]])</f>
        <v>#VALUE!</v>
      </c>
      <c r="Q2763" s="23" t="e">
        <f>_xlfn.XLOOKUP(Tabla1[[#This Row],[Ean Normalizado]],Consumos!A:A,Consumos!E:E)</f>
        <v>#VALUE!</v>
      </c>
      <c r="R2763" s="38" t="e">
        <f>_xlfn.XLOOKUP(Tabla1[[#This Row],[Ean Normalizado]],tabla_consumos[EAN],tabla_consumos[UM])</f>
        <v>#VALUE!</v>
      </c>
      <c r="S2763" s="38" t="e">
        <f>Tabla1[[#This Row],[StockDisp]]*Tabla1[[#This Row],[UM producto]]</f>
        <v>#VALUE!</v>
      </c>
    </row>
    <row r="2764" spans="1:19" x14ac:dyDescent="0.35">
      <c r="A2764" s="5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6"/>
      <c r="P2764" s="23" t="e">
        <f>TRIM(Tabla1[[#This Row],[Articulo]])</f>
        <v>#VALUE!</v>
      </c>
      <c r="Q2764" s="23" t="e">
        <f>_xlfn.XLOOKUP(Tabla1[[#This Row],[Ean Normalizado]],Consumos!A:A,Consumos!E:E)</f>
        <v>#VALUE!</v>
      </c>
      <c r="R2764" s="38" t="e">
        <f>_xlfn.XLOOKUP(Tabla1[[#This Row],[Ean Normalizado]],tabla_consumos[EAN],tabla_consumos[UM])</f>
        <v>#VALUE!</v>
      </c>
      <c r="S2764" s="38" t="e">
        <f>Tabla1[[#This Row],[StockDisp]]*Tabla1[[#This Row],[UM producto]]</f>
        <v>#VALUE!</v>
      </c>
    </row>
    <row r="2765" spans="1:19" x14ac:dyDescent="0.35">
      <c r="A2765" s="5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6"/>
      <c r="P2765" s="23" t="e">
        <f>TRIM(Tabla1[[#This Row],[Articulo]])</f>
        <v>#VALUE!</v>
      </c>
      <c r="Q2765" s="23" t="e">
        <f>_xlfn.XLOOKUP(Tabla1[[#This Row],[Ean Normalizado]],Consumos!A:A,Consumos!E:E)</f>
        <v>#VALUE!</v>
      </c>
      <c r="R2765" s="38" t="e">
        <f>_xlfn.XLOOKUP(Tabla1[[#This Row],[Ean Normalizado]],tabla_consumos[EAN],tabla_consumos[UM])</f>
        <v>#VALUE!</v>
      </c>
      <c r="S2765" s="38" t="e">
        <f>Tabla1[[#This Row],[StockDisp]]*Tabla1[[#This Row],[UM producto]]</f>
        <v>#VALUE!</v>
      </c>
    </row>
    <row r="2766" spans="1:19" x14ac:dyDescent="0.35">
      <c r="A2766" s="5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6"/>
      <c r="P2766" s="23" t="e">
        <f>TRIM(Tabla1[[#This Row],[Articulo]])</f>
        <v>#VALUE!</v>
      </c>
      <c r="Q2766" s="23" t="e">
        <f>_xlfn.XLOOKUP(Tabla1[[#This Row],[Ean Normalizado]],Consumos!A:A,Consumos!E:E)</f>
        <v>#VALUE!</v>
      </c>
      <c r="R2766" s="38" t="e">
        <f>_xlfn.XLOOKUP(Tabla1[[#This Row],[Ean Normalizado]],tabla_consumos[EAN],tabla_consumos[UM])</f>
        <v>#VALUE!</v>
      </c>
      <c r="S2766" s="38" t="e">
        <f>Tabla1[[#This Row],[StockDisp]]*Tabla1[[#This Row],[UM producto]]</f>
        <v>#VALUE!</v>
      </c>
    </row>
    <row r="2767" spans="1:19" x14ac:dyDescent="0.35">
      <c r="A2767" s="5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6"/>
      <c r="P2767" s="23" t="e">
        <f>TRIM(Tabla1[[#This Row],[Articulo]])</f>
        <v>#VALUE!</v>
      </c>
      <c r="Q2767" s="23" t="e">
        <f>_xlfn.XLOOKUP(Tabla1[[#This Row],[Ean Normalizado]],Consumos!A:A,Consumos!E:E)</f>
        <v>#VALUE!</v>
      </c>
      <c r="R2767" s="38" t="e">
        <f>_xlfn.XLOOKUP(Tabla1[[#This Row],[Ean Normalizado]],tabla_consumos[EAN],tabla_consumos[UM])</f>
        <v>#VALUE!</v>
      </c>
      <c r="S2767" s="38" t="e">
        <f>Tabla1[[#This Row],[StockDisp]]*Tabla1[[#This Row],[UM producto]]</f>
        <v>#VALUE!</v>
      </c>
    </row>
    <row r="2768" spans="1:19" x14ac:dyDescent="0.35">
      <c r="A2768" s="5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6"/>
      <c r="P2768" s="23" t="e">
        <f>TRIM(Tabla1[[#This Row],[Articulo]])</f>
        <v>#VALUE!</v>
      </c>
      <c r="Q2768" s="23" t="e">
        <f>_xlfn.XLOOKUP(Tabla1[[#This Row],[Ean Normalizado]],Consumos!A:A,Consumos!E:E)</f>
        <v>#VALUE!</v>
      </c>
      <c r="R2768" s="38" t="e">
        <f>_xlfn.XLOOKUP(Tabla1[[#This Row],[Ean Normalizado]],tabla_consumos[EAN],tabla_consumos[UM])</f>
        <v>#VALUE!</v>
      </c>
      <c r="S2768" s="38" t="e">
        <f>Tabla1[[#This Row],[StockDisp]]*Tabla1[[#This Row],[UM producto]]</f>
        <v>#VALUE!</v>
      </c>
    </row>
    <row r="2769" spans="1:19" x14ac:dyDescent="0.35">
      <c r="A2769" s="5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6"/>
      <c r="P2769" s="23" t="e">
        <f>TRIM(Tabla1[[#This Row],[Articulo]])</f>
        <v>#VALUE!</v>
      </c>
      <c r="Q2769" s="23" t="e">
        <f>_xlfn.XLOOKUP(Tabla1[[#This Row],[Ean Normalizado]],Consumos!A:A,Consumos!E:E)</f>
        <v>#VALUE!</v>
      </c>
      <c r="R2769" s="38" t="e">
        <f>_xlfn.XLOOKUP(Tabla1[[#This Row],[Ean Normalizado]],tabla_consumos[EAN],tabla_consumos[UM])</f>
        <v>#VALUE!</v>
      </c>
      <c r="S2769" s="38" t="e">
        <f>Tabla1[[#This Row],[StockDisp]]*Tabla1[[#This Row],[UM producto]]</f>
        <v>#VALUE!</v>
      </c>
    </row>
    <row r="2770" spans="1:19" x14ac:dyDescent="0.35">
      <c r="A2770" s="5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6"/>
      <c r="P2770" s="23" t="e">
        <f>TRIM(Tabla1[[#This Row],[Articulo]])</f>
        <v>#VALUE!</v>
      </c>
      <c r="Q2770" s="23" t="e">
        <f>_xlfn.XLOOKUP(Tabla1[[#This Row],[Ean Normalizado]],Consumos!A:A,Consumos!E:E)</f>
        <v>#VALUE!</v>
      </c>
      <c r="R2770" s="38" t="e">
        <f>_xlfn.XLOOKUP(Tabla1[[#This Row],[Ean Normalizado]],tabla_consumos[EAN],tabla_consumos[UM])</f>
        <v>#VALUE!</v>
      </c>
      <c r="S2770" s="38" t="e">
        <f>Tabla1[[#This Row],[StockDisp]]*Tabla1[[#This Row],[UM producto]]</f>
        <v>#VALUE!</v>
      </c>
    </row>
    <row r="2771" spans="1:19" x14ac:dyDescent="0.35">
      <c r="A2771" s="5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6"/>
      <c r="P2771" s="23" t="e">
        <f>TRIM(Tabla1[[#This Row],[Articulo]])</f>
        <v>#VALUE!</v>
      </c>
      <c r="Q2771" s="23" t="e">
        <f>_xlfn.XLOOKUP(Tabla1[[#This Row],[Ean Normalizado]],Consumos!A:A,Consumos!E:E)</f>
        <v>#VALUE!</v>
      </c>
      <c r="R2771" s="38" t="e">
        <f>_xlfn.XLOOKUP(Tabla1[[#This Row],[Ean Normalizado]],tabla_consumos[EAN],tabla_consumos[UM])</f>
        <v>#VALUE!</v>
      </c>
      <c r="S2771" s="38" t="e">
        <f>Tabla1[[#This Row],[StockDisp]]*Tabla1[[#This Row],[UM producto]]</f>
        <v>#VALUE!</v>
      </c>
    </row>
    <row r="2772" spans="1:19" x14ac:dyDescent="0.35">
      <c r="A2772" s="5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6"/>
      <c r="P2772" s="23" t="e">
        <f>TRIM(Tabla1[[#This Row],[Articulo]])</f>
        <v>#VALUE!</v>
      </c>
      <c r="Q2772" s="23" t="e">
        <f>_xlfn.XLOOKUP(Tabla1[[#This Row],[Ean Normalizado]],Consumos!A:A,Consumos!E:E)</f>
        <v>#VALUE!</v>
      </c>
      <c r="R2772" s="38" t="e">
        <f>_xlfn.XLOOKUP(Tabla1[[#This Row],[Ean Normalizado]],tabla_consumos[EAN],tabla_consumos[UM])</f>
        <v>#VALUE!</v>
      </c>
      <c r="S2772" s="38" t="e">
        <f>Tabla1[[#This Row],[StockDisp]]*Tabla1[[#This Row],[UM producto]]</f>
        <v>#VALUE!</v>
      </c>
    </row>
    <row r="2773" spans="1:19" x14ac:dyDescent="0.35">
      <c r="A2773" s="5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6"/>
      <c r="P2773" s="23" t="e">
        <f>TRIM(Tabla1[[#This Row],[Articulo]])</f>
        <v>#VALUE!</v>
      </c>
      <c r="Q2773" s="23" t="e">
        <f>_xlfn.XLOOKUP(Tabla1[[#This Row],[Ean Normalizado]],Consumos!A:A,Consumos!E:E)</f>
        <v>#VALUE!</v>
      </c>
      <c r="R2773" s="38" t="e">
        <f>_xlfn.XLOOKUP(Tabla1[[#This Row],[Ean Normalizado]],tabla_consumos[EAN],tabla_consumos[UM])</f>
        <v>#VALUE!</v>
      </c>
      <c r="S2773" s="38" t="e">
        <f>Tabla1[[#This Row],[StockDisp]]*Tabla1[[#This Row],[UM producto]]</f>
        <v>#VALUE!</v>
      </c>
    </row>
    <row r="2774" spans="1:19" x14ac:dyDescent="0.35">
      <c r="A2774" s="5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6"/>
      <c r="P2774" s="23" t="e">
        <f>TRIM(Tabla1[[#This Row],[Articulo]])</f>
        <v>#VALUE!</v>
      </c>
      <c r="Q2774" s="23" t="e">
        <f>_xlfn.XLOOKUP(Tabla1[[#This Row],[Ean Normalizado]],Consumos!A:A,Consumos!E:E)</f>
        <v>#VALUE!</v>
      </c>
      <c r="R2774" s="38" t="e">
        <f>_xlfn.XLOOKUP(Tabla1[[#This Row],[Ean Normalizado]],tabla_consumos[EAN],tabla_consumos[UM])</f>
        <v>#VALUE!</v>
      </c>
      <c r="S2774" s="38" t="e">
        <f>Tabla1[[#This Row],[StockDisp]]*Tabla1[[#This Row],[UM producto]]</f>
        <v>#VALUE!</v>
      </c>
    </row>
    <row r="2775" spans="1:19" x14ac:dyDescent="0.35">
      <c r="A2775" s="5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6"/>
      <c r="P2775" s="23" t="e">
        <f>TRIM(Tabla1[[#This Row],[Articulo]])</f>
        <v>#VALUE!</v>
      </c>
      <c r="Q2775" s="23" t="e">
        <f>_xlfn.XLOOKUP(Tabla1[[#This Row],[Ean Normalizado]],Consumos!A:A,Consumos!E:E)</f>
        <v>#VALUE!</v>
      </c>
      <c r="R2775" s="38" t="e">
        <f>_xlfn.XLOOKUP(Tabla1[[#This Row],[Ean Normalizado]],tabla_consumos[EAN],tabla_consumos[UM])</f>
        <v>#VALUE!</v>
      </c>
      <c r="S2775" s="38" t="e">
        <f>Tabla1[[#This Row],[StockDisp]]*Tabla1[[#This Row],[UM producto]]</f>
        <v>#VALUE!</v>
      </c>
    </row>
    <row r="2776" spans="1:19" x14ac:dyDescent="0.35">
      <c r="A2776" s="5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6"/>
      <c r="P2776" s="23" t="e">
        <f>TRIM(Tabla1[[#This Row],[Articulo]])</f>
        <v>#VALUE!</v>
      </c>
      <c r="Q2776" s="23" t="e">
        <f>_xlfn.XLOOKUP(Tabla1[[#This Row],[Ean Normalizado]],Consumos!A:A,Consumos!E:E)</f>
        <v>#VALUE!</v>
      </c>
      <c r="R2776" s="38" t="e">
        <f>_xlfn.XLOOKUP(Tabla1[[#This Row],[Ean Normalizado]],tabla_consumos[EAN],tabla_consumos[UM])</f>
        <v>#VALUE!</v>
      </c>
      <c r="S2776" s="38" t="e">
        <f>Tabla1[[#This Row],[StockDisp]]*Tabla1[[#This Row],[UM producto]]</f>
        <v>#VALUE!</v>
      </c>
    </row>
    <row r="2777" spans="1:19" x14ac:dyDescent="0.35">
      <c r="A2777" s="5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6"/>
      <c r="P2777" s="23" t="e">
        <f>TRIM(Tabla1[[#This Row],[Articulo]])</f>
        <v>#VALUE!</v>
      </c>
      <c r="Q2777" s="23" t="e">
        <f>_xlfn.XLOOKUP(Tabla1[[#This Row],[Ean Normalizado]],Consumos!A:A,Consumos!E:E)</f>
        <v>#VALUE!</v>
      </c>
      <c r="R2777" s="38" t="e">
        <f>_xlfn.XLOOKUP(Tabla1[[#This Row],[Ean Normalizado]],tabla_consumos[EAN],tabla_consumos[UM])</f>
        <v>#VALUE!</v>
      </c>
      <c r="S2777" s="38" t="e">
        <f>Tabla1[[#This Row],[StockDisp]]*Tabla1[[#This Row],[UM producto]]</f>
        <v>#VALUE!</v>
      </c>
    </row>
    <row r="2778" spans="1:19" x14ac:dyDescent="0.35">
      <c r="A2778" s="5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6"/>
      <c r="P2778" s="23" t="e">
        <f>TRIM(Tabla1[[#This Row],[Articulo]])</f>
        <v>#VALUE!</v>
      </c>
      <c r="Q2778" s="23" t="e">
        <f>_xlfn.XLOOKUP(Tabla1[[#This Row],[Ean Normalizado]],Consumos!A:A,Consumos!E:E)</f>
        <v>#VALUE!</v>
      </c>
      <c r="R2778" s="38" t="e">
        <f>_xlfn.XLOOKUP(Tabla1[[#This Row],[Ean Normalizado]],tabla_consumos[EAN],tabla_consumos[UM])</f>
        <v>#VALUE!</v>
      </c>
      <c r="S2778" s="38" t="e">
        <f>Tabla1[[#This Row],[StockDisp]]*Tabla1[[#This Row],[UM producto]]</f>
        <v>#VALUE!</v>
      </c>
    </row>
    <row r="2779" spans="1:19" x14ac:dyDescent="0.35">
      <c r="A2779" s="5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6"/>
      <c r="P2779" s="23" t="e">
        <f>TRIM(Tabla1[[#This Row],[Articulo]])</f>
        <v>#VALUE!</v>
      </c>
      <c r="Q2779" s="23" t="e">
        <f>_xlfn.XLOOKUP(Tabla1[[#This Row],[Ean Normalizado]],Consumos!A:A,Consumos!E:E)</f>
        <v>#VALUE!</v>
      </c>
      <c r="R2779" s="38" t="e">
        <f>_xlfn.XLOOKUP(Tabla1[[#This Row],[Ean Normalizado]],tabla_consumos[EAN],tabla_consumos[UM])</f>
        <v>#VALUE!</v>
      </c>
      <c r="S2779" s="38" t="e">
        <f>Tabla1[[#This Row],[StockDisp]]*Tabla1[[#This Row],[UM producto]]</f>
        <v>#VALUE!</v>
      </c>
    </row>
    <row r="2780" spans="1:19" x14ac:dyDescent="0.35">
      <c r="A2780" s="5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6"/>
      <c r="P2780" s="23" t="e">
        <f>TRIM(Tabla1[[#This Row],[Articulo]])</f>
        <v>#VALUE!</v>
      </c>
      <c r="Q2780" s="23" t="e">
        <f>_xlfn.XLOOKUP(Tabla1[[#This Row],[Ean Normalizado]],Consumos!A:A,Consumos!E:E)</f>
        <v>#VALUE!</v>
      </c>
      <c r="R2780" s="38" t="e">
        <f>_xlfn.XLOOKUP(Tabla1[[#This Row],[Ean Normalizado]],tabla_consumos[EAN],tabla_consumos[UM])</f>
        <v>#VALUE!</v>
      </c>
      <c r="S2780" s="38" t="e">
        <f>Tabla1[[#This Row],[StockDisp]]*Tabla1[[#This Row],[UM producto]]</f>
        <v>#VALUE!</v>
      </c>
    </row>
    <row r="2781" spans="1:19" x14ac:dyDescent="0.35">
      <c r="A2781" s="5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6"/>
      <c r="P2781" s="23" t="e">
        <f>TRIM(Tabla1[[#This Row],[Articulo]])</f>
        <v>#VALUE!</v>
      </c>
      <c r="Q2781" s="23" t="e">
        <f>_xlfn.XLOOKUP(Tabla1[[#This Row],[Ean Normalizado]],Consumos!A:A,Consumos!E:E)</f>
        <v>#VALUE!</v>
      </c>
      <c r="R2781" s="38" t="e">
        <f>_xlfn.XLOOKUP(Tabla1[[#This Row],[Ean Normalizado]],tabla_consumos[EAN],tabla_consumos[UM])</f>
        <v>#VALUE!</v>
      </c>
      <c r="S2781" s="38" t="e">
        <f>Tabla1[[#This Row],[StockDisp]]*Tabla1[[#This Row],[UM producto]]</f>
        <v>#VALUE!</v>
      </c>
    </row>
    <row r="2782" spans="1:19" x14ac:dyDescent="0.35">
      <c r="A2782" s="5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6"/>
      <c r="P2782" s="23" t="e">
        <f>TRIM(Tabla1[[#This Row],[Articulo]])</f>
        <v>#VALUE!</v>
      </c>
      <c r="Q2782" s="23" t="e">
        <f>_xlfn.XLOOKUP(Tabla1[[#This Row],[Ean Normalizado]],Consumos!A:A,Consumos!E:E)</f>
        <v>#VALUE!</v>
      </c>
      <c r="R2782" s="38" t="e">
        <f>_xlfn.XLOOKUP(Tabla1[[#This Row],[Ean Normalizado]],tabla_consumos[EAN],tabla_consumos[UM])</f>
        <v>#VALUE!</v>
      </c>
      <c r="S2782" s="38" t="e">
        <f>Tabla1[[#This Row],[StockDisp]]*Tabla1[[#This Row],[UM producto]]</f>
        <v>#VALUE!</v>
      </c>
    </row>
    <row r="2783" spans="1:19" x14ac:dyDescent="0.35">
      <c r="A2783" s="5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6"/>
      <c r="P2783" s="23" t="e">
        <f>TRIM(Tabla1[[#This Row],[Articulo]])</f>
        <v>#VALUE!</v>
      </c>
      <c r="Q2783" s="23" t="e">
        <f>_xlfn.XLOOKUP(Tabla1[[#This Row],[Ean Normalizado]],Consumos!A:A,Consumos!E:E)</f>
        <v>#VALUE!</v>
      </c>
      <c r="R2783" s="38" t="e">
        <f>_xlfn.XLOOKUP(Tabla1[[#This Row],[Ean Normalizado]],tabla_consumos[EAN],tabla_consumos[UM])</f>
        <v>#VALUE!</v>
      </c>
      <c r="S2783" s="38" t="e">
        <f>Tabla1[[#This Row],[StockDisp]]*Tabla1[[#This Row],[UM producto]]</f>
        <v>#VALUE!</v>
      </c>
    </row>
    <row r="2784" spans="1:19" x14ac:dyDescent="0.35">
      <c r="A2784" s="5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6"/>
      <c r="P2784" s="23" t="e">
        <f>TRIM(Tabla1[[#This Row],[Articulo]])</f>
        <v>#VALUE!</v>
      </c>
      <c r="Q2784" s="23" t="e">
        <f>_xlfn.XLOOKUP(Tabla1[[#This Row],[Ean Normalizado]],Consumos!A:A,Consumos!E:E)</f>
        <v>#VALUE!</v>
      </c>
      <c r="R2784" s="38" t="e">
        <f>_xlfn.XLOOKUP(Tabla1[[#This Row],[Ean Normalizado]],tabla_consumos[EAN],tabla_consumos[UM])</f>
        <v>#VALUE!</v>
      </c>
      <c r="S2784" s="38" t="e">
        <f>Tabla1[[#This Row],[StockDisp]]*Tabla1[[#This Row],[UM producto]]</f>
        <v>#VALUE!</v>
      </c>
    </row>
    <row r="2785" spans="1:19" x14ac:dyDescent="0.35">
      <c r="A2785" s="5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6"/>
      <c r="P2785" s="23" t="e">
        <f>TRIM(Tabla1[[#This Row],[Articulo]])</f>
        <v>#VALUE!</v>
      </c>
      <c r="Q2785" s="23" t="e">
        <f>_xlfn.XLOOKUP(Tabla1[[#This Row],[Ean Normalizado]],Consumos!A:A,Consumos!E:E)</f>
        <v>#VALUE!</v>
      </c>
      <c r="R2785" s="38" t="e">
        <f>_xlfn.XLOOKUP(Tabla1[[#This Row],[Ean Normalizado]],tabla_consumos[EAN],tabla_consumos[UM])</f>
        <v>#VALUE!</v>
      </c>
      <c r="S2785" s="38" t="e">
        <f>Tabla1[[#This Row],[StockDisp]]*Tabla1[[#This Row],[UM producto]]</f>
        <v>#VALUE!</v>
      </c>
    </row>
    <row r="2786" spans="1:19" x14ac:dyDescent="0.35">
      <c r="A2786" s="5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6"/>
      <c r="P2786" s="23" t="e">
        <f>TRIM(Tabla1[[#This Row],[Articulo]])</f>
        <v>#VALUE!</v>
      </c>
      <c r="Q2786" s="23" t="e">
        <f>_xlfn.XLOOKUP(Tabla1[[#This Row],[Ean Normalizado]],Consumos!A:A,Consumos!E:E)</f>
        <v>#VALUE!</v>
      </c>
      <c r="R2786" s="38" t="e">
        <f>_xlfn.XLOOKUP(Tabla1[[#This Row],[Ean Normalizado]],tabla_consumos[EAN],tabla_consumos[UM])</f>
        <v>#VALUE!</v>
      </c>
      <c r="S2786" s="38" t="e">
        <f>Tabla1[[#This Row],[StockDisp]]*Tabla1[[#This Row],[UM producto]]</f>
        <v>#VALUE!</v>
      </c>
    </row>
    <row r="2787" spans="1:19" x14ac:dyDescent="0.35">
      <c r="A2787" s="5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6"/>
      <c r="P2787" s="23" t="e">
        <f>TRIM(Tabla1[[#This Row],[Articulo]])</f>
        <v>#VALUE!</v>
      </c>
      <c r="Q2787" s="23" t="e">
        <f>_xlfn.XLOOKUP(Tabla1[[#This Row],[Ean Normalizado]],Consumos!A:A,Consumos!E:E)</f>
        <v>#VALUE!</v>
      </c>
      <c r="R2787" s="38" t="e">
        <f>_xlfn.XLOOKUP(Tabla1[[#This Row],[Ean Normalizado]],tabla_consumos[EAN],tabla_consumos[UM])</f>
        <v>#VALUE!</v>
      </c>
      <c r="S2787" s="38" t="e">
        <f>Tabla1[[#This Row],[StockDisp]]*Tabla1[[#This Row],[UM producto]]</f>
        <v>#VALUE!</v>
      </c>
    </row>
    <row r="2788" spans="1:19" x14ac:dyDescent="0.35">
      <c r="A2788" s="5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6"/>
      <c r="P2788" s="23" t="e">
        <f>TRIM(Tabla1[[#This Row],[Articulo]])</f>
        <v>#VALUE!</v>
      </c>
      <c r="Q2788" s="23" t="e">
        <f>_xlfn.XLOOKUP(Tabla1[[#This Row],[Ean Normalizado]],Consumos!A:A,Consumos!E:E)</f>
        <v>#VALUE!</v>
      </c>
      <c r="R2788" s="38" t="e">
        <f>_xlfn.XLOOKUP(Tabla1[[#This Row],[Ean Normalizado]],tabla_consumos[EAN],tabla_consumos[UM])</f>
        <v>#VALUE!</v>
      </c>
      <c r="S2788" s="38" t="e">
        <f>Tabla1[[#This Row],[StockDisp]]*Tabla1[[#This Row],[UM producto]]</f>
        <v>#VALUE!</v>
      </c>
    </row>
    <row r="2789" spans="1:19" x14ac:dyDescent="0.35">
      <c r="A2789" s="5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6"/>
      <c r="P2789" s="23" t="e">
        <f>TRIM(Tabla1[[#This Row],[Articulo]])</f>
        <v>#VALUE!</v>
      </c>
      <c r="Q2789" s="23" t="e">
        <f>_xlfn.XLOOKUP(Tabla1[[#This Row],[Ean Normalizado]],Consumos!A:A,Consumos!E:E)</f>
        <v>#VALUE!</v>
      </c>
      <c r="R2789" s="38" t="e">
        <f>_xlfn.XLOOKUP(Tabla1[[#This Row],[Ean Normalizado]],tabla_consumos[EAN],tabla_consumos[UM])</f>
        <v>#VALUE!</v>
      </c>
      <c r="S2789" s="38" t="e">
        <f>Tabla1[[#This Row],[StockDisp]]*Tabla1[[#This Row],[UM producto]]</f>
        <v>#VALUE!</v>
      </c>
    </row>
    <row r="2790" spans="1:19" x14ac:dyDescent="0.35">
      <c r="A2790" s="5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6"/>
      <c r="P2790" s="23" t="e">
        <f>TRIM(Tabla1[[#This Row],[Articulo]])</f>
        <v>#VALUE!</v>
      </c>
      <c r="Q2790" s="23" t="e">
        <f>_xlfn.XLOOKUP(Tabla1[[#This Row],[Ean Normalizado]],Consumos!A:A,Consumos!E:E)</f>
        <v>#VALUE!</v>
      </c>
      <c r="R2790" s="38" t="e">
        <f>_xlfn.XLOOKUP(Tabla1[[#This Row],[Ean Normalizado]],tabla_consumos[EAN],tabla_consumos[UM])</f>
        <v>#VALUE!</v>
      </c>
      <c r="S2790" s="38" t="e">
        <f>Tabla1[[#This Row],[StockDisp]]*Tabla1[[#This Row],[UM producto]]</f>
        <v>#VALUE!</v>
      </c>
    </row>
    <row r="2791" spans="1:19" x14ac:dyDescent="0.35">
      <c r="A2791" s="5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6"/>
      <c r="P2791" s="23" t="e">
        <f>TRIM(Tabla1[[#This Row],[Articulo]])</f>
        <v>#VALUE!</v>
      </c>
      <c r="Q2791" s="23" t="e">
        <f>_xlfn.XLOOKUP(Tabla1[[#This Row],[Ean Normalizado]],Consumos!A:A,Consumos!E:E)</f>
        <v>#VALUE!</v>
      </c>
      <c r="R2791" s="38" t="e">
        <f>_xlfn.XLOOKUP(Tabla1[[#This Row],[Ean Normalizado]],tabla_consumos[EAN],tabla_consumos[UM])</f>
        <v>#VALUE!</v>
      </c>
      <c r="S2791" s="38" t="e">
        <f>Tabla1[[#This Row],[StockDisp]]*Tabla1[[#This Row],[UM producto]]</f>
        <v>#VALUE!</v>
      </c>
    </row>
    <row r="2792" spans="1:19" x14ac:dyDescent="0.35">
      <c r="A2792" s="5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6"/>
      <c r="P2792" s="23" t="e">
        <f>TRIM(Tabla1[[#This Row],[Articulo]])</f>
        <v>#VALUE!</v>
      </c>
      <c r="Q2792" s="23" t="e">
        <f>_xlfn.XLOOKUP(Tabla1[[#This Row],[Ean Normalizado]],Consumos!A:A,Consumos!E:E)</f>
        <v>#VALUE!</v>
      </c>
      <c r="R2792" s="38" t="e">
        <f>_xlfn.XLOOKUP(Tabla1[[#This Row],[Ean Normalizado]],tabla_consumos[EAN],tabla_consumos[UM])</f>
        <v>#VALUE!</v>
      </c>
      <c r="S2792" s="38" t="e">
        <f>Tabla1[[#This Row],[StockDisp]]*Tabla1[[#This Row],[UM producto]]</f>
        <v>#VALUE!</v>
      </c>
    </row>
    <row r="2793" spans="1:19" x14ac:dyDescent="0.35">
      <c r="A2793" s="5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6"/>
      <c r="P2793" s="23" t="e">
        <f>TRIM(Tabla1[[#This Row],[Articulo]])</f>
        <v>#VALUE!</v>
      </c>
      <c r="Q2793" s="23" t="e">
        <f>_xlfn.XLOOKUP(Tabla1[[#This Row],[Ean Normalizado]],Consumos!A:A,Consumos!E:E)</f>
        <v>#VALUE!</v>
      </c>
      <c r="R2793" s="38" t="e">
        <f>_xlfn.XLOOKUP(Tabla1[[#This Row],[Ean Normalizado]],tabla_consumos[EAN],tabla_consumos[UM])</f>
        <v>#VALUE!</v>
      </c>
      <c r="S2793" s="38" t="e">
        <f>Tabla1[[#This Row],[StockDisp]]*Tabla1[[#This Row],[UM producto]]</f>
        <v>#VALUE!</v>
      </c>
    </row>
    <row r="2794" spans="1:19" x14ac:dyDescent="0.35">
      <c r="A2794" s="5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6"/>
      <c r="P2794" s="23" t="e">
        <f>TRIM(Tabla1[[#This Row],[Articulo]])</f>
        <v>#VALUE!</v>
      </c>
      <c r="Q2794" s="23" t="e">
        <f>_xlfn.XLOOKUP(Tabla1[[#This Row],[Ean Normalizado]],Consumos!A:A,Consumos!E:E)</f>
        <v>#VALUE!</v>
      </c>
      <c r="R2794" s="38" t="e">
        <f>_xlfn.XLOOKUP(Tabla1[[#This Row],[Ean Normalizado]],tabla_consumos[EAN],tabla_consumos[UM])</f>
        <v>#VALUE!</v>
      </c>
      <c r="S2794" s="38" t="e">
        <f>Tabla1[[#This Row],[StockDisp]]*Tabla1[[#This Row],[UM producto]]</f>
        <v>#VALUE!</v>
      </c>
    </row>
    <row r="2795" spans="1:19" x14ac:dyDescent="0.35">
      <c r="A2795" s="5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6"/>
      <c r="P2795" s="23" t="e">
        <f>TRIM(Tabla1[[#This Row],[Articulo]])</f>
        <v>#VALUE!</v>
      </c>
      <c r="Q2795" s="23" t="e">
        <f>_xlfn.XLOOKUP(Tabla1[[#This Row],[Ean Normalizado]],Consumos!A:A,Consumos!E:E)</f>
        <v>#VALUE!</v>
      </c>
      <c r="R2795" s="38" t="e">
        <f>_xlfn.XLOOKUP(Tabla1[[#This Row],[Ean Normalizado]],tabla_consumos[EAN],tabla_consumos[UM])</f>
        <v>#VALUE!</v>
      </c>
      <c r="S2795" s="38" t="e">
        <f>Tabla1[[#This Row],[StockDisp]]*Tabla1[[#This Row],[UM producto]]</f>
        <v>#VALUE!</v>
      </c>
    </row>
    <row r="2796" spans="1:19" x14ac:dyDescent="0.35">
      <c r="A2796" s="5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6"/>
      <c r="P2796" s="23" t="e">
        <f>TRIM(Tabla1[[#This Row],[Articulo]])</f>
        <v>#VALUE!</v>
      </c>
      <c r="Q2796" s="23" t="e">
        <f>_xlfn.XLOOKUP(Tabla1[[#This Row],[Ean Normalizado]],Consumos!A:A,Consumos!E:E)</f>
        <v>#VALUE!</v>
      </c>
      <c r="R2796" s="38" t="e">
        <f>_xlfn.XLOOKUP(Tabla1[[#This Row],[Ean Normalizado]],tabla_consumos[EAN],tabla_consumos[UM])</f>
        <v>#VALUE!</v>
      </c>
      <c r="S2796" s="38" t="e">
        <f>Tabla1[[#This Row],[StockDisp]]*Tabla1[[#This Row],[UM producto]]</f>
        <v>#VALUE!</v>
      </c>
    </row>
    <row r="2797" spans="1:19" x14ac:dyDescent="0.35">
      <c r="A2797" s="5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6"/>
      <c r="P2797" s="23" t="e">
        <f>TRIM(Tabla1[[#This Row],[Articulo]])</f>
        <v>#VALUE!</v>
      </c>
      <c r="Q2797" s="23" t="e">
        <f>_xlfn.XLOOKUP(Tabla1[[#This Row],[Ean Normalizado]],Consumos!A:A,Consumos!E:E)</f>
        <v>#VALUE!</v>
      </c>
      <c r="R2797" s="38" t="e">
        <f>_xlfn.XLOOKUP(Tabla1[[#This Row],[Ean Normalizado]],tabla_consumos[EAN],tabla_consumos[UM])</f>
        <v>#VALUE!</v>
      </c>
      <c r="S2797" s="38" t="e">
        <f>Tabla1[[#This Row],[StockDisp]]*Tabla1[[#This Row],[UM producto]]</f>
        <v>#VALUE!</v>
      </c>
    </row>
    <row r="2798" spans="1:19" x14ac:dyDescent="0.35">
      <c r="A2798" s="5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6"/>
      <c r="P2798" s="23" t="e">
        <f>TRIM(Tabla1[[#This Row],[Articulo]])</f>
        <v>#VALUE!</v>
      </c>
      <c r="Q2798" s="23" t="e">
        <f>_xlfn.XLOOKUP(Tabla1[[#This Row],[Ean Normalizado]],Consumos!A:A,Consumos!E:E)</f>
        <v>#VALUE!</v>
      </c>
      <c r="R2798" s="38" t="e">
        <f>_xlfn.XLOOKUP(Tabla1[[#This Row],[Ean Normalizado]],tabla_consumos[EAN],tabla_consumos[UM])</f>
        <v>#VALUE!</v>
      </c>
      <c r="S2798" s="38" t="e">
        <f>Tabla1[[#This Row],[StockDisp]]*Tabla1[[#This Row],[UM producto]]</f>
        <v>#VALUE!</v>
      </c>
    </row>
    <row r="2799" spans="1:19" x14ac:dyDescent="0.35">
      <c r="A2799" s="5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6"/>
      <c r="P2799" s="23" t="e">
        <f>TRIM(Tabla1[[#This Row],[Articulo]])</f>
        <v>#VALUE!</v>
      </c>
      <c r="Q2799" s="23" t="e">
        <f>_xlfn.XLOOKUP(Tabla1[[#This Row],[Ean Normalizado]],Consumos!A:A,Consumos!E:E)</f>
        <v>#VALUE!</v>
      </c>
      <c r="R2799" s="38" t="e">
        <f>_xlfn.XLOOKUP(Tabla1[[#This Row],[Ean Normalizado]],tabla_consumos[EAN],tabla_consumos[UM])</f>
        <v>#VALUE!</v>
      </c>
      <c r="S2799" s="38" t="e">
        <f>Tabla1[[#This Row],[StockDisp]]*Tabla1[[#This Row],[UM producto]]</f>
        <v>#VALUE!</v>
      </c>
    </row>
    <row r="2800" spans="1:19" x14ac:dyDescent="0.35">
      <c r="A2800" s="5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6"/>
      <c r="P2800" s="23" t="e">
        <f>TRIM(Tabla1[[#This Row],[Articulo]])</f>
        <v>#VALUE!</v>
      </c>
      <c r="Q2800" s="23" t="e">
        <f>_xlfn.XLOOKUP(Tabla1[[#This Row],[Ean Normalizado]],Consumos!A:A,Consumos!E:E)</f>
        <v>#VALUE!</v>
      </c>
      <c r="R2800" s="38" t="e">
        <f>_xlfn.XLOOKUP(Tabla1[[#This Row],[Ean Normalizado]],tabla_consumos[EAN],tabla_consumos[UM])</f>
        <v>#VALUE!</v>
      </c>
      <c r="S2800" s="38" t="e">
        <f>Tabla1[[#This Row],[StockDisp]]*Tabla1[[#This Row],[UM producto]]</f>
        <v>#VALUE!</v>
      </c>
    </row>
    <row r="2801" spans="1:19" x14ac:dyDescent="0.35">
      <c r="A2801" s="5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6"/>
      <c r="P2801" s="23" t="e">
        <f>TRIM(Tabla1[[#This Row],[Articulo]])</f>
        <v>#VALUE!</v>
      </c>
      <c r="Q2801" s="23" t="e">
        <f>_xlfn.XLOOKUP(Tabla1[[#This Row],[Ean Normalizado]],Consumos!A:A,Consumos!E:E)</f>
        <v>#VALUE!</v>
      </c>
      <c r="R2801" s="38" t="e">
        <f>_xlfn.XLOOKUP(Tabla1[[#This Row],[Ean Normalizado]],tabla_consumos[EAN],tabla_consumos[UM])</f>
        <v>#VALUE!</v>
      </c>
      <c r="S2801" s="38" t="e">
        <f>Tabla1[[#This Row],[StockDisp]]*Tabla1[[#This Row],[UM producto]]</f>
        <v>#VALUE!</v>
      </c>
    </row>
    <row r="2802" spans="1:19" x14ac:dyDescent="0.35">
      <c r="A2802" s="5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6"/>
      <c r="P2802" s="23" t="e">
        <f>TRIM(Tabla1[[#This Row],[Articulo]])</f>
        <v>#VALUE!</v>
      </c>
      <c r="Q2802" s="23" t="e">
        <f>_xlfn.XLOOKUP(Tabla1[[#This Row],[Ean Normalizado]],Consumos!A:A,Consumos!E:E)</f>
        <v>#VALUE!</v>
      </c>
      <c r="R2802" s="38" t="e">
        <f>_xlfn.XLOOKUP(Tabla1[[#This Row],[Ean Normalizado]],tabla_consumos[EAN],tabla_consumos[UM])</f>
        <v>#VALUE!</v>
      </c>
      <c r="S2802" s="38" t="e">
        <f>Tabla1[[#This Row],[StockDisp]]*Tabla1[[#This Row],[UM producto]]</f>
        <v>#VALUE!</v>
      </c>
    </row>
    <row r="2803" spans="1:19" x14ac:dyDescent="0.35">
      <c r="A2803" s="5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6"/>
      <c r="P2803" s="23" t="e">
        <f>TRIM(Tabla1[[#This Row],[Articulo]])</f>
        <v>#VALUE!</v>
      </c>
      <c r="Q2803" s="23" t="e">
        <f>_xlfn.XLOOKUP(Tabla1[[#This Row],[Ean Normalizado]],Consumos!A:A,Consumos!E:E)</f>
        <v>#VALUE!</v>
      </c>
      <c r="R2803" s="38" t="e">
        <f>_xlfn.XLOOKUP(Tabla1[[#This Row],[Ean Normalizado]],tabla_consumos[EAN],tabla_consumos[UM])</f>
        <v>#VALUE!</v>
      </c>
      <c r="S2803" s="38" t="e">
        <f>Tabla1[[#This Row],[StockDisp]]*Tabla1[[#This Row],[UM producto]]</f>
        <v>#VALUE!</v>
      </c>
    </row>
    <row r="2804" spans="1:19" x14ac:dyDescent="0.35">
      <c r="A2804" s="5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6"/>
      <c r="P2804" s="23" t="e">
        <f>TRIM(Tabla1[[#This Row],[Articulo]])</f>
        <v>#VALUE!</v>
      </c>
      <c r="Q2804" s="23" t="e">
        <f>_xlfn.XLOOKUP(Tabla1[[#This Row],[Ean Normalizado]],Consumos!A:A,Consumos!E:E)</f>
        <v>#VALUE!</v>
      </c>
      <c r="R2804" s="38" t="e">
        <f>_xlfn.XLOOKUP(Tabla1[[#This Row],[Ean Normalizado]],tabla_consumos[EAN],tabla_consumos[UM])</f>
        <v>#VALUE!</v>
      </c>
      <c r="S2804" s="38" t="e">
        <f>Tabla1[[#This Row],[StockDisp]]*Tabla1[[#This Row],[UM producto]]</f>
        <v>#VALUE!</v>
      </c>
    </row>
    <row r="2805" spans="1:19" x14ac:dyDescent="0.35">
      <c r="A2805" s="5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6"/>
      <c r="P2805" s="23" t="e">
        <f>TRIM(Tabla1[[#This Row],[Articulo]])</f>
        <v>#VALUE!</v>
      </c>
      <c r="Q2805" s="23" t="e">
        <f>_xlfn.XLOOKUP(Tabla1[[#This Row],[Ean Normalizado]],Consumos!A:A,Consumos!E:E)</f>
        <v>#VALUE!</v>
      </c>
      <c r="R2805" s="38" t="e">
        <f>_xlfn.XLOOKUP(Tabla1[[#This Row],[Ean Normalizado]],tabla_consumos[EAN],tabla_consumos[UM])</f>
        <v>#VALUE!</v>
      </c>
      <c r="S2805" s="38" t="e">
        <f>Tabla1[[#This Row],[StockDisp]]*Tabla1[[#This Row],[UM producto]]</f>
        <v>#VALUE!</v>
      </c>
    </row>
    <row r="2806" spans="1:19" x14ac:dyDescent="0.35">
      <c r="A2806" s="5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6"/>
      <c r="P2806" s="23" t="e">
        <f>TRIM(Tabla1[[#This Row],[Articulo]])</f>
        <v>#VALUE!</v>
      </c>
      <c r="Q2806" s="23" t="e">
        <f>_xlfn.XLOOKUP(Tabla1[[#This Row],[Ean Normalizado]],Consumos!A:A,Consumos!E:E)</f>
        <v>#VALUE!</v>
      </c>
      <c r="R2806" s="38" t="e">
        <f>_xlfn.XLOOKUP(Tabla1[[#This Row],[Ean Normalizado]],tabla_consumos[EAN],tabla_consumos[UM])</f>
        <v>#VALUE!</v>
      </c>
      <c r="S2806" s="38" t="e">
        <f>Tabla1[[#This Row],[StockDisp]]*Tabla1[[#This Row],[UM producto]]</f>
        <v>#VALUE!</v>
      </c>
    </row>
    <row r="2807" spans="1:19" x14ac:dyDescent="0.35">
      <c r="A2807" s="5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6"/>
      <c r="P2807" s="23" t="e">
        <f>TRIM(Tabla1[[#This Row],[Articulo]])</f>
        <v>#VALUE!</v>
      </c>
      <c r="Q2807" s="23" t="e">
        <f>_xlfn.XLOOKUP(Tabla1[[#This Row],[Ean Normalizado]],Consumos!A:A,Consumos!E:E)</f>
        <v>#VALUE!</v>
      </c>
      <c r="R2807" s="38" t="e">
        <f>_xlfn.XLOOKUP(Tabla1[[#This Row],[Ean Normalizado]],tabla_consumos[EAN],tabla_consumos[UM])</f>
        <v>#VALUE!</v>
      </c>
      <c r="S2807" s="38" t="e">
        <f>Tabla1[[#This Row],[StockDisp]]*Tabla1[[#This Row],[UM producto]]</f>
        <v>#VALUE!</v>
      </c>
    </row>
    <row r="2808" spans="1:19" x14ac:dyDescent="0.35">
      <c r="A2808" s="5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6"/>
      <c r="P2808" s="23" t="e">
        <f>TRIM(Tabla1[[#This Row],[Articulo]])</f>
        <v>#VALUE!</v>
      </c>
      <c r="Q2808" s="23" t="e">
        <f>_xlfn.XLOOKUP(Tabla1[[#This Row],[Ean Normalizado]],Consumos!A:A,Consumos!E:E)</f>
        <v>#VALUE!</v>
      </c>
      <c r="R2808" s="38" t="e">
        <f>_xlfn.XLOOKUP(Tabla1[[#This Row],[Ean Normalizado]],tabla_consumos[EAN],tabla_consumos[UM])</f>
        <v>#VALUE!</v>
      </c>
      <c r="S2808" s="38" t="e">
        <f>Tabla1[[#This Row],[StockDisp]]*Tabla1[[#This Row],[UM producto]]</f>
        <v>#VALUE!</v>
      </c>
    </row>
    <row r="2809" spans="1:19" x14ac:dyDescent="0.35">
      <c r="A2809" s="5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6"/>
      <c r="P2809" s="23" t="e">
        <f>TRIM(Tabla1[[#This Row],[Articulo]])</f>
        <v>#VALUE!</v>
      </c>
      <c r="Q2809" s="23" t="e">
        <f>_xlfn.XLOOKUP(Tabla1[[#This Row],[Ean Normalizado]],Consumos!A:A,Consumos!E:E)</f>
        <v>#VALUE!</v>
      </c>
      <c r="R2809" s="38" t="e">
        <f>_xlfn.XLOOKUP(Tabla1[[#This Row],[Ean Normalizado]],tabla_consumos[EAN],tabla_consumos[UM])</f>
        <v>#VALUE!</v>
      </c>
      <c r="S2809" s="38" t="e">
        <f>Tabla1[[#This Row],[StockDisp]]*Tabla1[[#This Row],[UM producto]]</f>
        <v>#VALUE!</v>
      </c>
    </row>
    <row r="2810" spans="1:19" x14ac:dyDescent="0.35">
      <c r="A2810" s="5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6"/>
      <c r="P2810" s="23" t="e">
        <f>TRIM(Tabla1[[#This Row],[Articulo]])</f>
        <v>#VALUE!</v>
      </c>
      <c r="Q2810" s="23" t="e">
        <f>_xlfn.XLOOKUP(Tabla1[[#This Row],[Ean Normalizado]],Consumos!A:A,Consumos!E:E)</f>
        <v>#VALUE!</v>
      </c>
      <c r="R2810" s="38" t="e">
        <f>_xlfn.XLOOKUP(Tabla1[[#This Row],[Ean Normalizado]],tabla_consumos[EAN],tabla_consumos[UM])</f>
        <v>#VALUE!</v>
      </c>
      <c r="S2810" s="38" t="e">
        <f>Tabla1[[#This Row],[StockDisp]]*Tabla1[[#This Row],[UM producto]]</f>
        <v>#VALUE!</v>
      </c>
    </row>
    <row r="2811" spans="1:19" x14ac:dyDescent="0.35">
      <c r="A2811" s="5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6"/>
      <c r="P2811" s="23" t="e">
        <f>TRIM(Tabla1[[#This Row],[Articulo]])</f>
        <v>#VALUE!</v>
      </c>
      <c r="Q2811" s="23" t="e">
        <f>_xlfn.XLOOKUP(Tabla1[[#This Row],[Ean Normalizado]],Consumos!A:A,Consumos!E:E)</f>
        <v>#VALUE!</v>
      </c>
      <c r="R2811" s="38" t="e">
        <f>_xlfn.XLOOKUP(Tabla1[[#This Row],[Ean Normalizado]],tabla_consumos[EAN],tabla_consumos[UM])</f>
        <v>#VALUE!</v>
      </c>
      <c r="S2811" s="38" t="e">
        <f>Tabla1[[#This Row],[StockDisp]]*Tabla1[[#This Row],[UM producto]]</f>
        <v>#VALUE!</v>
      </c>
    </row>
    <row r="2812" spans="1:19" x14ac:dyDescent="0.35">
      <c r="A2812" s="5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6"/>
      <c r="P2812" s="23" t="e">
        <f>TRIM(Tabla1[[#This Row],[Articulo]])</f>
        <v>#VALUE!</v>
      </c>
      <c r="Q2812" s="23" t="e">
        <f>_xlfn.XLOOKUP(Tabla1[[#This Row],[Ean Normalizado]],Consumos!A:A,Consumos!E:E)</f>
        <v>#VALUE!</v>
      </c>
      <c r="R2812" s="38" t="e">
        <f>_xlfn.XLOOKUP(Tabla1[[#This Row],[Ean Normalizado]],tabla_consumos[EAN],tabla_consumos[UM])</f>
        <v>#VALUE!</v>
      </c>
      <c r="S2812" s="38" t="e">
        <f>Tabla1[[#This Row],[StockDisp]]*Tabla1[[#This Row],[UM producto]]</f>
        <v>#VALUE!</v>
      </c>
    </row>
    <row r="2813" spans="1:19" x14ac:dyDescent="0.35">
      <c r="A2813" s="5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6"/>
      <c r="P2813" s="23" t="e">
        <f>TRIM(Tabla1[[#This Row],[Articulo]])</f>
        <v>#VALUE!</v>
      </c>
      <c r="Q2813" s="23" t="e">
        <f>_xlfn.XLOOKUP(Tabla1[[#This Row],[Ean Normalizado]],Consumos!A:A,Consumos!E:E)</f>
        <v>#VALUE!</v>
      </c>
      <c r="R2813" s="38" t="e">
        <f>_xlfn.XLOOKUP(Tabla1[[#This Row],[Ean Normalizado]],tabla_consumos[EAN],tabla_consumos[UM])</f>
        <v>#VALUE!</v>
      </c>
      <c r="S2813" s="38" t="e">
        <f>Tabla1[[#This Row],[StockDisp]]*Tabla1[[#This Row],[UM producto]]</f>
        <v>#VALUE!</v>
      </c>
    </row>
    <row r="2814" spans="1:19" x14ac:dyDescent="0.35">
      <c r="A2814" s="5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6"/>
      <c r="P2814" s="23" t="e">
        <f>TRIM(Tabla1[[#This Row],[Articulo]])</f>
        <v>#VALUE!</v>
      </c>
      <c r="Q2814" s="23" t="e">
        <f>_xlfn.XLOOKUP(Tabla1[[#This Row],[Ean Normalizado]],Consumos!A:A,Consumos!E:E)</f>
        <v>#VALUE!</v>
      </c>
      <c r="R2814" s="38" t="e">
        <f>_xlfn.XLOOKUP(Tabla1[[#This Row],[Ean Normalizado]],tabla_consumos[EAN],tabla_consumos[UM])</f>
        <v>#VALUE!</v>
      </c>
      <c r="S2814" s="38" t="e">
        <f>Tabla1[[#This Row],[StockDisp]]*Tabla1[[#This Row],[UM producto]]</f>
        <v>#VALUE!</v>
      </c>
    </row>
    <row r="2815" spans="1:19" x14ac:dyDescent="0.35">
      <c r="A2815" s="5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6"/>
      <c r="P2815" s="23" t="e">
        <f>TRIM(Tabla1[[#This Row],[Articulo]])</f>
        <v>#VALUE!</v>
      </c>
      <c r="Q2815" s="23" t="e">
        <f>_xlfn.XLOOKUP(Tabla1[[#This Row],[Ean Normalizado]],Consumos!A:A,Consumos!E:E)</f>
        <v>#VALUE!</v>
      </c>
      <c r="R2815" s="38" t="e">
        <f>_xlfn.XLOOKUP(Tabla1[[#This Row],[Ean Normalizado]],tabla_consumos[EAN],tabla_consumos[UM])</f>
        <v>#VALUE!</v>
      </c>
      <c r="S2815" s="38" t="e">
        <f>Tabla1[[#This Row],[StockDisp]]*Tabla1[[#This Row],[UM producto]]</f>
        <v>#VALUE!</v>
      </c>
    </row>
    <row r="2816" spans="1:19" x14ac:dyDescent="0.35">
      <c r="A2816" s="5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6"/>
      <c r="P2816" s="23" t="e">
        <f>TRIM(Tabla1[[#This Row],[Articulo]])</f>
        <v>#VALUE!</v>
      </c>
      <c r="Q2816" s="23" t="e">
        <f>_xlfn.XLOOKUP(Tabla1[[#This Row],[Ean Normalizado]],Consumos!A:A,Consumos!E:E)</f>
        <v>#VALUE!</v>
      </c>
      <c r="R2816" s="38" t="e">
        <f>_xlfn.XLOOKUP(Tabla1[[#This Row],[Ean Normalizado]],tabla_consumos[EAN],tabla_consumos[UM])</f>
        <v>#VALUE!</v>
      </c>
      <c r="S2816" s="38" t="e">
        <f>Tabla1[[#This Row],[StockDisp]]*Tabla1[[#This Row],[UM producto]]</f>
        <v>#VALUE!</v>
      </c>
    </row>
    <row r="2817" spans="1:19" x14ac:dyDescent="0.35">
      <c r="A2817" s="5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6"/>
      <c r="P2817" s="23" t="e">
        <f>TRIM(Tabla1[[#This Row],[Articulo]])</f>
        <v>#VALUE!</v>
      </c>
      <c r="Q2817" s="23" t="e">
        <f>_xlfn.XLOOKUP(Tabla1[[#This Row],[Ean Normalizado]],Consumos!A:A,Consumos!E:E)</f>
        <v>#VALUE!</v>
      </c>
      <c r="R2817" s="38" t="e">
        <f>_xlfn.XLOOKUP(Tabla1[[#This Row],[Ean Normalizado]],tabla_consumos[EAN],tabla_consumos[UM])</f>
        <v>#VALUE!</v>
      </c>
      <c r="S2817" s="38" t="e">
        <f>Tabla1[[#This Row],[StockDisp]]*Tabla1[[#This Row],[UM producto]]</f>
        <v>#VALUE!</v>
      </c>
    </row>
    <row r="2818" spans="1:19" x14ac:dyDescent="0.35">
      <c r="A2818" s="5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6"/>
      <c r="P2818" s="23" t="e">
        <f>TRIM(Tabla1[[#This Row],[Articulo]])</f>
        <v>#VALUE!</v>
      </c>
      <c r="Q2818" s="23" t="e">
        <f>_xlfn.XLOOKUP(Tabla1[[#This Row],[Ean Normalizado]],Consumos!A:A,Consumos!E:E)</f>
        <v>#VALUE!</v>
      </c>
      <c r="R2818" s="38" t="e">
        <f>_xlfn.XLOOKUP(Tabla1[[#This Row],[Ean Normalizado]],tabla_consumos[EAN],tabla_consumos[UM])</f>
        <v>#VALUE!</v>
      </c>
      <c r="S2818" s="38" t="e">
        <f>Tabla1[[#This Row],[StockDisp]]*Tabla1[[#This Row],[UM producto]]</f>
        <v>#VALUE!</v>
      </c>
    </row>
    <row r="2819" spans="1:19" x14ac:dyDescent="0.35">
      <c r="A2819" s="5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6"/>
      <c r="P2819" s="23" t="e">
        <f>TRIM(Tabla1[[#This Row],[Articulo]])</f>
        <v>#VALUE!</v>
      </c>
      <c r="Q2819" s="23" t="e">
        <f>_xlfn.XLOOKUP(Tabla1[[#This Row],[Ean Normalizado]],Consumos!A:A,Consumos!E:E)</f>
        <v>#VALUE!</v>
      </c>
      <c r="R2819" s="38" t="e">
        <f>_xlfn.XLOOKUP(Tabla1[[#This Row],[Ean Normalizado]],tabla_consumos[EAN],tabla_consumos[UM])</f>
        <v>#VALUE!</v>
      </c>
      <c r="S2819" s="38" t="e">
        <f>Tabla1[[#This Row],[StockDisp]]*Tabla1[[#This Row],[UM producto]]</f>
        <v>#VALUE!</v>
      </c>
    </row>
    <row r="2820" spans="1:19" x14ac:dyDescent="0.35">
      <c r="A2820" s="5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6"/>
      <c r="P2820" s="23" t="e">
        <f>TRIM(Tabla1[[#This Row],[Articulo]])</f>
        <v>#VALUE!</v>
      </c>
      <c r="Q2820" s="23" t="e">
        <f>_xlfn.XLOOKUP(Tabla1[[#This Row],[Ean Normalizado]],Consumos!A:A,Consumos!E:E)</f>
        <v>#VALUE!</v>
      </c>
      <c r="R2820" s="38" t="e">
        <f>_xlfn.XLOOKUP(Tabla1[[#This Row],[Ean Normalizado]],tabla_consumos[EAN],tabla_consumos[UM])</f>
        <v>#VALUE!</v>
      </c>
      <c r="S2820" s="38" t="e">
        <f>Tabla1[[#This Row],[StockDisp]]*Tabla1[[#This Row],[UM producto]]</f>
        <v>#VALUE!</v>
      </c>
    </row>
    <row r="2821" spans="1:19" x14ac:dyDescent="0.35">
      <c r="A2821" s="5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6"/>
      <c r="P2821" s="23" t="e">
        <f>TRIM(Tabla1[[#This Row],[Articulo]])</f>
        <v>#VALUE!</v>
      </c>
      <c r="Q2821" s="23" t="e">
        <f>_xlfn.XLOOKUP(Tabla1[[#This Row],[Ean Normalizado]],Consumos!A:A,Consumos!E:E)</f>
        <v>#VALUE!</v>
      </c>
      <c r="R2821" s="38" t="e">
        <f>_xlfn.XLOOKUP(Tabla1[[#This Row],[Ean Normalizado]],tabla_consumos[EAN],tabla_consumos[UM])</f>
        <v>#VALUE!</v>
      </c>
      <c r="S2821" s="38" t="e">
        <f>Tabla1[[#This Row],[StockDisp]]*Tabla1[[#This Row],[UM producto]]</f>
        <v>#VALUE!</v>
      </c>
    </row>
    <row r="2822" spans="1:19" x14ac:dyDescent="0.35">
      <c r="A2822" s="5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6"/>
      <c r="P2822" s="23" t="e">
        <f>TRIM(Tabla1[[#This Row],[Articulo]])</f>
        <v>#VALUE!</v>
      </c>
      <c r="Q2822" s="23" t="e">
        <f>_xlfn.XLOOKUP(Tabla1[[#This Row],[Ean Normalizado]],Consumos!A:A,Consumos!E:E)</f>
        <v>#VALUE!</v>
      </c>
      <c r="R2822" s="38" t="e">
        <f>_xlfn.XLOOKUP(Tabla1[[#This Row],[Ean Normalizado]],tabla_consumos[EAN],tabla_consumos[UM])</f>
        <v>#VALUE!</v>
      </c>
      <c r="S2822" s="38" t="e">
        <f>Tabla1[[#This Row],[StockDisp]]*Tabla1[[#This Row],[UM producto]]</f>
        <v>#VALUE!</v>
      </c>
    </row>
    <row r="2823" spans="1:19" x14ac:dyDescent="0.35">
      <c r="A2823" s="5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6"/>
      <c r="P2823" s="23" t="e">
        <f>TRIM(Tabla1[[#This Row],[Articulo]])</f>
        <v>#VALUE!</v>
      </c>
      <c r="Q2823" s="23" t="e">
        <f>_xlfn.XLOOKUP(Tabla1[[#This Row],[Ean Normalizado]],Consumos!A:A,Consumos!E:E)</f>
        <v>#VALUE!</v>
      </c>
      <c r="R2823" s="38" t="e">
        <f>_xlfn.XLOOKUP(Tabla1[[#This Row],[Ean Normalizado]],tabla_consumos[EAN],tabla_consumos[UM])</f>
        <v>#VALUE!</v>
      </c>
      <c r="S2823" s="38" t="e">
        <f>Tabla1[[#This Row],[StockDisp]]*Tabla1[[#This Row],[UM producto]]</f>
        <v>#VALUE!</v>
      </c>
    </row>
    <row r="2824" spans="1:19" x14ac:dyDescent="0.35">
      <c r="A2824" s="5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6"/>
      <c r="P2824" s="23" t="e">
        <f>TRIM(Tabla1[[#This Row],[Articulo]])</f>
        <v>#VALUE!</v>
      </c>
      <c r="Q2824" s="23" t="e">
        <f>_xlfn.XLOOKUP(Tabla1[[#This Row],[Ean Normalizado]],Consumos!A:A,Consumos!E:E)</f>
        <v>#VALUE!</v>
      </c>
      <c r="R2824" s="38" t="e">
        <f>_xlfn.XLOOKUP(Tabla1[[#This Row],[Ean Normalizado]],tabla_consumos[EAN],tabla_consumos[UM])</f>
        <v>#VALUE!</v>
      </c>
      <c r="S2824" s="38" t="e">
        <f>Tabla1[[#This Row],[StockDisp]]*Tabla1[[#This Row],[UM producto]]</f>
        <v>#VALUE!</v>
      </c>
    </row>
    <row r="2825" spans="1:19" x14ac:dyDescent="0.35">
      <c r="A2825" s="5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6"/>
      <c r="P2825" s="23" t="e">
        <f>TRIM(Tabla1[[#This Row],[Articulo]])</f>
        <v>#VALUE!</v>
      </c>
      <c r="Q2825" s="23" t="e">
        <f>_xlfn.XLOOKUP(Tabla1[[#This Row],[Ean Normalizado]],Consumos!A:A,Consumos!E:E)</f>
        <v>#VALUE!</v>
      </c>
      <c r="R2825" s="38" t="e">
        <f>_xlfn.XLOOKUP(Tabla1[[#This Row],[Ean Normalizado]],tabla_consumos[EAN],tabla_consumos[UM])</f>
        <v>#VALUE!</v>
      </c>
      <c r="S2825" s="38" t="e">
        <f>Tabla1[[#This Row],[StockDisp]]*Tabla1[[#This Row],[UM producto]]</f>
        <v>#VALUE!</v>
      </c>
    </row>
    <row r="2826" spans="1:19" x14ac:dyDescent="0.35">
      <c r="A2826" s="5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6"/>
      <c r="P2826" s="23" t="e">
        <f>TRIM(Tabla1[[#This Row],[Articulo]])</f>
        <v>#VALUE!</v>
      </c>
      <c r="Q2826" s="23" t="e">
        <f>_xlfn.XLOOKUP(Tabla1[[#This Row],[Ean Normalizado]],Consumos!A:A,Consumos!E:E)</f>
        <v>#VALUE!</v>
      </c>
      <c r="R2826" s="38" t="e">
        <f>_xlfn.XLOOKUP(Tabla1[[#This Row],[Ean Normalizado]],tabla_consumos[EAN],tabla_consumos[UM])</f>
        <v>#VALUE!</v>
      </c>
      <c r="S2826" s="38" t="e">
        <f>Tabla1[[#This Row],[StockDisp]]*Tabla1[[#This Row],[UM producto]]</f>
        <v>#VALUE!</v>
      </c>
    </row>
    <row r="2827" spans="1:19" x14ac:dyDescent="0.35">
      <c r="A2827" s="5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6"/>
      <c r="P2827" s="23" t="e">
        <f>TRIM(Tabla1[[#This Row],[Articulo]])</f>
        <v>#VALUE!</v>
      </c>
      <c r="Q2827" s="23" t="e">
        <f>_xlfn.XLOOKUP(Tabla1[[#This Row],[Ean Normalizado]],Consumos!A:A,Consumos!E:E)</f>
        <v>#VALUE!</v>
      </c>
      <c r="R2827" s="38" t="e">
        <f>_xlfn.XLOOKUP(Tabla1[[#This Row],[Ean Normalizado]],tabla_consumos[EAN],tabla_consumos[UM])</f>
        <v>#VALUE!</v>
      </c>
      <c r="S2827" s="38" t="e">
        <f>Tabla1[[#This Row],[StockDisp]]*Tabla1[[#This Row],[UM producto]]</f>
        <v>#VALUE!</v>
      </c>
    </row>
    <row r="2828" spans="1:19" x14ac:dyDescent="0.35">
      <c r="A2828" s="5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6"/>
      <c r="P2828" s="23" t="e">
        <f>TRIM(Tabla1[[#This Row],[Articulo]])</f>
        <v>#VALUE!</v>
      </c>
      <c r="Q2828" s="23" t="e">
        <f>_xlfn.XLOOKUP(Tabla1[[#This Row],[Ean Normalizado]],Consumos!A:A,Consumos!E:E)</f>
        <v>#VALUE!</v>
      </c>
      <c r="R2828" s="38" t="e">
        <f>_xlfn.XLOOKUP(Tabla1[[#This Row],[Ean Normalizado]],tabla_consumos[EAN],tabla_consumos[UM])</f>
        <v>#VALUE!</v>
      </c>
      <c r="S2828" s="38" t="e">
        <f>Tabla1[[#This Row],[StockDisp]]*Tabla1[[#This Row],[UM producto]]</f>
        <v>#VALUE!</v>
      </c>
    </row>
    <row r="2829" spans="1:19" x14ac:dyDescent="0.35">
      <c r="A2829" s="5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6"/>
      <c r="P2829" s="23" t="e">
        <f>TRIM(Tabla1[[#This Row],[Articulo]])</f>
        <v>#VALUE!</v>
      </c>
      <c r="Q2829" s="23" t="e">
        <f>_xlfn.XLOOKUP(Tabla1[[#This Row],[Ean Normalizado]],Consumos!A:A,Consumos!E:E)</f>
        <v>#VALUE!</v>
      </c>
      <c r="R2829" s="38" t="e">
        <f>_xlfn.XLOOKUP(Tabla1[[#This Row],[Ean Normalizado]],tabla_consumos[EAN],tabla_consumos[UM])</f>
        <v>#VALUE!</v>
      </c>
      <c r="S2829" s="38" t="e">
        <f>Tabla1[[#This Row],[StockDisp]]*Tabla1[[#This Row],[UM producto]]</f>
        <v>#VALUE!</v>
      </c>
    </row>
    <row r="2830" spans="1:19" x14ac:dyDescent="0.35">
      <c r="A2830" s="5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6"/>
      <c r="P2830" s="23" t="e">
        <f>TRIM(Tabla1[[#This Row],[Articulo]])</f>
        <v>#VALUE!</v>
      </c>
      <c r="Q2830" s="23" t="e">
        <f>_xlfn.XLOOKUP(Tabla1[[#This Row],[Ean Normalizado]],Consumos!A:A,Consumos!E:E)</f>
        <v>#VALUE!</v>
      </c>
      <c r="R2830" s="38" t="e">
        <f>_xlfn.XLOOKUP(Tabla1[[#This Row],[Ean Normalizado]],tabla_consumos[EAN],tabla_consumos[UM])</f>
        <v>#VALUE!</v>
      </c>
      <c r="S2830" s="38" t="e">
        <f>Tabla1[[#This Row],[StockDisp]]*Tabla1[[#This Row],[UM producto]]</f>
        <v>#VALUE!</v>
      </c>
    </row>
    <row r="2831" spans="1:19" x14ac:dyDescent="0.35">
      <c r="A2831" s="5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6"/>
      <c r="P2831" s="23" t="e">
        <f>TRIM(Tabla1[[#This Row],[Articulo]])</f>
        <v>#VALUE!</v>
      </c>
      <c r="Q2831" s="23" t="e">
        <f>_xlfn.XLOOKUP(Tabla1[[#This Row],[Ean Normalizado]],Consumos!A:A,Consumos!E:E)</f>
        <v>#VALUE!</v>
      </c>
      <c r="R2831" s="38" t="e">
        <f>_xlfn.XLOOKUP(Tabla1[[#This Row],[Ean Normalizado]],tabla_consumos[EAN],tabla_consumos[UM])</f>
        <v>#VALUE!</v>
      </c>
      <c r="S2831" s="38" t="e">
        <f>Tabla1[[#This Row],[StockDisp]]*Tabla1[[#This Row],[UM producto]]</f>
        <v>#VALUE!</v>
      </c>
    </row>
    <row r="2832" spans="1:19" x14ac:dyDescent="0.35">
      <c r="A2832" s="5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6"/>
      <c r="P2832" s="23" t="e">
        <f>TRIM(Tabla1[[#This Row],[Articulo]])</f>
        <v>#VALUE!</v>
      </c>
      <c r="Q2832" s="23" t="e">
        <f>_xlfn.XLOOKUP(Tabla1[[#This Row],[Ean Normalizado]],Consumos!A:A,Consumos!E:E)</f>
        <v>#VALUE!</v>
      </c>
      <c r="R2832" s="38" t="e">
        <f>_xlfn.XLOOKUP(Tabla1[[#This Row],[Ean Normalizado]],tabla_consumos[EAN],tabla_consumos[UM])</f>
        <v>#VALUE!</v>
      </c>
      <c r="S2832" s="38" t="e">
        <f>Tabla1[[#This Row],[StockDisp]]*Tabla1[[#This Row],[UM producto]]</f>
        <v>#VALUE!</v>
      </c>
    </row>
    <row r="2833" spans="1:19" x14ac:dyDescent="0.35">
      <c r="A2833" s="5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6"/>
      <c r="P2833" s="23" t="e">
        <f>TRIM(Tabla1[[#This Row],[Articulo]])</f>
        <v>#VALUE!</v>
      </c>
      <c r="Q2833" s="23" t="e">
        <f>_xlfn.XLOOKUP(Tabla1[[#This Row],[Ean Normalizado]],Consumos!A:A,Consumos!E:E)</f>
        <v>#VALUE!</v>
      </c>
      <c r="R2833" s="38" t="e">
        <f>_xlfn.XLOOKUP(Tabla1[[#This Row],[Ean Normalizado]],tabla_consumos[EAN],tabla_consumos[UM])</f>
        <v>#VALUE!</v>
      </c>
      <c r="S2833" s="38" t="e">
        <f>Tabla1[[#This Row],[StockDisp]]*Tabla1[[#This Row],[UM producto]]</f>
        <v>#VALUE!</v>
      </c>
    </row>
    <row r="2834" spans="1:19" x14ac:dyDescent="0.35">
      <c r="A2834" s="5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6"/>
      <c r="P2834" s="23" t="e">
        <f>TRIM(Tabla1[[#This Row],[Articulo]])</f>
        <v>#VALUE!</v>
      </c>
      <c r="Q2834" s="23" t="e">
        <f>_xlfn.XLOOKUP(Tabla1[[#This Row],[Ean Normalizado]],Consumos!A:A,Consumos!E:E)</f>
        <v>#VALUE!</v>
      </c>
      <c r="R2834" s="38" t="e">
        <f>_xlfn.XLOOKUP(Tabla1[[#This Row],[Ean Normalizado]],tabla_consumos[EAN],tabla_consumos[UM])</f>
        <v>#VALUE!</v>
      </c>
      <c r="S2834" s="38" t="e">
        <f>Tabla1[[#This Row],[StockDisp]]*Tabla1[[#This Row],[UM producto]]</f>
        <v>#VALUE!</v>
      </c>
    </row>
    <row r="2835" spans="1:19" x14ac:dyDescent="0.35">
      <c r="A2835" s="5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6"/>
      <c r="P2835" s="23" t="e">
        <f>TRIM(Tabla1[[#This Row],[Articulo]])</f>
        <v>#VALUE!</v>
      </c>
      <c r="Q2835" s="23" t="e">
        <f>_xlfn.XLOOKUP(Tabla1[[#This Row],[Ean Normalizado]],Consumos!A:A,Consumos!E:E)</f>
        <v>#VALUE!</v>
      </c>
      <c r="R2835" s="38" t="e">
        <f>_xlfn.XLOOKUP(Tabla1[[#This Row],[Ean Normalizado]],tabla_consumos[EAN],tabla_consumos[UM])</f>
        <v>#VALUE!</v>
      </c>
      <c r="S2835" s="38" t="e">
        <f>Tabla1[[#This Row],[StockDisp]]*Tabla1[[#This Row],[UM producto]]</f>
        <v>#VALUE!</v>
      </c>
    </row>
    <row r="2836" spans="1:19" x14ac:dyDescent="0.35">
      <c r="A2836" s="5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6"/>
      <c r="P2836" s="23" t="e">
        <f>TRIM(Tabla1[[#This Row],[Articulo]])</f>
        <v>#VALUE!</v>
      </c>
      <c r="Q2836" s="23" t="e">
        <f>_xlfn.XLOOKUP(Tabla1[[#This Row],[Ean Normalizado]],Consumos!A:A,Consumos!E:E)</f>
        <v>#VALUE!</v>
      </c>
      <c r="R2836" s="38" t="e">
        <f>_xlfn.XLOOKUP(Tabla1[[#This Row],[Ean Normalizado]],tabla_consumos[EAN],tabla_consumos[UM])</f>
        <v>#VALUE!</v>
      </c>
      <c r="S2836" s="38" t="e">
        <f>Tabla1[[#This Row],[StockDisp]]*Tabla1[[#This Row],[UM producto]]</f>
        <v>#VALUE!</v>
      </c>
    </row>
    <row r="2837" spans="1:19" x14ac:dyDescent="0.35">
      <c r="A2837" s="5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6"/>
      <c r="P2837" s="23" t="e">
        <f>TRIM(Tabla1[[#This Row],[Articulo]])</f>
        <v>#VALUE!</v>
      </c>
      <c r="Q2837" s="23" t="e">
        <f>_xlfn.XLOOKUP(Tabla1[[#This Row],[Ean Normalizado]],Consumos!A:A,Consumos!E:E)</f>
        <v>#VALUE!</v>
      </c>
      <c r="R2837" s="38" t="e">
        <f>_xlfn.XLOOKUP(Tabla1[[#This Row],[Ean Normalizado]],tabla_consumos[EAN],tabla_consumos[UM])</f>
        <v>#VALUE!</v>
      </c>
      <c r="S2837" s="38" t="e">
        <f>Tabla1[[#This Row],[StockDisp]]*Tabla1[[#This Row],[UM producto]]</f>
        <v>#VALUE!</v>
      </c>
    </row>
    <row r="2838" spans="1:19" x14ac:dyDescent="0.35">
      <c r="A2838" s="5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6"/>
      <c r="P2838" s="23" t="e">
        <f>TRIM(Tabla1[[#This Row],[Articulo]])</f>
        <v>#VALUE!</v>
      </c>
      <c r="Q2838" s="23" t="e">
        <f>_xlfn.XLOOKUP(Tabla1[[#This Row],[Ean Normalizado]],Consumos!A:A,Consumos!E:E)</f>
        <v>#VALUE!</v>
      </c>
      <c r="R2838" s="38" t="e">
        <f>_xlfn.XLOOKUP(Tabla1[[#This Row],[Ean Normalizado]],tabla_consumos[EAN],tabla_consumos[UM])</f>
        <v>#VALUE!</v>
      </c>
      <c r="S2838" s="38" t="e">
        <f>Tabla1[[#This Row],[StockDisp]]*Tabla1[[#This Row],[UM producto]]</f>
        <v>#VALUE!</v>
      </c>
    </row>
    <row r="2839" spans="1:19" x14ac:dyDescent="0.35">
      <c r="A2839" s="5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6"/>
      <c r="P2839" s="23" t="e">
        <f>TRIM(Tabla1[[#This Row],[Articulo]])</f>
        <v>#VALUE!</v>
      </c>
      <c r="Q2839" s="23" t="e">
        <f>_xlfn.XLOOKUP(Tabla1[[#This Row],[Ean Normalizado]],Consumos!A:A,Consumos!E:E)</f>
        <v>#VALUE!</v>
      </c>
      <c r="R2839" s="38" t="e">
        <f>_xlfn.XLOOKUP(Tabla1[[#This Row],[Ean Normalizado]],tabla_consumos[EAN],tabla_consumos[UM])</f>
        <v>#VALUE!</v>
      </c>
      <c r="S2839" s="38" t="e">
        <f>Tabla1[[#This Row],[StockDisp]]*Tabla1[[#This Row],[UM producto]]</f>
        <v>#VALUE!</v>
      </c>
    </row>
    <row r="2840" spans="1:19" x14ac:dyDescent="0.35">
      <c r="A2840" s="5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6"/>
      <c r="P2840" s="23" t="e">
        <f>TRIM(Tabla1[[#This Row],[Articulo]])</f>
        <v>#VALUE!</v>
      </c>
      <c r="Q2840" s="23" t="e">
        <f>_xlfn.XLOOKUP(Tabla1[[#This Row],[Ean Normalizado]],Consumos!A:A,Consumos!E:E)</f>
        <v>#VALUE!</v>
      </c>
      <c r="R2840" s="38" t="e">
        <f>_xlfn.XLOOKUP(Tabla1[[#This Row],[Ean Normalizado]],tabla_consumos[EAN],tabla_consumos[UM])</f>
        <v>#VALUE!</v>
      </c>
      <c r="S2840" s="38" t="e">
        <f>Tabla1[[#This Row],[StockDisp]]*Tabla1[[#This Row],[UM producto]]</f>
        <v>#VALUE!</v>
      </c>
    </row>
    <row r="2841" spans="1:19" x14ac:dyDescent="0.35">
      <c r="A2841" s="5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6"/>
      <c r="P2841" s="23" t="e">
        <f>TRIM(Tabla1[[#This Row],[Articulo]])</f>
        <v>#VALUE!</v>
      </c>
      <c r="Q2841" s="23" t="e">
        <f>_xlfn.XLOOKUP(Tabla1[[#This Row],[Ean Normalizado]],Consumos!A:A,Consumos!E:E)</f>
        <v>#VALUE!</v>
      </c>
      <c r="R2841" s="38" t="e">
        <f>_xlfn.XLOOKUP(Tabla1[[#This Row],[Ean Normalizado]],tabla_consumos[EAN],tabla_consumos[UM])</f>
        <v>#VALUE!</v>
      </c>
      <c r="S2841" s="38" t="e">
        <f>Tabla1[[#This Row],[StockDisp]]*Tabla1[[#This Row],[UM producto]]</f>
        <v>#VALUE!</v>
      </c>
    </row>
    <row r="2842" spans="1:19" x14ac:dyDescent="0.35">
      <c r="A2842" s="5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6"/>
      <c r="P2842" s="23" t="e">
        <f>TRIM(Tabla1[[#This Row],[Articulo]])</f>
        <v>#VALUE!</v>
      </c>
      <c r="Q2842" s="23" t="e">
        <f>_xlfn.XLOOKUP(Tabla1[[#This Row],[Ean Normalizado]],Consumos!A:A,Consumos!E:E)</f>
        <v>#VALUE!</v>
      </c>
      <c r="R2842" s="38" t="e">
        <f>_xlfn.XLOOKUP(Tabla1[[#This Row],[Ean Normalizado]],tabla_consumos[EAN],tabla_consumos[UM])</f>
        <v>#VALUE!</v>
      </c>
      <c r="S2842" s="38" t="e">
        <f>Tabla1[[#This Row],[StockDisp]]*Tabla1[[#This Row],[UM producto]]</f>
        <v>#VALUE!</v>
      </c>
    </row>
    <row r="2843" spans="1:19" x14ac:dyDescent="0.35">
      <c r="A2843" s="5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6"/>
      <c r="P2843" s="23" t="e">
        <f>TRIM(Tabla1[[#This Row],[Articulo]])</f>
        <v>#VALUE!</v>
      </c>
      <c r="Q2843" s="23" t="e">
        <f>_xlfn.XLOOKUP(Tabla1[[#This Row],[Ean Normalizado]],Consumos!A:A,Consumos!E:E)</f>
        <v>#VALUE!</v>
      </c>
      <c r="R2843" s="38" t="e">
        <f>_xlfn.XLOOKUP(Tabla1[[#This Row],[Ean Normalizado]],tabla_consumos[EAN],tabla_consumos[UM])</f>
        <v>#VALUE!</v>
      </c>
      <c r="S2843" s="38" t="e">
        <f>Tabla1[[#This Row],[StockDisp]]*Tabla1[[#This Row],[UM producto]]</f>
        <v>#VALUE!</v>
      </c>
    </row>
    <row r="2844" spans="1:19" x14ac:dyDescent="0.35">
      <c r="A2844" s="5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6"/>
      <c r="P2844" s="23" t="e">
        <f>TRIM(Tabla1[[#This Row],[Articulo]])</f>
        <v>#VALUE!</v>
      </c>
      <c r="Q2844" s="23" t="e">
        <f>_xlfn.XLOOKUP(Tabla1[[#This Row],[Ean Normalizado]],Consumos!A:A,Consumos!E:E)</f>
        <v>#VALUE!</v>
      </c>
      <c r="R2844" s="38" t="e">
        <f>_xlfn.XLOOKUP(Tabla1[[#This Row],[Ean Normalizado]],tabla_consumos[EAN],tabla_consumos[UM])</f>
        <v>#VALUE!</v>
      </c>
      <c r="S2844" s="38" t="e">
        <f>Tabla1[[#This Row],[StockDisp]]*Tabla1[[#This Row],[UM producto]]</f>
        <v>#VALUE!</v>
      </c>
    </row>
    <row r="2845" spans="1:19" x14ac:dyDescent="0.35">
      <c r="A2845" s="5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6"/>
      <c r="P2845" s="23" t="e">
        <f>TRIM(Tabla1[[#This Row],[Articulo]])</f>
        <v>#VALUE!</v>
      </c>
      <c r="Q2845" s="23" t="e">
        <f>_xlfn.XLOOKUP(Tabla1[[#This Row],[Ean Normalizado]],Consumos!A:A,Consumos!E:E)</f>
        <v>#VALUE!</v>
      </c>
      <c r="R2845" s="38" t="e">
        <f>_xlfn.XLOOKUP(Tabla1[[#This Row],[Ean Normalizado]],tabla_consumos[EAN],tabla_consumos[UM])</f>
        <v>#VALUE!</v>
      </c>
      <c r="S2845" s="38" t="e">
        <f>Tabla1[[#This Row],[StockDisp]]*Tabla1[[#This Row],[UM producto]]</f>
        <v>#VALUE!</v>
      </c>
    </row>
    <row r="2846" spans="1:19" x14ac:dyDescent="0.35">
      <c r="A2846" s="5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6"/>
      <c r="P2846" s="23" t="e">
        <f>TRIM(Tabla1[[#This Row],[Articulo]])</f>
        <v>#VALUE!</v>
      </c>
      <c r="Q2846" s="23" t="e">
        <f>_xlfn.XLOOKUP(Tabla1[[#This Row],[Ean Normalizado]],Consumos!A:A,Consumos!E:E)</f>
        <v>#VALUE!</v>
      </c>
      <c r="R2846" s="38" t="e">
        <f>_xlfn.XLOOKUP(Tabla1[[#This Row],[Ean Normalizado]],tabla_consumos[EAN],tabla_consumos[UM])</f>
        <v>#VALUE!</v>
      </c>
      <c r="S2846" s="38" t="e">
        <f>Tabla1[[#This Row],[StockDisp]]*Tabla1[[#This Row],[UM producto]]</f>
        <v>#VALUE!</v>
      </c>
    </row>
    <row r="2847" spans="1:19" x14ac:dyDescent="0.35">
      <c r="A2847" s="5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6"/>
      <c r="P2847" s="23" t="e">
        <f>TRIM(Tabla1[[#This Row],[Articulo]])</f>
        <v>#VALUE!</v>
      </c>
      <c r="Q2847" s="23" t="e">
        <f>_xlfn.XLOOKUP(Tabla1[[#This Row],[Ean Normalizado]],Consumos!A:A,Consumos!E:E)</f>
        <v>#VALUE!</v>
      </c>
      <c r="R2847" s="38" t="e">
        <f>_xlfn.XLOOKUP(Tabla1[[#This Row],[Ean Normalizado]],tabla_consumos[EAN],tabla_consumos[UM])</f>
        <v>#VALUE!</v>
      </c>
      <c r="S2847" s="38" t="e">
        <f>Tabla1[[#This Row],[StockDisp]]*Tabla1[[#This Row],[UM producto]]</f>
        <v>#VALUE!</v>
      </c>
    </row>
    <row r="2848" spans="1:19" x14ac:dyDescent="0.35">
      <c r="A2848" s="5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6"/>
      <c r="P2848" s="23" t="e">
        <f>TRIM(Tabla1[[#This Row],[Articulo]])</f>
        <v>#VALUE!</v>
      </c>
      <c r="Q2848" s="23" t="e">
        <f>_xlfn.XLOOKUP(Tabla1[[#This Row],[Ean Normalizado]],Consumos!A:A,Consumos!E:E)</f>
        <v>#VALUE!</v>
      </c>
      <c r="R2848" s="38" t="e">
        <f>_xlfn.XLOOKUP(Tabla1[[#This Row],[Ean Normalizado]],tabla_consumos[EAN],tabla_consumos[UM])</f>
        <v>#VALUE!</v>
      </c>
      <c r="S2848" s="38" t="e">
        <f>Tabla1[[#This Row],[StockDisp]]*Tabla1[[#This Row],[UM producto]]</f>
        <v>#VALUE!</v>
      </c>
    </row>
    <row r="2849" spans="1:19" x14ac:dyDescent="0.35">
      <c r="A2849" s="5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6"/>
      <c r="P2849" s="23" t="e">
        <f>TRIM(Tabla1[[#This Row],[Articulo]])</f>
        <v>#VALUE!</v>
      </c>
      <c r="Q2849" s="23" t="e">
        <f>_xlfn.XLOOKUP(Tabla1[[#This Row],[Ean Normalizado]],Consumos!A:A,Consumos!E:E)</f>
        <v>#VALUE!</v>
      </c>
      <c r="R2849" s="38" t="e">
        <f>_xlfn.XLOOKUP(Tabla1[[#This Row],[Ean Normalizado]],tabla_consumos[EAN],tabla_consumos[UM])</f>
        <v>#VALUE!</v>
      </c>
      <c r="S2849" s="38" t="e">
        <f>Tabla1[[#This Row],[StockDisp]]*Tabla1[[#This Row],[UM producto]]</f>
        <v>#VALUE!</v>
      </c>
    </row>
    <row r="2850" spans="1:19" x14ac:dyDescent="0.35">
      <c r="A2850" s="5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6"/>
      <c r="P2850" s="23" t="e">
        <f>TRIM(Tabla1[[#This Row],[Articulo]])</f>
        <v>#VALUE!</v>
      </c>
      <c r="Q2850" s="23" t="e">
        <f>_xlfn.XLOOKUP(Tabla1[[#This Row],[Ean Normalizado]],Consumos!A:A,Consumos!E:E)</f>
        <v>#VALUE!</v>
      </c>
      <c r="R2850" s="38" t="e">
        <f>_xlfn.XLOOKUP(Tabla1[[#This Row],[Ean Normalizado]],tabla_consumos[EAN],tabla_consumos[UM])</f>
        <v>#VALUE!</v>
      </c>
      <c r="S2850" s="38" t="e">
        <f>Tabla1[[#This Row],[StockDisp]]*Tabla1[[#This Row],[UM producto]]</f>
        <v>#VALUE!</v>
      </c>
    </row>
    <row r="2851" spans="1:19" x14ac:dyDescent="0.35">
      <c r="A2851" s="5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6"/>
      <c r="P2851" s="23" t="e">
        <f>TRIM(Tabla1[[#This Row],[Articulo]])</f>
        <v>#VALUE!</v>
      </c>
      <c r="Q2851" s="23" t="e">
        <f>_xlfn.XLOOKUP(Tabla1[[#This Row],[Ean Normalizado]],Consumos!A:A,Consumos!E:E)</f>
        <v>#VALUE!</v>
      </c>
      <c r="R2851" s="38" t="e">
        <f>_xlfn.XLOOKUP(Tabla1[[#This Row],[Ean Normalizado]],tabla_consumos[EAN],tabla_consumos[UM])</f>
        <v>#VALUE!</v>
      </c>
      <c r="S2851" s="38" t="e">
        <f>Tabla1[[#This Row],[StockDisp]]*Tabla1[[#This Row],[UM producto]]</f>
        <v>#VALUE!</v>
      </c>
    </row>
    <row r="2852" spans="1:19" x14ac:dyDescent="0.35">
      <c r="A2852" s="5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6"/>
      <c r="P2852" s="23" t="e">
        <f>TRIM(Tabla1[[#This Row],[Articulo]])</f>
        <v>#VALUE!</v>
      </c>
      <c r="Q2852" s="23" t="e">
        <f>_xlfn.XLOOKUP(Tabla1[[#This Row],[Ean Normalizado]],Consumos!A:A,Consumos!E:E)</f>
        <v>#VALUE!</v>
      </c>
      <c r="R2852" s="38" t="e">
        <f>_xlfn.XLOOKUP(Tabla1[[#This Row],[Ean Normalizado]],tabla_consumos[EAN],tabla_consumos[UM])</f>
        <v>#VALUE!</v>
      </c>
      <c r="S2852" s="38" t="e">
        <f>Tabla1[[#This Row],[StockDisp]]*Tabla1[[#This Row],[UM producto]]</f>
        <v>#VALUE!</v>
      </c>
    </row>
    <row r="2853" spans="1:19" x14ac:dyDescent="0.35">
      <c r="A2853" s="5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6"/>
      <c r="P2853" s="23" t="e">
        <f>TRIM(Tabla1[[#This Row],[Articulo]])</f>
        <v>#VALUE!</v>
      </c>
      <c r="Q2853" s="23" t="e">
        <f>_xlfn.XLOOKUP(Tabla1[[#This Row],[Ean Normalizado]],Consumos!A:A,Consumos!E:E)</f>
        <v>#VALUE!</v>
      </c>
      <c r="R2853" s="38" t="e">
        <f>_xlfn.XLOOKUP(Tabla1[[#This Row],[Ean Normalizado]],tabla_consumos[EAN],tabla_consumos[UM])</f>
        <v>#VALUE!</v>
      </c>
      <c r="S2853" s="38" t="e">
        <f>Tabla1[[#This Row],[StockDisp]]*Tabla1[[#This Row],[UM producto]]</f>
        <v>#VALUE!</v>
      </c>
    </row>
    <row r="2854" spans="1:19" x14ac:dyDescent="0.35">
      <c r="A2854" s="5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6"/>
      <c r="P2854" s="23" t="e">
        <f>TRIM(Tabla1[[#This Row],[Articulo]])</f>
        <v>#VALUE!</v>
      </c>
      <c r="Q2854" s="23" t="e">
        <f>_xlfn.XLOOKUP(Tabla1[[#This Row],[Ean Normalizado]],Consumos!A:A,Consumos!E:E)</f>
        <v>#VALUE!</v>
      </c>
      <c r="R2854" s="38" t="e">
        <f>_xlfn.XLOOKUP(Tabla1[[#This Row],[Ean Normalizado]],tabla_consumos[EAN],tabla_consumos[UM])</f>
        <v>#VALUE!</v>
      </c>
      <c r="S2854" s="38" t="e">
        <f>Tabla1[[#This Row],[StockDisp]]*Tabla1[[#This Row],[UM producto]]</f>
        <v>#VALUE!</v>
      </c>
    </row>
    <row r="2855" spans="1:19" x14ac:dyDescent="0.35">
      <c r="A2855" s="5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6"/>
      <c r="P2855" s="23" t="e">
        <f>TRIM(Tabla1[[#This Row],[Articulo]])</f>
        <v>#VALUE!</v>
      </c>
      <c r="Q2855" s="23" t="e">
        <f>_xlfn.XLOOKUP(Tabla1[[#This Row],[Ean Normalizado]],Consumos!A:A,Consumos!E:E)</f>
        <v>#VALUE!</v>
      </c>
      <c r="R2855" s="38" t="e">
        <f>_xlfn.XLOOKUP(Tabla1[[#This Row],[Ean Normalizado]],tabla_consumos[EAN],tabla_consumos[UM])</f>
        <v>#VALUE!</v>
      </c>
      <c r="S2855" s="38" t="e">
        <f>Tabla1[[#This Row],[StockDisp]]*Tabla1[[#This Row],[UM producto]]</f>
        <v>#VALUE!</v>
      </c>
    </row>
    <row r="2856" spans="1:19" x14ac:dyDescent="0.35">
      <c r="A2856" s="5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6"/>
      <c r="P2856" s="23" t="e">
        <f>TRIM(Tabla1[[#This Row],[Articulo]])</f>
        <v>#VALUE!</v>
      </c>
      <c r="Q2856" s="23" t="e">
        <f>_xlfn.XLOOKUP(Tabla1[[#This Row],[Ean Normalizado]],Consumos!A:A,Consumos!E:E)</f>
        <v>#VALUE!</v>
      </c>
      <c r="R2856" s="38" t="e">
        <f>_xlfn.XLOOKUP(Tabla1[[#This Row],[Ean Normalizado]],tabla_consumos[EAN],tabla_consumos[UM])</f>
        <v>#VALUE!</v>
      </c>
      <c r="S2856" s="38" t="e">
        <f>Tabla1[[#This Row],[StockDisp]]*Tabla1[[#This Row],[UM producto]]</f>
        <v>#VALUE!</v>
      </c>
    </row>
    <row r="2857" spans="1:19" x14ac:dyDescent="0.35">
      <c r="A2857" s="5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6"/>
      <c r="P2857" s="23" t="e">
        <f>TRIM(Tabla1[[#This Row],[Articulo]])</f>
        <v>#VALUE!</v>
      </c>
      <c r="Q2857" s="23" t="e">
        <f>_xlfn.XLOOKUP(Tabla1[[#This Row],[Ean Normalizado]],Consumos!A:A,Consumos!E:E)</f>
        <v>#VALUE!</v>
      </c>
      <c r="R2857" s="38" t="e">
        <f>_xlfn.XLOOKUP(Tabla1[[#This Row],[Ean Normalizado]],tabla_consumos[EAN],tabla_consumos[UM])</f>
        <v>#VALUE!</v>
      </c>
      <c r="S2857" s="38" t="e">
        <f>Tabla1[[#This Row],[StockDisp]]*Tabla1[[#This Row],[UM producto]]</f>
        <v>#VALUE!</v>
      </c>
    </row>
    <row r="2858" spans="1:19" x14ac:dyDescent="0.35">
      <c r="A2858" s="5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6"/>
      <c r="P2858" s="23" t="e">
        <f>TRIM(Tabla1[[#This Row],[Articulo]])</f>
        <v>#VALUE!</v>
      </c>
      <c r="Q2858" s="23" t="e">
        <f>_xlfn.XLOOKUP(Tabla1[[#This Row],[Ean Normalizado]],Consumos!A:A,Consumos!E:E)</f>
        <v>#VALUE!</v>
      </c>
      <c r="R2858" s="38" t="e">
        <f>_xlfn.XLOOKUP(Tabla1[[#This Row],[Ean Normalizado]],tabla_consumos[EAN],tabla_consumos[UM])</f>
        <v>#VALUE!</v>
      </c>
      <c r="S2858" s="38" t="e">
        <f>Tabla1[[#This Row],[StockDisp]]*Tabla1[[#This Row],[UM producto]]</f>
        <v>#VALUE!</v>
      </c>
    </row>
    <row r="2859" spans="1:19" x14ac:dyDescent="0.35">
      <c r="A2859" s="5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6"/>
      <c r="P2859" s="23" t="e">
        <f>TRIM(Tabla1[[#This Row],[Articulo]])</f>
        <v>#VALUE!</v>
      </c>
      <c r="Q2859" s="23" t="e">
        <f>_xlfn.XLOOKUP(Tabla1[[#This Row],[Ean Normalizado]],Consumos!A:A,Consumos!E:E)</f>
        <v>#VALUE!</v>
      </c>
      <c r="R2859" s="38" t="e">
        <f>_xlfn.XLOOKUP(Tabla1[[#This Row],[Ean Normalizado]],tabla_consumos[EAN],tabla_consumos[UM])</f>
        <v>#VALUE!</v>
      </c>
      <c r="S2859" s="38" t="e">
        <f>Tabla1[[#This Row],[StockDisp]]*Tabla1[[#This Row],[UM producto]]</f>
        <v>#VALUE!</v>
      </c>
    </row>
    <row r="2860" spans="1:19" x14ac:dyDescent="0.35">
      <c r="A2860" s="5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6"/>
      <c r="P2860" s="23" t="e">
        <f>TRIM(Tabla1[[#This Row],[Articulo]])</f>
        <v>#VALUE!</v>
      </c>
      <c r="Q2860" s="23" t="e">
        <f>_xlfn.XLOOKUP(Tabla1[[#This Row],[Ean Normalizado]],Consumos!A:A,Consumos!E:E)</f>
        <v>#VALUE!</v>
      </c>
      <c r="R2860" s="38" t="e">
        <f>_xlfn.XLOOKUP(Tabla1[[#This Row],[Ean Normalizado]],tabla_consumos[EAN],tabla_consumos[UM])</f>
        <v>#VALUE!</v>
      </c>
      <c r="S2860" s="38" t="e">
        <f>Tabla1[[#This Row],[StockDisp]]*Tabla1[[#This Row],[UM producto]]</f>
        <v>#VALUE!</v>
      </c>
    </row>
    <row r="2861" spans="1:19" x14ac:dyDescent="0.35">
      <c r="A2861" s="5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6"/>
      <c r="P2861" s="23" t="e">
        <f>TRIM(Tabla1[[#This Row],[Articulo]])</f>
        <v>#VALUE!</v>
      </c>
      <c r="Q2861" s="23" t="e">
        <f>_xlfn.XLOOKUP(Tabla1[[#This Row],[Ean Normalizado]],Consumos!A:A,Consumos!E:E)</f>
        <v>#VALUE!</v>
      </c>
      <c r="R2861" s="38" t="e">
        <f>_xlfn.XLOOKUP(Tabla1[[#This Row],[Ean Normalizado]],tabla_consumos[EAN],tabla_consumos[UM])</f>
        <v>#VALUE!</v>
      </c>
      <c r="S2861" s="38" t="e">
        <f>Tabla1[[#This Row],[StockDisp]]*Tabla1[[#This Row],[UM producto]]</f>
        <v>#VALUE!</v>
      </c>
    </row>
    <row r="2862" spans="1:19" x14ac:dyDescent="0.35">
      <c r="A2862" s="5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6"/>
      <c r="P2862" s="23" t="e">
        <f>TRIM(Tabla1[[#This Row],[Articulo]])</f>
        <v>#VALUE!</v>
      </c>
      <c r="Q2862" s="23" t="e">
        <f>_xlfn.XLOOKUP(Tabla1[[#This Row],[Ean Normalizado]],Consumos!A:A,Consumos!E:E)</f>
        <v>#VALUE!</v>
      </c>
      <c r="R2862" s="38" t="e">
        <f>_xlfn.XLOOKUP(Tabla1[[#This Row],[Ean Normalizado]],tabla_consumos[EAN],tabla_consumos[UM])</f>
        <v>#VALUE!</v>
      </c>
      <c r="S2862" s="38" t="e">
        <f>Tabla1[[#This Row],[StockDisp]]*Tabla1[[#This Row],[UM producto]]</f>
        <v>#VALUE!</v>
      </c>
    </row>
    <row r="2863" spans="1:19" x14ac:dyDescent="0.35">
      <c r="A2863" s="5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6"/>
      <c r="P2863" s="23" t="e">
        <f>TRIM(Tabla1[[#This Row],[Articulo]])</f>
        <v>#VALUE!</v>
      </c>
      <c r="Q2863" s="23" t="e">
        <f>_xlfn.XLOOKUP(Tabla1[[#This Row],[Ean Normalizado]],Consumos!A:A,Consumos!E:E)</f>
        <v>#VALUE!</v>
      </c>
      <c r="R2863" s="38" t="e">
        <f>_xlfn.XLOOKUP(Tabla1[[#This Row],[Ean Normalizado]],tabla_consumos[EAN],tabla_consumos[UM])</f>
        <v>#VALUE!</v>
      </c>
      <c r="S2863" s="38" t="e">
        <f>Tabla1[[#This Row],[StockDisp]]*Tabla1[[#This Row],[UM producto]]</f>
        <v>#VALUE!</v>
      </c>
    </row>
    <row r="2864" spans="1:19" x14ac:dyDescent="0.35">
      <c r="A2864" s="5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6"/>
      <c r="P2864" s="23" t="e">
        <f>TRIM(Tabla1[[#This Row],[Articulo]])</f>
        <v>#VALUE!</v>
      </c>
      <c r="Q2864" s="23" t="e">
        <f>_xlfn.XLOOKUP(Tabla1[[#This Row],[Ean Normalizado]],Consumos!A:A,Consumos!E:E)</f>
        <v>#VALUE!</v>
      </c>
      <c r="R2864" s="38" t="e">
        <f>_xlfn.XLOOKUP(Tabla1[[#This Row],[Ean Normalizado]],tabla_consumos[EAN],tabla_consumos[UM])</f>
        <v>#VALUE!</v>
      </c>
      <c r="S2864" s="38" t="e">
        <f>Tabla1[[#This Row],[StockDisp]]*Tabla1[[#This Row],[UM producto]]</f>
        <v>#VALUE!</v>
      </c>
    </row>
    <row r="2865" spans="1:19" x14ac:dyDescent="0.35">
      <c r="A2865" s="5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6"/>
      <c r="P2865" s="23" t="e">
        <f>TRIM(Tabla1[[#This Row],[Articulo]])</f>
        <v>#VALUE!</v>
      </c>
      <c r="Q2865" s="23" t="e">
        <f>_xlfn.XLOOKUP(Tabla1[[#This Row],[Ean Normalizado]],Consumos!A:A,Consumos!E:E)</f>
        <v>#VALUE!</v>
      </c>
      <c r="R2865" s="38" t="e">
        <f>_xlfn.XLOOKUP(Tabla1[[#This Row],[Ean Normalizado]],tabla_consumos[EAN],tabla_consumos[UM])</f>
        <v>#VALUE!</v>
      </c>
      <c r="S2865" s="38" t="e">
        <f>Tabla1[[#This Row],[StockDisp]]*Tabla1[[#This Row],[UM producto]]</f>
        <v>#VALUE!</v>
      </c>
    </row>
    <row r="2866" spans="1:19" x14ac:dyDescent="0.35">
      <c r="A2866" s="5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6"/>
      <c r="P2866" s="23" t="e">
        <f>TRIM(Tabla1[[#This Row],[Articulo]])</f>
        <v>#VALUE!</v>
      </c>
      <c r="Q2866" s="23" t="e">
        <f>_xlfn.XLOOKUP(Tabla1[[#This Row],[Ean Normalizado]],Consumos!A:A,Consumos!E:E)</f>
        <v>#VALUE!</v>
      </c>
      <c r="R2866" s="38" t="e">
        <f>_xlfn.XLOOKUP(Tabla1[[#This Row],[Ean Normalizado]],tabla_consumos[EAN],tabla_consumos[UM])</f>
        <v>#VALUE!</v>
      </c>
      <c r="S2866" s="38" t="e">
        <f>Tabla1[[#This Row],[StockDisp]]*Tabla1[[#This Row],[UM producto]]</f>
        <v>#VALUE!</v>
      </c>
    </row>
    <row r="2867" spans="1:19" x14ac:dyDescent="0.35">
      <c r="A2867" s="5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6"/>
      <c r="P2867" s="23" t="e">
        <f>TRIM(Tabla1[[#This Row],[Articulo]])</f>
        <v>#VALUE!</v>
      </c>
      <c r="Q2867" s="23" t="e">
        <f>_xlfn.XLOOKUP(Tabla1[[#This Row],[Ean Normalizado]],Consumos!A:A,Consumos!E:E)</f>
        <v>#VALUE!</v>
      </c>
      <c r="R2867" s="38" t="e">
        <f>_xlfn.XLOOKUP(Tabla1[[#This Row],[Ean Normalizado]],tabla_consumos[EAN],tabla_consumos[UM])</f>
        <v>#VALUE!</v>
      </c>
      <c r="S2867" s="38" t="e">
        <f>Tabla1[[#This Row],[StockDisp]]*Tabla1[[#This Row],[UM producto]]</f>
        <v>#VALUE!</v>
      </c>
    </row>
    <row r="2868" spans="1:19" x14ac:dyDescent="0.35">
      <c r="A2868" s="5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6"/>
      <c r="P2868" s="23" t="e">
        <f>TRIM(Tabla1[[#This Row],[Articulo]])</f>
        <v>#VALUE!</v>
      </c>
      <c r="Q2868" s="23" t="e">
        <f>_xlfn.XLOOKUP(Tabla1[[#This Row],[Ean Normalizado]],Consumos!A:A,Consumos!E:E)</f>
        <v>#VALUE!</v>
      </c>
      <c r="R2868" s="38" t="e">
        <f>_xlfn.XLOOKUP(Tabla1[[#This Row],[Ean Normalizado]],tabla_consumos[EAN],tabla_consumos[UM])</f>
        <v>#VALUE!</v>
      </c>
      <c r="S2868" s="38" t="e">
        <f>Tabla1[[#This Row],[StockDisp]]*Tabla1[[#This Row],[UM producto]]</f>
        <v>#VALUE!</v>
      </c>
    </row>
    <row r="2869" spans="1:19" x14ac:dyDescent="0.35">
      <c r="A2869" s="5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6"/>
      <c r="P2869" s="23" t="e">
        <f>TRIM(Tabla1[[#This Row],[Articulo]])</f>
        <v>#VALUE!</v>
      </c>
      <c r="Q2869" s="23" t="e">
        <f>_xlfn.XLOOKUP(Tabla1[[#This Row],[Ean Normalizado]],Consumos!A:A,Consumos!E:E)</f>
        <v>#VALUE!</v>
      </c>
      <c r="R2869" s="38" t="e">
        <f>_xlfn.XLOOKUP(Tabla1[[#This Row],[Ean Normalizado]],tabla_consumos[EAN],tabla_consumos[UM])</f>
        <v>#VALUE!</v>
      </c>
      <c r="S2869" s="38" t="e">
        <f>Tabla1[[#This Row],[StockDisp]]*Tabla1[[#This Row],[UM producto]]</f>
        <v>#VALUE!</v>
      </c>
    </row>
    <row r="2870" spans="1:19" x14ac:dyDescent="0.35">
      <c r="A2870" s="5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6"/>
      <c r="P2870" s="23" t="e">
        <f>TRIM(Tabla1[[#This Row],[Articulo]])</f>
        <v>#VALUE!</v>
      </c>
      <c r="Q2870" s="23" t="e">
        <f>_xlfn.XLOOKUP(Tabla1[[#This Row],[Ean Normalizado]],Consumos!A:A,Consumos!E:E)</f>
        <v>#VALUE!</v>
      </c>
      <c r="R2870" s="38" t="e">
        <f>_xlfn.XLOOKUP(Tabla1[[#This Row],[Ean Normalizado]],tabla_consumos[EAN],tabla_consumos[UM])</f>
        <v>#VALUE!</v>
      </c>
      <c r="S2870" s="38" t="e">
        <f>Tabla1[[#This Row],[StockDisp]]*Tabla1[[#This Row],[UM producto]]</f>
        <v>#VALUE!</v>
      </c>
    </row>
    <row r="2871" spans="1:19" x14ac:dyDescent="0.35">
      <c r="A2871" s="5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6"/>
      <c r="P2871" s="23" t="e">
        <f>TRIM(Tabla1[[#This Row],[Articulo]])</f>
        <v>#VALUE!</v>
      </c>
      <c r="Q2871" s="23" t="e">
        <f>_xlfn.XLOOKUP(Tabla1[[#This Row],[Ean Normalizado]],Consumos!A:A,Consumos!E:E)</f>
        <v>#VALUE!</v>
      </c>
      <c r="R2871" s="38" t="e">
        <f>_xlfn.XLOOKUP(Tabla1[[#This Row],[Ean Normalizado]],tabla_consumos[EAN],tabla_consumos[UM])</f>
        <v>#VALUE!</v>
      </c>
      <c r="S2871" s="38" t="e">
        <f>Tabla1[[#This Row],[StockDisp]]*Tabla1[[#This Row],[UM producto]]</f>
        <v>#VALUE!</v>
      </c>
    </row>
    <row r="2872" spans="1:19" x14ac:dyDescent="0.35">
      <c r="A2872" s="5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6"/>
      <c r="P2872" s="23" t="e">
        <f>TRIM(Tabla1[[#This Row],[Articulo]])</f>
        <v>#VALUE!</v>
      </c>
      <c r="Q2872" s="23" t="e">
        <f>_xlfn.XLOOKUP(Tabla1[[#This Row],[Ean Normalizado]],Consumos!A:A,Consumos!E:E)</f>
        <v>#VALUE!</v>
      </c>
      <c r="R2872" s="38" t="e">
        <f>_xlfn.XLOOKUP(Tabla1[[#This Row],[Ean Normalizado]],tabla_consumos[EAN],tabla_consumos[UM])</f>
        <v>#VALUE!</v>
      </c>
      <c r="S2872" s="38" t="e">
        <f>Tabla1[[#This Row],[StockDisp]]*Tabla1[[#This Row],[UM producto]]</f>
        <v>#VALUE!</v>
      </c>
    </row>
    <row r="2873" spans="1:19" x14ac:dyDescent="0.35">
      <c r="A2873" s="5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6"/>
      <c r="P2873" s="23" t="e">
        <f>TRIM(Tabla1[[#This Row],[Articulo]])</f>
        <v>#VALUE!</v>
      </c>
      <c r="Q2873" s="23" t="e">
        <f>_xlfn.XLOOKUP(Tabla1[[#This Row],[Ean Normalizado]],Consumos!A:A,Consumos!E:E)</f>
        <v>#VALUE!</v>
      </c>
      <c r="R2873" s="38" t="e">
        <f>_xlfn.XLOOKUP(Tabla1[[#This Row],[Ean Normalizado]],tabla_consumos[EAN],tabla_consumos[UM])</f>
        <v>#VALUE!</v>
      </c>
      <c r="S2873" s="38" t="e">
        <f>Tabla1[[#This Row],[StockDisp]]*Tabla1[[#This Row],[UM producto]]</f>
        <v>#VALUE!</v>
      </c>
    </row>
    <row r="2874" spans="1:19" x14ac:dyDescent="0.35">
      <c r="A2874" s="5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6"/>
      <c r="P2874" s="23" t="e">
        <f>TRIM(Tabla1[[#This Row],[Articulo]])</f>
        <v>#VALUE!</v>
      </c>
      <c r="Q2874" s="23" t="e">
        <f>_xlfn.XLOOKUP(Tabla1[[#This Row],[Ean Normalizado]],Consumos!A:A,Consumos!E:E)</f>
        <v>#VALUE!</v>
      </c>
      <c r="R2874" s="38" t="e">
        <f>_xlfn.XLOOKUP(Tabla1[[#This Row],[Ean Normalizado]],tabla_consumos[EAN],tabla_consumos[UM])</f>
        <v>#VALUE!</v>
      </c>
      <c r="S2874" s="38" t="e">
        <f>Tabla1[[#This Row],[StockDisp]]*Tabla1[[#This Row],[UM producto]]</f>
        <v>#VALUE!</v>
      </c>
    </row>
    <row r="2875" spans="1:19" x14ac:dyDescent="0.35">
      <c r="A2875" s="5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6"/>
      <c r="P2875" s="23" t="e">
        <f>TRIM(Tabla1[[#This Row],[Articulo]])</f>
        <v>#VALUE!</v>
      </c>
      <c r="Q2875" s="23" t="e">
        <f>_xlfn.XLOOKUP(Tabla1[[#This Row],[Ean Normalizado]],Consumos!A:A,Consumos!E:E)</f>
        <v>#VALUE!</v>
      </c>
      <c r="R2875" s="38" t="e">
        <f>_xlfn.XLOOKUP(Tabla1[[#This Row],[Ean Normalizado]],tabla_consumos[EAN],tabla_consumos[UM])</f>
        <v>#VALUE!</v>
      </c>
      <c r="S2875" s="38" t="e">
        <f>Tabla1[[#This Row],[StockDisp]]*Tabla1[[#This Row],[UM producto]]</f>
        <v>#VALUE!</v>
      </c>
    </row>
    <row r="2876" spans="1:19" x14ac:dyDescent="0.35">
      <c r="A2876" s="5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6"/>
      <c r="P2876" s="23" t="e">
        <f>TRIM(Tabla1[[#This Row],[Articulo]])</f>
        <v>#VALUE!</v>
      </c>
      <c r="Q2876" s="23" t="e">
        <f>_xlfn.XLOOKUP(Tabla1[[#This Row],[Ean Normalizado]],Consumos!A:A,Consumos!E:E)</f>
        <v>#VALUE!</v>
      </c>
      <c r="R2876" s="38" t="e">
        <f>_xlfn.XLOOKUP(Tabla1[[#This Row],[Ean Normalizado]],tabla_consumos[EAN],tabla_consumos[UM])</f>
        <v>#VALUE!</v>
      </c>
      <c r="S2876" s="38" t="e">
        <f>Tabla1[[#This Row],[StockDisp]]*Tabla1[[#This Row],[UM producto]]</f>
        <v>#VALUE!</v>
      </c>
    </row>
    <row r="2877" spans="1:19" x14ac:dyDescent="0.35">
      <c r="A2877" s="5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6"/>
      <c r="P2877" s="23" t="e">
        <f>TRIM(Tabla1[[#This Row],[Articulo]])</f>
        <v>#VALUE!</v>
      </c>
      <c r="Q2877" s="23" t="e">
        <f>_xlfn.XLOOKUP(Tabla1[[#This Row],[Ean Normalizado]],Consumos!A:A,Consumos!E:E)</f>
        <v>#VALUE!</v>
      </c>
      <c r="R2877" s="38" t="e">
        <f>_xlfn.XLOOKUP(Tabla1[[#This Row],[Ean Normalizado]],tabla_consumos[EAN],tabla_consumos[UM])</f>
        <v>#VALUE!</v>
      </c>
      <c r="S2877" s="38" t="e">
        <f>Tabla1[[#This Row],[StockDisp]]*Tabla1[[#This Row],[UM producto]]</f>
        <v>#VALUE!</v>
      </c>
    </row>
    <row r="2878" spans="1:19" x14ac:dyDescent="0.35">
      <c r="A2878" s="5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6"/>
      <c r="P2878" s="23" t="e">
        <f>TRIM(Tabla1[[#This Row],[Articulo]])</f>
        <v>#VALUE!</v>
      </c>
      <c r="Q2878" s="23" t="e">
        <f>_xlfn.XLOOKUP(Tabla1[[#This Row],[Ean Normalizado]],Consumos!A:A,Consumos!E:E)</f>
        <v>#VALUE!</v>
      </c>
      <c r="R2878" s="38" t="e">
        <f>_xlfn.XLOOKUP(Tabla1[[#This Row],[Ean Normalizado]],tabla_consumos[EAN],tabla_consumos[UM])</f>
        <v>#VALUE!</v>
      </c>
      <c r="S2878" s="38" t="e">
        <f>Tabla1[[#This Row],[StockDisp]]*Tabla1[[#This Row],[UM producto]]</f>
        <v>#VALUE!</v>
      </c>
    </row>
    <row r="2879" spans="1:19" x14ac:dyDescent="0.35">
      <c r="A2879" s="5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6"/>
      <c r="P2879" s="23" t="e">
        <f>TRIM(Tabla1[[#This Row],[Articulo]])</f>
        <v>#VALUE!</v>
      </c>
      <c r="Q2879" s="23" t="e">
        <f>_xlfn.XLOOKUP(Tabla1[[#This Row],[Ean Normalizado]],Consumos!A:A,Consumos!E:E)</f>
        <v>#VALUE!</v>
      </c>
      <c r="R2879" s="38" t="e">
        <f>_xlfn.XLOOKUP(Tabla1[[#This Row],[Ean Normalizado]],tabla_consumos[EAN],tabla_consumos[UM])</f>
        <v>#VALUE!</v>
      </c>
      <c r="S2879" s="38" t="e">
        <f>Tabla1[[#This Row],[StockDisp]]*Tabla1[[#This Row],[UM producto]]</f>
        <v>#VALUE!</v>
      </c>
    </row>
    <row r="2880" spans="1:19" x14ac:dyDescent="0.35">
      <c r="A2880" s="5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6"/>
      <c r="P2880" s="23" t="e">
        <f>TRIM(Tabla1[[#This Row],[Articulo]])</f>
        <v>#VALUE!</v>
      </c>
      <c r="Q2880" s="23" t="e">
        <f>_xlfn.XLOOKUP(Tabla1[[#This Row],[Ean Normalizado]],Consumos!A:A,Consumos!E:E)</f>
        <v>#VALUE!</v>
      </c>
      <c r="R2880" s="38" t="e">
        <f>_xlfn.XLOOKUP(Tabla1[[#This Row],[Ean Normalizado]],tabla_consumos[EAN],tabla_consumos[UM])</f>
        <v>#VALUE!</v>
      </c>
      <c r="S2880" s="38" t="e">
        <f>Tabla1[[#This Row],[StockDisp]]*Tabla1[[#This Row],[UM producto]]</f>
        <v>#VALUE!</v>
      </c>
    </row>
    <row r="2881" spans="1:19" x14ac:dyDescent="0.35">
      <c r="A2881" s="5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6"/>
      <c r="P2881" s="23" t="e">
        <f>TRIM(Tabla1[[#This Row],[Articulo]])</f>
        <v>#VALUE!</v>
      </c>
      <c r="Q2881" s="23" t="e">
        <f>_xlfn.XLOOKUP(Tabla1[[#This Row],[Ean Normalizado]],Consumos!A:A,Consumos!E:E)</f>
        <v>#VALUE!</v>
      </c>
      <c r="R2881" s="38" t="e">
        <f>_xlfn.XLOOKUP(Tabla1[[#This Row],[Ean Normalizado]],tabla_consumos[EAN],tabla_consumos[UM])</f>
        <v>#VALUE!</v>
      </c>
      <c r="S2881" s="38" t="e">
        <f>Tabla1[[#This Row],[StockDisp]]*Tabla1[[#This Row],[UM producto]]</f>
        <v>#VALUE!</v>
      </c>
    </row>
    <row r="2882" spans="1:19" x14ac:dyDescent="0.35">
      <c r="A2882" s="5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6"/>
      <c r="P2882" s="23" t="e">
        <f>TRIM(Tabla1[[#This Row],[Articulo]])</f>
        <v>#VALUE!</v>
      </c>
      <c r="Q2882" s="23" t="e">
        <f>_xlfn.XLOOKUP(Tabla1[[#This Row],[Ean Normalizado]],Consumos!A:A,Consumos!E:E)</f>
        <v>#VALUE!</v>
      </c>
      <c r="R2882" s="38" t="e">
        <f>_xlfn.XLOOKUP(Tabla1[[#This Row],[Ean Normalizado]],tabla_consumos[EAN],tabla_consumos[UM])</f>
        <v>#VALUE!</v>
      </c>
      <c r="S2882" s="38" t="e">
        <f>Tabla1[[#This Row],[StockDisp]]*Tabla1[[#This Row],[UM producto]]</f>
        <v>#VALUE!</v>
      </c>
    </row>
    <row r="2883" spans="1:19" x14ac:dyDescent="0.35">
      <c r="A2883" s="5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6"/>
      <c r="P2883" s="23" t="e">
        <f>TRIM(Tabla1[[#This Row],[Articulo]])</f>
        <v>#VALUE!</v>
      </c>
      <c r="Q2883" s="23" t="e">
        <f>_xlfn.XLOOKUP(Tabla1[[#This Row],[Ean Normalizado]],Consumos!A:A,Consumos!E:E)</f>
        <v>#VALUE!</v>
      </c>
      <c r="R2883" s="38" t="e">
        <f>_xlfn.XLOOKUP(Tabla1[[#This Row],[Ean Normalizado]],tabla_consumos[EAN],tabla_consumos[UM])</f>
        <v>#VALUE!</v>
      </c>
      <c r="S2883" s="38" t="e">
        <f>Tabla1[[#This Row],[StockDisp]]*Tabla1[[#This Row],[UM producto]]</f>
        <v>#VALUE!</v>
      </c>
    </row>
    <row r="2884" spans="1:19" x14ac:dyDescent="0.35">
      <c r="A2884" s="5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6"/>
      <c r="P2884" s="23" t="e">
        <f>TRIM(Tabla1[[#This Row],[Articulo]])</f>
        <v>#VALUE!</v>
      </c>
      <c r="Q2884" s="23" t="e">
        <f>_xlfn.XLOOKUP(Tabla1[[#This Row],[Ean Normalizado]],Consumos!A:A,Consumos!E:E)</f>
        <v>#VALUE!</v>
      </c>
      <c r="R2884" s="38" t="e">
        <f>_xlfn.XLOOKUP(Tabla1[[#This Row],[Ean Normalizado]],tabla_consumos[EAN],tabla_consumos[UM])</f>
        <v>#VALUE!</v>
      </c>
      <c r="S2884" s="38" t="e">
        <f>Tabla1[[#This Row],[StockDisp]]*Tabla1[[#This Row],[UM producto]]</f>
        <v>#VALUE!</v>
      </c>
    </row>
    <row r="2885" spans="1:19" x14ac:dyDescent="0.35">
      <c r="A2885" s="5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6"/>
      <c r="P2885" s="23" t="e">
        <f>TRIM(Tabla1[[#This Row],[Articulo]])</f>
        <v>#VALUE!</v>
      </c>
      <c r="Q2885" s="23" t="e">
        <f>_xlfn.XLOOKUP(Tabla1[[#This Row],[Ean Normalizado]],Consumos!A:A,Consumos!E:E)</f>
        <v>#VALUE!</v>
      </c>
      <c r="R2885" s="38" t="e">
        <f>_xlfn.XLOOKUP(Tabla1[[#This Row],[Ean Normalizado]],tabla_consumos[EAN],tabla_consumos[UM])</f>
        <v>#VALUE!</v>
      </c>
      <c r="S2885" s="38" t="e">
        <f>Tabla1[[#This Row],[StockDisp]]*Tabla1[[#This Row],[UM producto]]</f>
        <v>#VALUE!</v>
      </c>
    </row>
    <row r="2886" spans="1:19" x14ac:dyDescent="0.35">
      <c r="A2886" s="5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6"/>
      <c r="P2886" s="23" t="e">
        <f>TRIM(Tabla1[[#This Row],[Articulo]])</f>
        <v>#VALUE!</v>
      </c>
      <c r="Q2886" s="23" t="e">
        <f>_xlfn.XLOOKUP(Tabla1[[#This Row],[Ean Normalizado]],Consumos!A:A,Consumos!E:E)</f>
        <v>#VALUE!</v>
      </c>
      <c r="R2886" s="38" t="e">
        <f>_xlfn.XLOOKUP(Tabla1[[#This Row],[Ean Normalizado]],tabla_consumos[EAN],tabla_consumos[UM])</f>
        <v>#VALUE!</v>
      </c>
      <c r="S2886" s="38" t="e">
        <f>Tabla1[[#This Row],[StockDisp]]*Tabla1[[#This Row],[UM producto]]</f>
        <v>#VALUE!</v>
      </c>
    </row>
    <row r="2887" spans="1:19" x14ac:dyDescent="0.35">
      <c r="A2887" s="5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6"/>
      <c r="P2887" s="23" t="e">
        <f>TRIM(Tabla1[[#This Row],[Articulo]])</f>
        <v>#VALUE!</v>
      </c>
      <c r="Q2887" s="23" t="e">
        <f>_xlfn.XLOOKUP(Tabla1[[#This Row],[Ean Normalizado]],Consumos!A:A,Consumos!E:E)</f>
        <v>#VALUE!</v>
      </c>
      <c r="R2887" s="38" t="e">
        <f>_xlfn.XLOOKUP(Tabla1[[#This Row],[Ean Normalizado]],tabla_consumos[EAN],tabla_consumos[UM])</f>
        <v>#VALUE!</v>
      </c>
      <c r="S2887" s="38" t="e">
        <f>Tabla1[[#This Row],[StockDisp]]*Tabla1[[#This Row],[UM producto]]</f>
        <v>#VALUE!</v>
      </c>
    </row>
    <row r="2888" spans="1:19" x14ac:dyDescent="0.35">
      <c r="A2888" s="5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6"/>
      <c r="P2888" s="23" t="e">
        <f>TRIM(Tabla1[[#This Row],[Articulo]])</f>
        <v>#VALUE!</v>
      </c>
      <c r="Q2888" s="23" t="e">
        <f>_xlfn.XLOOKUP(Tabla1[[#This Row],[Ean Normalizado]],Consumos!A:A,Consumos!E:E)</f>
        <v>#VALUE!</v>
      </c>
      <c r="R2888" s="38" t="e">
        <f>_xlfn.XLOOKUP(Tabla1[[#This Row],[Ean Normalizado]],tabla_consumos[EAN],tabla_consumos[UM])</f>
        <v>#VALUE!</v>
      </c>
      <c r="S2888" s="38" t="e">
        <f>Tabla1[[#This Row],[StockDisp]]*Tabla1[[#This Row],[UM producto]]</f>
        <v>#VALUE!</v>
      </c>
    </row>
    <row r="2889" spans="1:19" x14ac:dyDescent="0.35">
      <c r="A2889" s="5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6"/>
      <c r="P2889" s="23" t="e">
        <f>TRIM(Tabla1[[#This Row],[Articulo]])</f>
        <v>#VALUE!</v>
      </c>
      <c r="Q2889" s="23" t="e">
        <f>_xlfn.XLOOKUP(Tabla1[[#This Row],[Ean Normalizado]],Consumos!A:A,Consumos!E:E)</f>
        <v>#VALUE!</v>
      </c>
      <c r="R2889" s="38" t="e">
        <f>_xlfn.XLOOKUP(Tabla1[[#This Row],[Ean Normalizado]],tabla_consumos[EAN],tabla_consumos[UM])</f>
        <v>#VALUE!</v>
      </c>
      <c r="S2889" s="38" t="e">
        <f>Tabla1[[#This Row],[StockDisp]]*Tabla1[[#This Row],[UM producto]]</f>
        <v>#VALUE!</v>
      </c>
    </row>
    <row r="2890" spans="1:19" x14ac:dyDescent="0.35">
      <c r="A2890" s="5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6"/>
      <c r="P2890" s="23" t="e">
        <f>TRIM(Tabla1[[#This Row],[Articulo]])</f>
        <v>#VALUE!</v>
      </c>
      <c r="Q2890" s="23" t="e">
        <f>_xlfn.XLOOKUP(Tabla1[[#This Row],[Ean Normalizado]],Consumos!A:A,Consumos!E:E)</f>
        <v>#VALUE!</v>
      </c>
      <c r="R2890" s="38" t="e">
        <f>_xlfn.XLOOKUP(Tabla1[[#This Row],[Ean Normalizado]],tabla_consumos[EAN],tabla_consumos[UM])</f>
        <v>#VALUE!</v>
      </c>
      <c r="S2890" s="38" t="e">
        <f>Tabla1[[#This Row],[StockDisp]]*Tabla1[[#This Row],[UM producto]]</f>
        <v>#VALUE!</v>
      </c>
    </row>
    <row r="2891" spans="1:19" x14ac:dyDescent="0.35">
      <c r="A2891" s="5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6"/>
      <c r="P2891" s="23" t="e">
        <f>TRIM(Tabla1[[#This Row],[Articulo]])</f>
        <v>#VALUE!</v>
      </c>
      <c r="Q2891" s="23" t="e">
        <f>_xlfn.XLOOKUP(Tabla1[[#This Row],[Ean Normalizado]],Consumos!A:A,Consumos!E:E)</f>
        <v>#VALUE!</v>
      </c>
      <c r="R2891" s="38" t="e">
        <f>_xlfn.XLOOKUP(Tabla1[[#This Row],[Ean Normalizado]],tabla_consumos[EAN],tabla_consumos[UM])</f>
        <v>#VALUE!</v>
      </c>
      <c r="S2891" s="38" t="e">
        <f>Tabla1[[#This Row],[StockDisp]]*Tabla1[[#This Row],[UM producto]]</f>
        <v>#VALUE!</v>
      </c>
    </row>
    <row r="2892" spans="1:19" x14ac:dyDescent="0.35">
      <c r="A2892" s="5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6"/>
      <c r="P2892" s="23" t="e">
        <f>TRIM(Tabla1[[#This Row],[Articulo]])</f>
        <v>#VALUE!</v>
      </c>
      <c r="Q2892" s="23" t="e">
        <f>_xlfn.XLOOKUP(Tabla1[[#This Row],[Ean Normalizado]],Consumos!A:A,Consumos!E:E)</f>
        <v>#VALUE!</v>
      </c>
      <c r="R2892" s="38" t="e">
        <f>_xlfn.XLOOKUP(Tabla1[[#This Row],[Ean Normalizado]],tabla_consumos[EAN],tabla_consumos[UM])</f>
        <v>#VALUE!</v>
      </c>
      <c r="S2892" s="38" t="e">
        <f>Tabla1[[#This Row],[StockDisp]]*Tabla1[[#This Row],[UM producto]]</f>
        <v>#VALUE!</v>
      </c>
    </row>
    <row r="2893" spans="1:19" x14ac:dyDescent="0.35">
      <c r="A2893" s="5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6"/>
      <c r="P2893" s="23" t="e">
        <f>TRIM(Tabla1[[#This Row],[Articulo]])</f>
        <v>#VALUE!</v>
      </c>
      <c r="Q2893" s="23" t="e">
        <f>_xlfn.XLOOKUP(Tabla1[[#This Row],[Ean Normalizado]],Consumos!A:A,Consumos!E:E)</f>
        <v>#VALUE!</v>
      </c>
      <c r="R2893" s="38" t="e">
        <f>_xlfn.XLOOKUP(Tabla1[[#This Row],[Ean Normalizado]],tabla_consumos[EAN],tabla_consumos[UM])</f>
        <v>#VALUE!</v>
      </c>
      <c r="S2893" s="38" t="e">
        <f>Tabla1[[#This Row],[StockDisp]]*Tabla1[[#This Row],[UM producto]]</f>
        <v>#VALUE!</v>
      </c>
    </row>
    <row r="2894" spans="1:19" x14ac:dyDescent="0.35">
      <c r="A2894" s="5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6"/>
      <c r="P2894" s="23" t="e">
        <f>TRIM(Tabla1[[#This Row],[Articulo]])</f>
        <v>#VALUE!</v>
      </c>
      <c r="Q2894" s="23" t="e">
        <f>_xlfn.XLOOKUP(Tabla1[[#This Row],[Ean Normalizado]],Consumos!A:A,Consumos!E:E)</f>
        <v>#VALUE!</v>
      </c>
      <c r="R2894" s="38" t="e">
        <f>_xlfn.XLOOKUP(Tabla1[[#This Row],[Ean Normalizado]],tabla_consumos[EAN],tabla_consumos[UM])</f>
        <v>#VALUE!</v>
      </c>
      <c r="S2894" s="38" t="e">
        <f>Tabla1[[#This Row],[StockDisp]]*Tabla1[[#This Row],[UM producto]]</f>
        <v>#VALUE!</v>
      </c>
    </row>
    <row r="2895" spans="1:19" x14ac:dyDescent="0.35">
      <c r="A2895" s="5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6"/>
      <c r="P2895" s="23" t="e">
        <f>TRIM(Tabla1[[#This Row],[Articulo]])</f>
        <v>#VALUE!</v>
      </c>
      <c r="Q2895" s="23" t="e">
        <f>_xlfn.XLOOKUP(Tabla1[[#This Row],[Ean Normalizado]],Consumos!A:A,Consumos!E:E)</f>
        <v>#VALUE!</v>
      </c>
      <c r="R2895" s="38" t="e">
        <f>_xlfn.XLOOKUP(Tabla1[[#This Row],[Ean Normalizado]],tabla_consumos[EAN],tabla_consumos[UM])</f>
        <v>#VALUE!</v>
      </c>
      <c r="S2895" s="38" t="e">
        <f>Tabla1[[#This Row],[StockDisp]]*Tabla1[[#This Row],[UM producto]]</f>
        <v>#VALUE!</v>
      </c>
    </row>
    <row r="2896" spans="1:19" x14ac:dyDescent="0.35">
      <c r="A2896" s="5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6"/>
      <c r="P2896" s="23" t="e">
        <f>TRIM(Tabla1[[#This Row],[Articulo]])</f>
        <v>#VALUE!</v>
      </c>
      <c r="Q2896" s="23" t="e">
        <f>_xlfn.XLOOKUP(Tabla1[[#This Row],[Ean Normalizado]],Consumos!A:A,Consumos!E:E)</f>
        <v>#VALUE!</v>
      </c>
      <c r="R2896" s="38" t="e">
        <f>_xlfn.XLOOKUP(Tabla1[[#This Row],[Ean Normalizado]],tabla_consumos[EAN],tabla_consumos[UM])</f>
        <v>#VALUE!</v>
      </c>
      <c r="S2896" s="38" t="e">
        <f>Tabla1[[#This Row],[StockDisp]]*Tabla1[[#This Row],[UM producto]]</f>
        <v>#VALUE!</v>
      </c>
    </row>
    <row r="2897" spans="1:19" x14ac:dyDescent="0.35">
      <c r="A2897" s="5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6"/>
      <c r="P2897" s="23" t="e">
        <f>TRIM(Tabla1[[#This Row],[Articulo]])</f>
        <v>#VALUE!</v>
      </c>
      <c r="Q2897" s="23" t="e">
        <f>_xlfn.XLOOKUP(Tabla1[[#This Row],[Ean Normalizado]],Consumos!A:A,Consumos!E:E)</f>
        <v>#VALUE!</v>
      </c>
      <c r="R2897" s="38" t="e">
        <f>_xlfn.XLOOKUP(Tabla1[[#This Row],[Ean Normalizado]],tabla_consumos[EAN],tabla_consumos[UM])</f>
        <v>#VALUE!</v>
      </c>
      <c r="S2897" s="38" t="e">
        <f>Tabla1[[#This Row],[StockDisp]]*Tabla1[[#This Row],[UM producto]]</f>
        <v>#VALUE!</v>
      </c>
    </row>
    <row r="2898" spans="1:19" x14ac:dyDescent="0.35">
      <c r="A2898" s="5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6"/>
      <c r="P2898" s="23" t="e">
        <f>TRIM(Tabla1[[#This Row],[Articulo]])</f>
        <v>#VALUE!</v>
      </c>
      <c r="Q2898" s="23" t="e">
        <f>_xlfn.XLOOKUP(Tabla1[[#This Row],[Ean Normalizado]],Consumos!A:A,Consumos!E:E)</f>
        <v>#VALUE!</v>
      </c>
      <c r="R2898" s="38" t="e">
        <f>_xlfn.XLOOKUP(Tabla1[[#This Row],[Ean Normalizado]],tabla_consumos[EAN],tabla_consumos[UM])</f>
        <v>#VALUE!</v>
      </c>
      <c r="S2898" s="38" t="e">
        <f>Tabla1[[#This Row],[StockDisp]]*Tabla1[[#This Row],[UM producto]]</f>
        <v>#VALUE!</v>
      </c>
    </row>
    <row r="2899" spans="1:19" x14ac:dyDescent="0.35">
      <c r="A2899" s="5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6"/>
      <c r="P2899" s="23" t="e">
        <f>TRIM(Tabla1[[#This Row],[Articulo]])</f>
        <v>#VALUE!</v>
      </c>
      <c r="Q2899" s="23" t="e">
        <f>_xlfn.XLOOKUP(Tabla1[[#This Row],[Ean Normalizado]],Consumos!A:A,Consumos!E:E)</f>
        <v>#VALUE!</v>
      </c>
      <c r="R2899" s="38" t="e">
        <f>_xlfn.XLOOKUP(Tabla1[[#This Row],[Ean Normalizado]],tabla_consumos[EAN],tabla_consumos[UM])</f>
        <v>#VALUE!</v>
      </c>
      <c r="S2899" s="38" t="e">
        <f>Tabla1[[#This Row],[StockDisp]]*Tabla1[[#This Row],[UM producto]]</f>
        <v>#VALUE!</v>
      </c>
    </row>
    <row r="2900" spans="1:19" x14ac:dyDescent="0.35">
      <c r="A2900" s="5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6"/>
      <c r="P2900" s="23" t="e">
        <f>TRIM(Tabla1[[#This Row],[Articulo]])</f>
        <v>#VALUE!</v>
      </c>
      <c r="Q2900" s="23" t="e">
        <f>_xlfn.XLOOKUP(Tabla1[[#This Row],[Ean Normalizado]],Consumos!A:A,Consumos!E:E)</f>
        <v>#VALUE!</v>
      </c>
      <c r="R2900" s="38" t="e">
        <f>_xlfn.XLOOKUP(Tabla1[[#This Row],[Ean Normalizado]],tabla_consumos[EAN],tabla_consumos[UM])</f>
        <v>#VALUE!</v>
      </c>
      <c r="S2900" s="38" t="e">
        <f>Tabla1[[#This Row],[StockDisp]]*Tabla1[[#This Row],[UM producto]]</f>
        <v>#VALUE!</v>
      </c>
    </row>
    <row r="2901" spans="1:19" x14ac:dyDescent="0.35">
      <c r="A2901" s="5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6"/>
      <c r="P2901" s="23" t="e">
        <f>TRIM(Tabla1[[#This Row],[Articulo]])</f>
        <v>#VALUE!</v>
      </c>
      <c r="Q2901" s="23" t="e">
        <f>_xlfn.XLOOKUP(Tabla1[[#This Row],[Ean Normalizado]],Consumos!A:A,Consumos!E:E)</f>
        <v>#VALUE!</v>
      </c>
      <c r="R2901" s="38" t="e">
        <f>_xlfn.XLOOKUP(Tabla1[[#This Row],[Ean Normalizado]],tabla_consumos[EAN],tabla_consumos[UM])</f>
        <v>#VALUE!</v>
      </c>
      <c r="S2901" s="38" t="e">
        <f>Tabla1[[#This Row],[StockDisp]]*Tabla1[[#This Row],[UM producto]]</f>
        <v>#VALUE!</v>
      </c>
    </row>
    <row r="2902" spans="1:19" x14ac:dyDescent="0.35">
      <c r="A2902" s="5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6"/>
      <c r="P2902" s="23" t="e">
        <f>TRIM(Tabla1[[#This Row],[Articulo]])</f>
        <v>#VALUE!</v>
      </c>
      <c r="Q2902" s="23" t="e">
        <f>_xlfn.XLOOKUP(Tabla1[[#This Row],[Ean Normalizado]],Consumos!A:A,Consumos!E:E)</f>
        <v>#VALUE!</v>
      </c>
      <c r="R2902" s="38" t="e">
        <f>_xlfn.XLOOKUP(Tabla1[[#This Row],[Ean Normalizado]],tabla_consumos[EAN],tabla_consumos[UM])</f>
        <v>#VALUE!</v>
      </c>
      <c r="S2902" s="38" t="e">
        <f>Tabla1[[#This Row],[StockDisp]]*Tabla1[[#This Row],[UM producto]]</f>
        <v>#VALUE!</v>
      </c>
    </row>
    <row r="2903" spans="1:19" x14ac:dyDescent="0.35">
      <c r="A2903" s="5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6"/>
      <c r="P2903" s="23" t="e">
        <f>TRIM(Tabla1[[#This Row],[Articulo]])</f>
        <v>#VALUE!</v>
      </c>
      <c r="Q2903" s="23" t="e">
        <f>_xlfn.XLOOKUP(Tabla1[[#This Row],[Ean Normalizado]],Consumos!A:A,Consumos!E:E)</f>
        <v>#VALUE!</v>
      </c>
      <c r="R2903" s="38" t="e">
        <f>_xlfn.XLOOKUP(Tabla1[[#This Row],[Ean Normalizado]],tabla_consumos[EAN],tabla_consumos[UM])</f>
        <v>#VALUE!</v>
      </c>
      <c r="S2903" s="38" t="e">
        <f>Tabla1[[#This Row],[StockDisp]]*Tabla1[[#This Row],[UM producto]]</f>
        <v>#VALUE!</v>
      </c>
    </row>
    <row r="2904" spans="1:19" x14ac:dyDescent="0.35">
      <c r="A2904" s="5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6"/>
      <c r="P2904" s="23" t="e">
        <f>TRIM(Tabla1[[#This Row],[Articulo]])</f>
        <v>#VALUE!</v>
      </c>
      <c r="Q2904" s="23" t="e">
        <f>_xlfn.XLOOKUP(Tabla1[[#This Row],[Ean Normalizado]],Consumos!A:A,Consumos!E:E)</f>
        <v>#VALUE!</v>
      </c>
      <c r="R2904" s="38" t="e">
        <f>_xlfn.XLOOKUP(Tabla1[[#This Row],[Ean Normalizado]],tabla_consumos[EAN],tabla_consumos[UM])</f>
        <v>#VALUE!</v>
      </c>
      <c r="S2904" s="38" t="e">
        <f>Tabla1[[#This Row],[StockDisp]]*Tabla1[[#This Row],[UM producto]]</f>
        <v>#VALUE!</v>
      </c>
    </row>
    <row r="2905" spans="1:19" x14ac:dyDescent="0.35">
      <c r="A2905" s="5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6"/>
      <c r="P2905" s="23" t="e">
        <f>TRIM(Tabla1[[#This Row],[Articulo]])</f>
        <v>#VALUE!</v>
      </c>
      <c r="Q2905" s="23" t="e">
        <f>_xlfn.XLOOKUP(Tabla1[[#This Row],[Ean Normalizado]],Consumos!A:A,Consumos!E:E)</f>
        <v>#VALUE!</v>
      </c>
      <c r="R2905" s="38" t="e">
        <f>_xlfn.XLOOKUP(Tabla1[[#This Row],[Ean Normalizado]],tabla_consumos[EAN],tabla_consumos[UM])</f>
        <v>#VALUE!</v>
      </c>
      <c r="S2905" s="38" t="e">
        <f>Tabla1[[#This Row],[StockDisp]]*Tabla1[[#This Row],[UM producto]]</f>
        <v>#VALUE!</v>
      </c>
    </row>
    <row r="2906" spans="1:19" x14ac:dyDescent="0.35">
      <c r="A2906" s="5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6"/>
      <c r="P2906" s="23" t="e">
        <f>TRIM(Tabla1[[#This Row],[Articulo]])</f>
        <v>#VALUE!</v>
      </c>
      <c r="Q2906" s="23" t="e">
        <f>_xlfn.XLOOKUP(Tabla1[[#This Row],[Ean Normalizado]],Consumos!A:A,Consumos!E:E)</f>
        <v>#VALUE!</v>
      </c>
      <c r="R2906" s="38" t="e">
        <f>_xlfn.XLOOKUP(Tabla1[[#This Row],[Ean Normalizado]],tabla_consumos[EAN],tabla_consumos[UM])</f>
        <v>#VALUE!</v>
      </c>
      <c r="S2906" s="38" t="e">
        <f>Tabla1[[#This Row],[StockDisp]]*Tabla1[[#This Row],[UM producto]]</f>
        <v>#VALUE!</v>
      </c>
    </row>
    <row r="2907" spans="1:19" x14ac:dyDescent="0.35">
      <c r="A2907" s="5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6"/>
      <c r="P2907" s="23" t="e">
        <f>TRIM(Tabla1[[#This Row],[Articulo]])</f>
        <v>#VALUE!</v>
      </c>
      <c r="Q2907" s="23" t="e">
        <f>_xlfn.XLOOKUP(Tabla1[[#This Row],[Ean Normalizado]],Consumos!A:A,Consumos!E:E)</f>
        <v>#VALUE!</v>
      </c>
      <c r="R2907" s="38" t="e">
        <f>_xlfn.XLOOKUP(Tabla1[[#This Row],[Ean Normalizado]],tabla_consumos[EAN],tabla_consumos[UM])</f>
        <v>#VALUE!</v>
      </c>
      <c r="S2907" s="38" t="e">
        <f>Tabla1[[#This Row],[StockDisp]]*Tabla1[[#This Row],[UM producto]]</f>
        <v>#VALUE!</v>
      </c>
    </row>
    <row r="2908" spans="1:19" x14ac:dyDescent="0.35">
      <c r="A2908" s="5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6"/>
      <c r="P2908" s="23" t="e">
        <f>TRIM(Tabla1[[#This Row],[Articulo]])</f>
        <v>#VALUE!</v>
      </c>
      <c r="Q2908" s="23" t="e">
        <f>_xlfn.XLOOKUP(Tabla1[[#This Row],[Ean Normalizado]],Consumos!A:A,Consumos!E:E)</f>
        <v>#VALUE!</v>
      </c>
      <c r="R2908" s="38" t="e">
        <f>_xlfn.XLOOKUP(Tabla1[[#This Row],[Ean Normalizado]],tabla_consumos[EAN],tabla_consumos[UM])</f>
        <v>#VALUE!</v>
      </c>
      <c r="S2908" s="38" t="e">
        <f>Tabla1[[#This Row],[StockDisp]]*Tabla1[[#This Row],[UM producto]]</f>
        <v>#VALUE!</v>
      </c>
    </row>
    <row r="2909" spans="1:19" x14ac:dyDescent="0.35">
      <c r="A2909" s="5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6"/>
      <c r="P2909" s="23" t="e">
        <f>TRIM(Tabla1[[#This Row],[Articulo]])</f>
        <v>#VALUE!</v>
      </c>
      <c r="Q2909" s="23" t="e">
        <f>_xlfn.XLOOKUP(Tabla1[[#This Row],[Ean Normalizado]],Consumos!A:A,Consumos!E:E)</f>
        <v>#VALUE!</v>
      </c>
      <c r="R2909" s="38" t="e">
        <f>_xlfn.XLOOKUP(Tabla1[[#This Row],[Ean Normalizado]],tabla_consumos[EAN],tabla_consumos[UM])</f>
        <v>#VALUE!</v>
      </c>
      <c r="S2909" s="38" t="e">
        <f>Tabla1[[#This Row],[StockDisp]]*Tabla1[[#This Row],[UM producto]]</f>
        <v>#VALUE!</v>
      </c>
    </row>
    <row r="2910" spans="1:19" x14ac:dyDescent="0.35">
      <c r="A2910" s="5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6"/>
      <c r="P2910" s="23" t="e">
        <f>TRIM(Tabla1[[#This Row],[Articulo]])</f>
        <v>#VALUE!</v>
      </c>
      <c r="Q2910" s="23" t="e">
        <f>_xlfn.XLOOKUP(Tabla1[[#This Row],[Ean Normalizado]],Consumos!A:A,Consumos!E:E)</f>
        <v>#VALUE!</v>
      </c>
      <c r="R2910" s="38" t="e">
        <f>_xlfn.XLOOKUP(Tabla1[[#This Row],[Ean Normalizado]],tabla_consumos[EAN],tabla_consumos[UM])</f>
        <v>#VALUE!</v>
      </c>
      <c r="S2910" s="38" t="e">
        <f>Tabla1[[#This Row],[StockDisp]]*Tabla1[[#This Row],[UM producto]]</f>
        <v>#VALUE!</v>
      </c>
    </row>
    <row r="2911" spans="1:19" x14ac:dyDescent="0.35">
      <c r="A2911" s="5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6"/>
      <c r="P2911" s="23" t="e">
        <f>TRIM(Tabla1[[#This Row],[Articulo]])</f>
        <v>#VALUE!</v>
      </c>
      <c r="Q2911" s="23" t="e">
        <f>_xlfn.XLOOKUP(Tabla1[[#This Row],[Ean Normalizado]],Consumos!A:A,Consumos!E:E)</f>
        <v>#VALUE!</v>
      </c>
      <c r="R2911" s="38" t="e">
        <f>_xlfn.XLOOKUP(Tabla1[[#This Row],[Ean Normalizado]],tabla_consumos[EAN],tabla_consumos[UM])</f>
        <v>#VALUE!</v>
      </c>
      <c r="S2911" s="38" t="e">
        <f>Tabla1[[#This Row],[StockDisp]]*Tabla1[[#This Row],[UM producto]]</f>
        <v>#VALUE!</v>
      </c>
    </row>
    <row r="2912" spans="1:19" x14ac:dyDescent="0.35">
      <c r="A2912" s="5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6"/>
      <c r="P2912" s="23" t="e">
        <f>TRIM(Tabla1[[#This Row],[Articulo]])</f>
        <v>#VALUE!</v>
      </c>
      <c r="Q2912" s="23" t="e">
        <f>_xlfn.XLOOKUP(Tabla1[[#This Row],[Ean Normalizado]],Consumos!A:A,Consumos!E:E)</f>
        <v>#VALUE!</v>
      </c>
      <c r="R2912" s="38" t="e">
        <f>_xlfn.XLOOKUP(Tabla1[[#This Row],[Ean Normalizado]],tabla_consumos[EAN],tabla_consumos[UM])</f>
        <v>#VALUE!</v>
      </c>
      <c r="S2912" s="38" t="e">
        <f>Tabla1[[#This Row],[StockDisp]]*Tabla1[[#This Row],[UM producto]]</f>
        <v>#VALUE!</v>
      </c>
    </row>
    <row r="2913" spans="1:19" x14ac:dyDescent="0.35">
      <c r="A2913" s="5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6"/>
      <c r="P2913" s="23" t="e">
        <f>TRIM(Tabla1[[#This Row],[Articulo]])</f>
        <v>#VALUE!</v>
      </c>
      <c r="Q2913" s="23" t="e">
        <f>_xlfn.XLOOKUP(Tabla1[[#This Row],[Ean Normalizado]],Consumos!A:A,Consumos!E:E)</f>
        <v>#VALUE!</v>
      </c>
      <c r="R2913" s="38" t="e">
        <f>_xlfn.XLOOKUP(Tabla1[[#This Row],[Ean Normalizado]],tabla_consumos[EAN],tabla_consumos[UM])</f>
        <v>#VALUE!</v>
      </c>
      <c r="S2913" s="38" t="e">
        <f>Tabla1[[#This Row],[StockDisp]]*Tabla1[[#This Row],[UM producto]]</f>
        <v>#VALUE!</v>
      </c>
    </row>
    <row r="2914" spans="1:19" x14ac:dyDescent="0.35">
      <c r="A2914" s="5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6"/>
      <c r="P2914" s="23" t="e">
        <f>TRIM(Tabla1[[#This Row],[Articulo]])</f>
        <v>#VALUE!</v>
      </c>
      <c r="Q2914" s="23" t="e">
        <f>_xlfn.XLOOKUP(Tabla1[[#This Row],[Ean Normalizado]],Consumos!A:A,Consumos!E:E)</f>
        <v>#VALUE!</v>
      </c>
      <c r="R2914" s="38" t="e">
        <f>_xlfn.XLOOKUP(Tabla1[[#This Row],[Ean Normalizado]],tabla_consumos[EAN],tabla_consumos[UM])</f>
        <v>#VALUE!</v>
      </c>
      <c r="S2914" s="38" t="e">
        <f>Tabla1[[#This Row],[StockDisp]]*Tabla1[[#This Row],[UM producto]]</f>
        <v>#VALUE!</v>
      </c>
    </row>
    <row r="2915" spans="1:19" x14ac:dyDescent="0.35">
      <c r="A2915" s="5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6"/>
      <c r="P2915" s="23" t="e">
        <f>TRIM(Tabla1[[#This Row],[Articulo]])</f>
        <v>#VALUE!</v>
      </c>
      <c r="Q2915" s="23" t="e">
        <f>_xlfn.XLOOKUP(Tabla1[[#This Row],[Ean Normalizado]],Consumos!A:A,Consumos!E:E)</f>
        <v>#VALUE!</v>
      </c>
      <c r="R2915" s="38" t="e">
        <f>_xlfn.XLOOKUP(Tabla1[[#This Row],[Ean Normalizado]],tabla_consumos[EAN],tabla_consumos[UM])</f>
        <v>#VALUE!</v>
      </c>
      <c r="S2915" s="38" t="e">
        <f>Tabla1[[#This Row],[StockDisp]]*Tabla1[[#This Row],[UM producto]]</f>
        <v>#VALUE!</v>
      </c>
    </row>
    <row r="2916" spans="1:19" x14ac:dyDescent="0.35">
      <c r="A2916" s="5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6"/>
      <c r="P2916" s="23" t="e">
        <f>TRIM(Tabla1[[#This Row],[Articulo]])</f>
        <v>#VALUE!</v>
      </c>
      <c r="Q2916" s="23" t="e">
        <f>_xlfn.XLOOKUP(Tabla1[[#This Row],[Ean Normalizado]],Consumos!A:A,Consumos!E:E)</f>
        <v>#VALUE!</v>
      </c>
      <c r="R2916" s="38" t="e">
        <f>_xlfn.XLOOKUP(Tabla1[[#This Row],[Ean Normalizado]],tabla_consumos[EAN],tabla_consumos[UM])</f>
        <v>#VALUE!</v>
      </c>
      <c r="S2916" s="38" t="e">
        <f>Tabla1[[#This Row],[StockDisp]]*Tabla1[[#This Row],[UM producto]]</f>
        <v>#VALUE!</v>
      </c>
    </row>
    <row r="2917" spans="1:19" x14ac:dyDescent="0.35">
      <c r="A2917" s="5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6"/>
      <c r="P2917" s="23" t="e">
        <f>TRIM(Tabla1[[#This Row],[Articulo]])</f>
        <v>#VALUE!</v>
      </c>
      <c r="Q2917" s="23" t="e">
        <f>_xlfn.XLOOKUP(Tabla1[[#This Row],[Ean Normalizado]],Consumos!A:A,Consumos!E:E)</f>
        <v>#VALUE!</v>
      </c>
      <c r="R2917" s="38" t="e">
        <f>_xlfn.XLOOKUP(Tabla1[[#This Row],[Ean Normalizado]],tabla_consumos[EAN],tabla_consumos[UM])</f>
        <v>#VALUE!</v>
      </c>
      <c r="S2917" s="38" t="e">
        <f>Tabla1[[#This Row],[StockDisp]]*Tabla1[[#This Row],[UM producto]]</f>
        <v>#VALUE!</v>
      </c>
    </row>
    <row r="2918" spans="1:19" x14ac:dyDescent="0.35">
      <c r="A2918" s="5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6"/>
      <c r="P2918" s="23" t="e">
        <f>TRIM(Tabla1[[#This Row],[Articulo]])</f>
        <v>#VALUE!</v>
      </c>
      <c r="Q2918" s="23" t="e">
        <f>_xlfn.XLOOKUP(Tabla1[[#This Row],[Ean Normalizado]],Consumos!A:A,Consumos!E:E)</f>
        <v>#VALUE!</v>
      </c>
      <c r="R2918" s="38" t="e">
        <f>_xlfn.XLOOKUP(Tabla1[[#This Row],[Ean Normalizado]],tabla_consumos[EAN],tabla_consumos[UM])</f>
        <v>#VALUE!</v>
      </c>
      <c r="S2918" s="38" t="e">
        <f>Tabla1[[#This Row],[StockDisp]]*Tabla1[[#This Row],[UM producto]]</f>
        <v>#VALUE!</v>
      </c>
    </row>
    <row r="2919" spans="1:19" x14ac:dyDescent="0.35">
      <c r="A2919" s="5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6"/>
      <c r="P2919" s="23" t="e">
        <f>TRIM(Tabla1[[#This Row],[Articulo]])</f>
        <v>#VALUE!</v>
      </c>
      <c r="Q2919" s="23" t="e">
        <f>_xlfn.XLOOKUP(Tabla1[[#This Row],[Ean Normalizado]],Consumos!A:A,Consumos!E:E)</f>
        <v>#VALUE!</v>
      </c>
      <c r="R2919" s="38" t="e">
        <f>_xlfn.XLOOKUP(Tabla1[[#This Row],[Ean Normalizado]],tabla_consumos[EAN],tabla_consumos[UM])</f>
        <v>#VALUE!</v>
      </c>
      <c r="S2919" s="38" t="e">
        <f>Tabla1[[#This Row],[StockDisp]]*Tabla1[[#This Row],[UM producto]]</f>
        <v>#VALUE!</v>
      </c>
    </row>
    <row r="2920" spans="1:19" x14ac:dyDescent="0.35">
      <c r="A2920" s="5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6"/>
      <c r="P2920" s="23" t="e">
        <f>TRIM(Tabla1[[#This Row],[Articulo]])</f>
        <v>#VALUE!</v>
      </c>
      <c r="Q2920" s="23" t="e">
        <f>_xlfn.XLOOKUP(Tabla1[[#This Row],[Ean Normalizado]],Consumos!A:A,Consumos!E:E)</f>
        <v>#VALUE!</v>
      </c>
      <c r="R2920" s="38" t="e">
        <f>_xlfn.XLOOKUP(Tabla1[[#This Row],[Ean Normalizado]],tabla_consumos[EAN],tabla_consumos[UM])</f>
        <v>#VALUE!</v>
      </c>
      <c r="S2920" s="38" t="e">
        <f>Tabla1[[#This Row],[StockDisp]]*Tabla1[[#This Row],[UM producto]]</f>
        <v>#VALUE!</v>
      </c>
    </row>
    <row r="2921" spans="1:19" x14ac:dyDescent="0.35">
      <c r="A2921" s="5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6"/>
      <c r="P2921" s="23" t="e">
        <f>TRIM(Tabla1[[#This Row],[Articulo]])</f>
        <v>#VALUE!</v>
      </c>
      <c r="Q2921" s="23" t="e">
        <f>_xlfn.XLOOKUP(Tabla1[[#This Row],[Ean Normalizado]],Consumos!A:A,Consumos!E:E)</f>
        <v>#VALUE!</v>
      </c>
      <c r="R2921" s="38" t="e">
        <f>_xlfn.XLOOKUP(Tabla1[[#This Row],[Ean Normalizado]],tabla_consumos[EAN],tabla_consumos[UM])</f>
        <v>#VALUE!</v>
      </c>
      <c r="S2921" s="38" t="e">
        <f>Tabla1[[#This Row],[StockDisp]]*Tabla1[[#This Row],[UM producto]]</f>
        <v>#VALUE!</v>
      </c>
    </row>
    <row r="2922" spans="1:19" x14ac:dyDescent="0.35">
      <c r="A2922" s="5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6"/>
      <c r="P2922" s="23" t="e">
        <f>TRIM(Tabla1[[#This Row],[Articulo]])</f>
        <v>#VALUE!</v>
      </c>
      <c r="Q2922" s="23" t="e">
        <f>_xlfn.XLOOKUP(Tabla1[[#This Row],[Ean Normalizado]],Consumos!A:A,Consumos!E:E)</f>
        <v>#VALUE!</v>
      </c>
      <c r="R2922" s="38" t="e">
        <f>_xlfn.XLOOKUP(Tabla1[[#This Row],[Ean Normalizado]],tabla_consumos[EAN],tabla_consumos[UM])</f>
        <v>#VALUE!</v>
      </c>
      <c r="S2922" s="38" t="e">
        <f>Tabla1[[#This Row],[StockDisp]]*Tabla1[[#This Row],[UM producto]]</f>
        <v>#VALUE!</v>
      </c>
    </row>
    <row r="2923" spans="1:19" x14ac:dyDescent="0.35">
      <c r="A2923" s="5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6"/>
      <c r="P2923" s="23" t="e">
        <f>TRIM(Tabla1[[#This Row],[Articulo]])</f>
        <v>#VALUE!</v>
      </c>
      <c r="Q2923" s="23" t="e">
        <f>_xlfn.XLOOKUP(Tabla1[[#This Row],[Ean Normalizado]],Consumos!A:A,Consumos!E:E)</f>
        <v>#VALUE!</v>
      </c>
      <c r="R2923" s="38" t="e">
        <f>_xlfn.XLOOKUP(Tabla1[[#This Row],[Ean Normalizado]],tabla_consumos[EAN],tabla_consumos[UM])</f>
        <v>#VALUE!</v>
      </c>
      <c r="S2923" s="38" t="e">
        <f>Tabla1[[#This Row],[StockDisp]]*Tabla1[[#This Row],[UM producto]]</f>
        <v>#VALUE!</v>
      </c>
    </row>
    <row r="2924" spans="1:19" x14ac:dyDescent="0.35">
      <c r="A2924" s="5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6"/>
      <c r="P2924" s="23" t="e">
        <f>TRIM(Tabla1[[#This Row],[Articulo]])</f>
        <v>#VALUE!</v>
      </c>
      <c r="Q2924" s="23" t="e">
        <f>_xlfn.XLOOKUP(Tabla1[[#This Row],[Ean Normalizado]],Consumos!A:A,Consumos!E:E)</f>
        <v>#VALUE!</v>
      </c>
      <c r="R2924" s="38" t="e">
        <f>_xlfn.XLOOKUP(Tabla1[[#This Row],[Ean Normalizado]],tabla_consumos[EAN],tabla_consumos[UM])</f>
        <v>#VALUE!</v>
      </c>
      <c r="S2924" s="38" t="e">
        <f>Tabla1[[#This Row],[StockDisp]]*Tabla1[[#This Row],[UM producto]]</f>
        <v>#VALUE!</v>
      </c>
    </row>
    <row r="2925" spans="1:19" x14ac:dyDescent="0.35">
      <c r="A2925" s="5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6"/>
      <c r="P2925" s="23" t="e">
        <f>TRIM(Tabla1[[#This Row],[Articulo]])</f>
        <v>#VALUE!</v>
      </c>
      <c r="Q2925" s="23" t="e">
        <f>_xlfn.XLOOKUP(Tabla1[[#This Row],[Ean Normalizado]],Consumos!A:A,Consumos!E:E)</f>
        <v>#VALUE!</v>
      </c>
      <c r="R2925" s="38" t="e">
        <f>_xlfn.XLOOKUP(Tabla1[[#This Row],[Ean Normalizado]],tabla_consumos[EAN],tabla_consumos[UM])</f>
        <v>#VALUE!</v>
      </c>
      <c r="S2925" s="38" t="e">
        <f>Tabla1[[#This Row],[StockDisp]]*Tabla1[[#This Row],[UM producto]]</f>
        <v>#VALUE!</v>
      </c>
    </row>
    <row r="2926" spans="1:19" x14ac:dyDescent="0.35">
      <c r="A2926" s="5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6"/>
      <c r="P2926" s="23" t="e">
        <f>TRIM(Tabla1[[#This Row],[Articulo]])</f>
        <v>#VALUE!</v>
      </c>
      <c r="Q2926" s="23" t="e">
        <f>_xlfn.XLOOKUP(Tabla1[[#This Row],[Ean Normalizado]],Consumos!A:A,Consumos!E:E)</f>
        <v>#VALUE!</v>
      </c>
      <c r="R2926" s="38" t="e">
        <f>_xlfn.XLOOKUP(Tabla1[[#This Row],[Ean Normalizado]],tabla_consumos[EAN],tabla_consumos[UM])</f>
        <v>#VALUE!</v>
      </c>
      <c r="S2926" s="38" t="e">
        <f>Tabla1[[#This Row],[StockDisp]]*Tabla1[[#This Row],[UM producto]]</f>
        <v>#VALUE!</v>
      </c>
    </row>
    <row r="2927" spans="1:19" x14ac:dyDescent="0.35">
      <c r="A2927" s="5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6"/>
      <c r="P2927" s="23" t="e">
        <f>TRIM(Tabla1[[#This Row],[Articulo]])</f>
        <v>#VALUE!</v>
      </c>
      <c r="Q2927" s="23" t="e">
        <f>_xlfn.XLOOKUP(Tabla1[[#This Row],[Ean Normalizado]],Consumos!A:A,Consumos!E:E)</f>
        <v>#VALUE!</v>
      </c>
      <c r="R2927" s="38" t="e">
        <f>_xlfn.XLOOKUP(Tabla1[[#This Row],[Ean Normalizado]],tabla_consumos[EAN],tabla_consumos[UM])</f>
        <v>#VALUE!</v>
      </c>
      <c r="S2927" s="38" t="e">
        <f>Tabla1[[#This Row],[StockDisp]]*Tabla1[[#This Row],[UM producto]]</f>
        <v>#VALUE!</v>
      </c>
    </row>
    <row r="2928" spans="1:19" x14ac:dyDescent="0.35">
      <c r="A2928" s="5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6"/>
      <c r="P2928" s="23" t="e">
        <f>TRIM(Tabla1[[#This Row],[Articulo]])</f>
        <v>#VALUE!</v>
      </c>
      <c r="Q2928" s="23" t="e">
        <f>_xlfn.XLOOKUP(Tabla1[[#This Row],[Ean Normalizado]],Consumos!A:A,Consumos!E:E)</f>
        <v>#VALUE!</v>
      </c>
      <c r="R2928" s="38" t="e">
        <f>_xlfn.XLOOKUP(Tabla1[[#This Row],[Ean Normalizado]],tabla_consumos[EAN],tabla_consumos[UM])</f>
        <v>#VALUE!</v>
      </c>
      <c r="S2928" s="38" t="e">
        <f>Tabla1[[#This Row],[StockDisp]]*Tabla1[[#This Row],[UM producto]]</f>
        <v>#VALUE!</v>
      </c>
    </row>
    <row r="2929" spans="1:19" x14ac:dyDescent="0.35">
      <c r="A2929" s="5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6"/>
      <c r="P2929" s="23" t="e">
        <f>TRIM(Tabla1[[#This Row],[Articulo]])</f>
        <v>#VALUE!</v>
      </c>
      <c r="Q2929" s="23" t="e">
        <f>_xlfn.XLOOKUP(Tabla1[[#This Row],[Ean Normalizado]],Consumos!A:A,Consumos!E:E)</f>
        <v>#VALUE!</v>
      </c>
      <c r="R2929" s="38" t="e">
        <f>_xlfn.XLOOKUP(Tabla1[[#This Row],[Ean Normalizado]],tabla_consumos[EAN],tabla_consumos[UM])</f>
        <v>#VALUE!</v>
      </c>
      <c r="S2929" s="38" t="e">
        <f>Tabla1[[#This Row],[StockDisp]]*Tabla1[[#This Row],[UM producto]]</f>
        <v>#VALUE!</v>
      </c>
    </row>
    <row r="2930" spans="1:19" x14ac:dyDescent="0.35">
      <c r="A2930" s="5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6"/>
      <c r="P2930" s="23" t="e">
        <f>TRIM(Tabla1[[#This Row],[Articulo]])</f>
        <v>#VALUE!</v>
      </c>
      <c r="Q2930" s="23" t="e">
        <f>_xlfn.XLOOKUP(Tabla1[[#This Row],[Ean Normalizado]],Consumos!A:A,Consumos!E:E)</f>
        <v>#VALUE!</v>
      </c>
      <c r="R2930" s="38" t="e">
        <f>_xlfn.XLOOKUP(Tabla1[[#This Row],[Ean Normalizado]],tabla_consumos[EAN],tabla_consumos[UM])</f>
        <v>#VALUE!</v>
      </c>
      <c r="S2930" s="38" t="e">
        <f>Tabla1[[#This Row],[StockDisp]]*Tabla1[[#This Row],[UM producto]]</f>
        <v>#VALUE!</v>
      </c>
    </row>
    <row r="2931" spans="1:19" x14ac:dyDescent="0.35">
      <c r="A2931" s="5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6"/>
      <c r="P2931" s="23" t="e">
        <f>TRIM(Tabla1[[#This Row],[Articulo]])</f>
        <v>#VALUE!</v>
      </c>
      <c r="Q2931" s="23" t="e">
        <f>_xlfn.XLOOKUP(Tabla1[[#This Row],[Ean Normalizado]],Consumos!A:A,Consumos!E:E)</f>
        <v>#VALUE!</v>
      </c>
      <c r="R2931" s="38" t="e">
        <f>_xlfn.XLOOKUP(Tabla1[[#This Row],[Ean Normalizado]],tabla_consumos[EAN],tabla_consumos[UM])</f>
        <v>#VALUE!</v>
      </c>
      <c r="S2931" s="38" t="e">
        <f>Tabla1[[#This Row],[StockDisp]]*Tabla1[[#This Row],[UM producto]]</f>
        <v>#VALUE!</v>
      </c>
    </row>
    <row r="2932" spans="1:19" x14ac:dyDescent="0.35">
      <c r="A2932" s="5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6"/>
      <c r="P2932" s="23" t="e">
        <f>TRIM(Tabla1[[#This Row],[Articulo]])</f>
        <v>#VALUE!</v>
      </c>
      <c r="Q2932" s="23" t="e">
        <f>_xlfn.XLOOKUP(Tabla1[[#This Row],[Ean Normalizado]],Consumos!A:A,Consumos!E:E)</f>
        <v>#VALUE!</v>
      </c>
      <c r="R2932" s="38" t="e">
        <f>_xlfn.XLOOKUP(Tabla1[[#This Row],[Ean Normalizado]],tabla_consumos[EAN],tabla_consumos[UM])</f>
        <v>#VALUE!</v>
      </c>
      <c r="S2932" s="38" t="e">
        <f>Tabla1[[#This Row],[StockDisp]]*Tabla1[[#This Row],[UM producto]]</f>
        <v>#VALUE!</v>
      </c>
    </row>
    <row r="2933" spans="1:19" x14ac:dyDescent="0.35">
      <c r="A2933" s="5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6"/>
      <c r="P2933" s="23" t="e">
        <f>TRIM(Tabla1[[#This Row],[Articulo]])</f>
        <v>#VALUE!</v>
      </c>
      <c r="Q2933" s="23" t="e">
        <f>_xlfn.XLOOKUP(Tabla1[[#This Row],[Ean Normalizado]],Consumos!A:A,Consumos!E:E)</f>
        <v>#VALUE!</v>
      </c>
      <c r="R2933" s="38" t="e">
        <f>_xlfn.XLOOKUP(Tabla1[[#This Row],[Ean Normalizado]],tabla_consumos[EAN],tabla_consumos[UM])</f>
        <v>#VALUE!</v>
      </c>
      <c r="S2933" s="38" t="e">
        <f>Tabla1[[#This Row],[StockDisp]]*Tabla1[[#This Row],[UM producto]]</f>
        <v>#VALUE!</v>
      </c>
    </row>
    <row r="2934" spans="1:19" x14ac:dyDescent="0.35">
      <c r="A2934" s="5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6"/>
      <c r="P2934" s="23" t="e">
        <f>TRIM(Tabla1[[#This Row],[Articulo]])</f>
        <v>#VALUE!</v>
      </c>
      <c r="Q2934" s="23" t="e">
        <f>_xlfn.XLOOKUP(Tabla1[[#This Row],[Ean Normalizado]],Consumos!A:A,Consumos!E:E)</f>
        <v>#VALUE!</v>
      </c>
      <c r="R2934" s="38" t="e">
        <f>_xlfn.XLOOKUP(Tabla1[[#This Row],[Ean Normalizado]],tabla_consumos[EAN],tabla_consumos[UM])</f>
        <v>#VALUE!</v>
      </c>
      <c r="S2934" s="38" t="e">
        <f>Tabla1[[#This Row],[StockDisp]]*Tabla1[[#This Row],[UM producto]]</f>
        <v>#VALUE!</v>
      </c>
    </row>
    <row r="2935" spans="1:19" x14ac:dyDescent="0.35">
      <c r="A2935" s="5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6"/>
      <c r="P2935" s="23" t="e">
        <f>TRIM(Tabla1[[#This Row],[Articulo]])</f>
        <v>#VALUE!</v>
      </c>
      <c r="Q2935" s="23" t="e">
        <f>_xlfn.XLOOKUP(Tabla1[[#This Row],[Ean Normalizado]],Consumos!A:A,Consumos!E:E)</f>
        <v>#VALUE!</v>
      </c>
      <c r="R2935" s="38" t="e">
        <f>_xlfn.XLOOKUP(Tabla1[[#This Row],[Ean Normalizado]],tabla_consumos[EAN],tabla_consumos[UM])</f>
        <v>#VALUE!</v>
      </c>
      <c r="S2935" s="38" t="e">
        <f>Tabla1[[#This Row],[StockDisp]]*Tabla1[[#This Row],[UM producto]]</f>
        <v>#VALUE!</v>
      </c>
    </row>
    <row r="2936" spans="1:19" x14ac:dyDescent="0.35">
      <c r="A2936" s="5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6"/>
      <c r="P2936" s="23" t="e">
        <f>TRIM(Tabla1[[#This Row],[Articulo]])</f>
        <v>#VALUE!</v>
      </c>
      <c r="Q2936" s="23" t="e">
        <f>_xlfn.XLOOKUP(Tabla1[[#This Row],[Ean Normalizado]],Consumos!A:A,Consumos!E:E)</f>
        <v>#VALUE!</v>
      </c>
      <c r="R2936" s="38" t="e">
        <f>_xlfn.XLOOKUP(Tabla1[[#This Row],[Ean Normalizado]],tabla_consumos[EAN],tabla_consumos[UM])</f>
        <v>#VALUE!</v>
      </c>
      <c r="S2936" s="38" t="e">
        <f>Tabla1[[#This Row],[StockDisp]]*Tabla1[[#This Row],[UM producto]]</f>
        <v>#VALUE!</v>
      </c>
    </row>
    <row r="2937" spans="1:19" x14ac:dyDescent="0.35">
      <c r="A2937" s="5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6"/>
      <c r="P2937" s="23" t="e">
        <f>TRIM(Tabla1[[#This Row],[Articulo]])</f>
        <v>#VALUE!</v>
      </c>
      <c r="Q2937" s="23" t="e">
        <f>_xlfn.XLOOKUP(Tabla1[[#This Row],[Ean Normalizado]],Consumos!A:A,Consumos!E:E)</f>
        <v>#VALUE!</v>
      </c>
      <c r="R2937" s="38" t="e">
        <f>_xlfn.XLOOKUP(Tabla1[[#This Row],[Ean Normalizado]],tabla_consumos[EAN],tabla_consumos[UM])</f>
        <v>#VALUE!</v>
      </c>
      <c r="S2937" s="38" t="e">
        <f>Tabla1[[#This Row],[StockDisp]]*Tabla1[[#This Row],[UM producto]]</f>
        <v>#VALUE!</v>
      </c>
    </row>
    <row r="2938" spans="1:19" x14ac:dyDescent="0.35">
      <c r="A2938" s="5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6"/>
      <c r="P2938" s="23" t="e">
        <f>TRIM(Tabla1[[#This Row],[Articulo]])</f>
        <v>#VALUE!</v>
      </c>
      <c r="Q2938" s="23" t="e">
        <f>_xlfn.XLOOKUP(Tabla1[[#This Row],[Ean Normalizado]],Consumos!A:A,Consumos!E:E)</f>
        <v>#VALUE!</v>
      </c>
      <c r="R2938" s="38" t="e">
        <f>_xlfn.XLOOKUP(Tabla1[[#This Row],[Ean Normalizado]],tabla_consumos[EAN],tabla_consumos[UM])</f>
        <v>#VALUE!</v>
      </c>
      <c r="S2938" s="38" t="e">
        <f>Tabla1[[#This Row],[StockDisp]]*Tabla1[[#This Row],[UM producto]]</f>
        <v>#VALUE!</v>
      </c>
    </row>
    <row r="2939" spans="1:19" x14ac:dyDescent="0.35">
      <c r="A2939" s="5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6"/>
      <c r="P2939" s="23" t="e">
        <f>TRIM(Tabla1[[#This Row],[Articulo]])</f>
        <v>#VALUE!</v>
      </c>
      <c r="Q2939" s="23" t="e">
        <f>_xlfn.XLOOKUP(Tabla1[[#This Row],[Ean Normalizado]],Consumos!A:A,Consumos!E:E)</f>
        <v>#VALUE!</v>
      </c>
      <c r="R2939" s="38" t="e">
        <f>_xlfn.XLOOKUP(Tabla1[[#This Row],[Ean Normalizado]],tabla_consumos[EAN],tabla_consumos[UM])</f>
        <v>#VALUE!</v>
      </c>
      <c r="S2939" s="38" t="e">
        <f>Tabla1[[#This Row],[StockDisp]]*Tabla1[[#This Row],[UM producto]]</f>
        <v>#VALUE!</v>
      </c>
    </row>
    <row r="2940" spans="1:19" x14ac:dyDescent="0.35">
      <c r="A2940" s="5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6"/>
      <c r="P2940" s="23" t="e">
        <f>TRIM(Tabla1[[#This Row],[Articulo]])</f>
        <v>#VALUE!</v>
      </c>
      <c r="Q2940" s="23" t="e">
        <f>_xlfn.XLOOKUP(Tabla1[[#This Row],[Ean Normalizado]],Consumos!A:A,Consumos!E:E)</f>
        <v>#VALUE!</v>
      </c>
      <c r="R2940" s="38" t="e">
        <f>_xlfn.XLOOKUP(Tabla1[[#This Row],[Ean Normalizado]],tabla_consumos[EAN],tabla_consumos[UM])</f>
        <v>#VALUE!</v>
      </c>
      <c r="S2940" s="38" t="e">
        <f>Tabla1[[#This Row],[StockDisp]]*Tabla1[[#This Row],[UM producto]]</f>
        <v>#VALUE!</v>
      </c>
    </row>
    <row r="2941" spans="1:19" x14ac:dyDescent="0.35">
      <c r="A2941" s="5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6"/>
      <c r="P2941" s="23" t="e">
        <f>TRIM(Tabla1[[#This Row],[Articulo]])</f>
        <v>#VALUE!</v>
      </c>
      <c r="Q2941" s="23" t="e">
        <f>_xlfn.XLOOKUP(Tabla1[[#This Row],[Ean Normalizado]],Consumos!A:A,Consumos!E:E)</f>
        <v>#VALUE!</v>
      </c>
      <c r="R2941" s="38" t="e">
        <f>_xlfn.XLOOKUP(Tabla1[[#This Row],[Ean Normalizado]],tabla_consumos[EAN],tabla_consumos[UM])</f>
        <v>#VALUE!</v>
      </c>
      <c r="S2941" s="38" t="e">
        <f>Tabla1[[#This Row],[StockDisp]]*Tabla1[[#This Row],[UM producto]]</f>
        <v>#VALUE!</v>
      </c>
    </row>
    <row r="2942" spans="1:19" x14ac:dyDescent="0.35">
      <c r="A2942" s="5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6"/>
      <c r="P2942" s="23" t="e">
        <f>TRIM(Tabla1[[#This Row],[Articulo]])</f>
        <v>#VALUE!</v>
      </c>
      <c r="Q2942" s="23" t="e">
        <f>_xlfn.XLOOKUP(Tabla1[[#This Row],[Ean Normalizado]],Consumos!A:A,Consumos!E:E)</f>
        <v>#VALUE!</v>
      </c>
      <c r="R2942" s="38" t="e">
        <f>_xlfn.XLOOKUP(Tabla1[[#This Row],[Ean Normalizado]],tabla_consumos[EAN],tabla_consumos[UM])</f>
        <v>#VALUE!</v>
      </c>
      <c r="S2942" s="38" t="e">
        <f>Tabla1[[#This Row],[StockDisp]]*Tabla1[[#This Row],[UM producto]]</f>
        <v>#VALUE!</v>
      </c>
    </row>
    <row r="2943" spans="1:19" x14ac:dyDescent="0.35">
      <c r="A2943" s="5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6"/>
      <c r="P2943" s="23" t="e">
        <f>TRIM(Tabla1[[#This Row],[Articulo]])</f>
        <v>#VALUE!</v>
      </c>
      <c r="Q2943" s="23" t="e">
        <f>_xlfn.XLOOKUP(Tabla1[[#This Row],[Ean Normalizado]],Consumos!A:A,Consumos!E:E)</f>
        <v>#VALUE!</v>
      </c>
      <c r="R2943" s="38" t="e">
        <f>_xlfn.XLOOKUP(Tabla1[[#This Row],[Ean Normalizado]],tabla_consumos[EAN],tabla_consumos[UM])</f>
        <v>#VALUE!</v>
      </c>
      <c r="S2943" s="38" t="e">
        <f>Tabla1[[#This Row],[StockDisp]]*Tabla1[[#This Row],[UM producto]]</f>
        <v>#VALUE!</v>
      </c>
    </row>
    <row r="2944" spans="1:19" x14ac:dyDescent="0.35">
      <c r="A2944" s="5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6"/>
      <c r="P2944" s="23" t="e">
        <f>TRIM(Tabla1[[#This Row],[Articulo]])</f>
        <v>#VALUE!</v>
      </c>
      <c r="Q2944" s="23" t="e">
        <f>_xlfn.XLOOKUP(Tabla1[[#This Row],[Ean Normalizado]],Consumos!A:A,Consumos!E:E)</f>
        <v>#VALUE!</v>
      </c>
      <c r="R2944" s="38" t="e">
        <f>_xlfn.XLOOKUP(Tabla1[[#This Row],[Ean Normalizado]],tabla_consumos[EAN],tabla_consumos[UM])</f>
        <v>#VALUE!</v>
      </c>
      <c r="S2944" s="38" t="e">
        <f>Tabla1[[#This Row],[StockDisp]]*Tabla1[[#This Row],[UM producto]]</f>
        <v>#VALUE!</v>
      </c>
    </row>
    <row r="2945" spans="1:19" x14ac:dyDescent="0.35">
      <c r="A2945" s="5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6"/>
      <c r="P2945" s="23" t="e">
        <f>TRIM(Tabla1[[#This Row],[Articulo]])</f>
        <v>#VALUE!</v>
      </c>
      <c r="Q2945" s="23" t="e">
        <f>_xlfn.XLOOKUP(Tabla1[[#This Row],[Ean Normalizado]],Consumos!A:A,Consumos!E:E)</f>
        <v>#VALUE!</v>
      </c>
      <c r="R2945" s="38" t="e">
        <f>_xlfn.XLOOKUP(Tabla1[[#This Row],[Ean Normalizado]],tabla_consumos[EAN],tabla_consumos[UM])</f>
        <v>#VALUE!</v>
      </c>
      <c r="S2945" s="38" t="e">
        <f>Tabla1[[#This Row],[StockDisp]]*Tabla1[[#This Row],[UM producto]]</f>
        <v>#VALUE!</v>
      </c>
    </row>
    <row r="2946" spans="1:19" x14ac:dyDescent="0.35">
      <c r="A2946" s="5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6"/>
      <c r="P2946" s="23" t="e">
        <f>TRIM(Tabla1[[#This Row],[Articulo]])</f>
        <v>#VALUE!</v>
      </c>
      <c r="Q2946" s="23" t="e">
        <f>_xlfn.XLOOKUP(Tabla1[[#This Row],[Ean Normalizado]],Consumos!A:A,Consumos!E:E)</f>
        <v>#VALUE!</v>
      </c>
      <c r="R2946" s="38" t="e">
        <f>_xlfn.XLOOKUP(Tabla1[[#This Row],[Ean Normalizado]],tabla_consumos[EAN],tabla_consumos[UM])</f>
        <v>#VALUE!</v>
      </c>
      <c r="S2946" s="38" t="e">
        <f>Tabla1[[#This Row],[StockDisp]]*Tabla1[[#This Row],[UM producto]]</f>
        <v>#VALUE!</v>
      </c>
    </row>
    <row r="2947" spans="1:19" x14ac:dyDescent="0.35">
      <c r="A2947" s="5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6"/>
      <c r="P2947" s="23" t="e">
        <f>TRIM(Tabla1[[#This Row],[Articulo]])</f>
        <v>#VALUE!</v>
      </c>
      <c r="Q2947" s="23" t="e">
        <f>_xlfn.XLOOKUP(Tabla1[[#This Row],[Ean Normalizado]],Consumos!A:A,Consumos!E:E)</f>
        <v>#VALUE!</v>
      </c>
      <c r="R2947" s="38" t="e">
        <f>_xlfn.XLOOKUP(Tabla1[[#This Row],[Ean Normalizado]],tabla_consumos[EAN],tabla_consumos[UM])</f>
        <v>#VALUE!</v>
      </c>
      <c r="S2947" s="38" t="e">
        <f>Tabla1[[#This Row],[StockDisp]]*Tabla1[[#This Row],[UM producto]]</f>
        <v>#VALUE!</v>
      </c>
    </row>
    <row r="2948" spans="1:19" x14ac:dyDescent="0.35">
      <c r="A2948" s="5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6"/>
      <c r="P2948" s="23" t="e">
        <f>TRIM(Tabla1[[#This Row],[Articulo]])</f>
        <v>#VALUE!</v>
      </c>
      <c r="Q2948" s="23" t="e">
        <f>_xlfn.XLOOKUP(Tabla1[[#This Row],[Ean Normalizado]],Consumos!A:A,Consumos!E:E)</f>
        <v>#VALUE!</v>
      </c>
      <c r="R2948" s="38" t="e">
        <f>_xlfn.XLOOKUP(Tabla1[[#This Row],[Ean Normalizado]],tabla_consumos[EAN],tabla_consumos[UM])</f>
        <v>#VALUE!</v>
      </c>
      <c r="S2948" s="38" t="e">
        <f>Tabla1[[#This Row],[StockDisp]]*Tabla1[[#This Row],[UM producto]]</f>
        <v>#VALUE!</v>
      </c>
    </row>
    <row r="2949" spans="1:19" x14ac:dyDescent="0.35">
      <c r="A2949" s="5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6"/>
      <c r="P2949" s="23" t="e">
        <f>TRIM(Tabla1[[#This Row],[Articulo]])</f>
        <v>#VALUE!</v>
      </c>
      <c r="Q2949" s="23" t="e">
        <f>_xlfn.XLOOKUP(Tabla1[[#This Row],[Ean Normalizado]],Consumos!A:A,Consumos!E:E)</f>
        <v>#VALUE!</v>
      </c>
      <c r="R2949" s="38" t="e">
        <f>_xlfn.XLOOKUP(Tabla1[[#This Row],[Ean Normalizado]],tabla_consumos[EAN],tabla_consumos[UM])</f>
        <v>#VALUE!</v>
      </c>
      <c r="S2949" s="38" t="e">
        <f>Tabla1[[#This Row],[StockDisp]]*Tabla1[[#This Row],[UM producto]]</f>
        <v>#VALUE!</v>
      </c>
    </row>
    <row r="2950" spans="1:19" x14ac:dyDescent="0.35">
      <c r="A2950" s="5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6"/>
      <c r="P2950" s="23" t="e">
        <f>TRIM(Tabla1[[#This Row],[Articulo]])</f>
        <v>#VALUE!</v>
      </c>
      <c r="Q2950" s="23" t="e">
        <f>_xlfn.XLOOKUP(Tabla1[[#This Row],[Ean Normalizado]],Consumos!A:A,Consumos!E:E)</f>
        <v>#VALUE!</v>
      </c>
      <c r="R2950" s="38" t="e">
        <f>_xlfn.XLOOKUP(Tabla1[[#This Row],[Ean Normalizado]],tabla_consumos[EAN],tabla_consumos[UM])</f>
        <v>#VALUE!</v>
      </c>
      <c r="S2950" s="38" t="e">
        <f>Tabla1[[#This Row],[StockDisp]]*Tabla1[[#This Row],[UM producto]]</f>
        <v>#VALUE!</v>
      </c>
    </row>
    <row r="2951" spans="1:19" x14ac:dyDescent="0.35">
      <c r="A2951" s="5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6"/>
      <c r="P2951" s="23" t="e">
        <f>TRIM(Tabla1[[#This Row],[Articulo]])</f>
        <v>#VALUE!</v>
      </c>
      <c r="Q2951" s="23" t="e">
        <f>_xlfn.XLOOKUP(Tabla1[[#This Row],[Ean Normalizado]],Consumos!A:A,Consumos!E:E)</f>
        <v>#VALUE!</v>
      </c>
      <c r="R2951" s="38" t="e">
        <f>_xlfn.XLOOKUP(Tabla1[[#This Row],[Ean Normalizado]],tabla_consumos[EAN],tabla_consumos[UM])</f>
        <v>#VALUE!</v>
      </c>
      <c r="S2951" s="38" t="e">
        <f>Tabla1[[#This Row],[StockDisp]]*Tabla1[[#This Row],[UM producto]]</f>
        <v>#VALUE!</v>
      </c>
    </row>
    <row r="2952" spans="1:19" x14ac:dyDescent="0.35">
      <c r="A2952" s="5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6"/>
      <c r="P2952" s="23" t="e">
        <f>TRIM(Tabla1[[#This Row],[Articulo]])</f>
        <v>#VALUE!</v>
      </c>
      <c r="Q2952" s="23" t="e">
        <f>_xlfn.XLOOKUP(Tabla1[[#This Row],[Ean Normalizado]],Consumos!A:A,Consumos!E:E)</f>
        <v>#VALUE!</v>
      </c>
      <c r="R2952" s="38" t="e">
        <f>_xlfn.XLOOKUP(Tabla1[[#This Row],[Ean Normalizado]],tabla_consumos[EAN],tabla_consumos[UM])</f>
        <v>#VALUE!</v>
      </c>
      <c r="S2952" s="38" t="e">
        <f>Tabla1[[#This Row],[StockDisp]]*Tabla1[[#This Row],[UM producto]]</f>
        <v>#VALUE!</v>
      </c>
    </row>
    <row r="2953" spans="1:19" x14ac:dyDescent="0.35">
      <c r="A2953" s="5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6"/>
      <c r="P2953" s="23" t="e">
        <f>TRIM(Tabla1[[#This Row],[Articulo]])</f>
        <v>#VALUE!</v>
      </c>
      <c r="Q2953" s="23" t="e">
        <f>_xlfn.XLOOKUP(Tabla1[[#This Row],[Ean Normalizado]],Consumos!A:A,Consumos!E:E)</f>
        <v>#VALUE!</v>
      </c>
      <c r="R2953" s="38" t="e">
        <f>_xlfn.XLOOKUP(Tabla1[[#This Row],[Ean Normalizado]],tabla_consumos[EAN],tabla_consumos[UM])</f>
        <v>#VALUE!</v>
      </c>
      <c r="S2953" s="38" t="e">
        <f>Tabla1[[#This Row],[StockDisp]]*Tabla1[[#This Row],[UM producto]]</f>
        <v>#VALUE!</v>
      </c>
    </row>
    <row r="2954" spans="1:19" x14ac:dyDescent="0.35">
      <c r="A2954" s="5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6"/>
      <c r="P2954" s="23" t="e">
        <f>TRIM(Tabla1[[#This Row],[Articulo]])</f>
        <v>#VALUE!</v>
      </c>
      <c r="Q2954" s="23" t="e">
        <f>_xlfn.XLOOKUP(Tabla1[[#This Row],[Ean Normalizado]],Consumos!A:A,Consumos!E:E)</f>
        <v>#VALUE!</v>
      </c>
      <c r="R2954" s="38" t="e">
        <f>_xlfn.XLOOKUP(Tabla1[[#This Row],[Ean Normalizado]],tabla_consumos[EAN],tabla_consumos[UM])</f>
        <v>#VALUE!</v>
      </c>
      <c r="S2954" s="38" t="e">
        <f>Tabla1[[#This Row],[StockDisp]]*Tabla1[[#This Row],[UM producto]]</f>
        <v>#VALUE!</v>
      </c>
    </row>
    <row r="2955" spans="1:19" x14ac:dyDescent="0.35">
      <c r="A2955" s="5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6"/>
      <c r="P2955" s="23" t="e">
        <f>TRIM(Tabla1[[#This Row],[Articulo]])</f>
        <v>#VALUE!</v>
      </c>
      <c r="Q2955" s="23" t="e">
        <f>_xlfn.XLOOKUP(Tabla1[[#This Row],[Ean Normalizado]],Consumos!A:A,Consumos!E:E)</f>
        <v>#VALUE!</v>
      </c>
      <c r="R2955" s="38" t="e">
        <f>_xlfn.XLOOKUP(Tabla1[[#This Row],[Ean Normalizado]],tabla_consumos[EAN],tabla_consumos[UM])</f>
        <v>#VALUE!</v>
      </c>
      <c r="S2955" s="38" t="e">
        <f>Tabla1[[#This Row],[StockDisp]]*Tabla1[[#This Row],[UM producto]]</f>
        <v>#VALUE!</v>
      </c>
    </row>
    <row r="2956" spans="1:19" x14ac:dyDescent="0.35">
      <c r="A2956" s="5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6"/>
      <c r="P2956" s="23" t="e">
        <f>TRIM(Tabla1[[#This Row],[Articulo]])</f>
        <v>#VALUE!</v>
      </c>
      <c r="Q2956" s="23" t="e">
        <f>_xlfn.XLOOKUP(Tabla1[[#This Row],[Ean Normalizado]],Consumos!A:A,Consumos!E:E)</f>
        <v>#VALUE!</v>
      </c>
      <c r="R2956" s="38" t="e">
        <f>_xlfn.XLOOKUP(Tabla1[[#This Row],[Ean Normalizado]],tabla_consumos[EAN],tabla_consumos[UM])</f>
        <v>#VALUE!</v>
      </c>
      <c r="S2956" s="38" t="e">
        <f>Tabla1[[#This Row],[StockDisp]]*Tabla1[[#This Row],[UM producto]]</f>
        <v>#VALUE!</v>
      </c>
    </row>
    <row r="2957" spans="1:19" x14ac:dyDescent="0.35">
      <c r="A2957" s="5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6"/>
      <c r="P2957" s="23" t="e">
        <f>TRIM(Tabla1[[#This Row],[Articulo]])</f>
        <v>#VALUE!</v>
      </c>
      <c r="Q2957" s="23" t="e">
        <f>_xlfn.XLOOKUP(Tabla1[[#This Row],[Ean Normalizado]],Consumos!A:A,Consumos!E:E)</f>
        <v>#VALUE!</v>
      </c>
      <c r="R2957" s="38" t="e">
        <f>_xlfn.XLOOKUP(Tabla1[[#This Row],[Ean Normalizado]],tabla_consumos[EAN],tabla_consumos[UM])</f>
        <v>#VALUE!</v>
      </c>
      <c r="S2957" s="38" t="e">
        <f>Tabla1[[#This Row],[StockDisp]]*Tabla1[[#This Row],[UM producto]]</f>
        <v>#VALUE!</v>
      </c>
    </row>
    <row r="2958" spans="1:19" x14ac:dyDescent="0.35">
      <c r="A2958" s="5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6"/>
      <c r="P2958" s="23" t="e">
        <f>TRIM(Tabla1[[#This Row],[Articulo]])</f>
        <v>#VALUE!</v>
      </c>
      <c r="Q2958" s="23" t="e">
        <f>_xlfn.XLOOKUP(Tabla1[[#This Row],[Ean Normalizado]],Consumos!A:A,Consumos!E:E)</f>
        <v>#VALUE!</v>
      </c>
      <c r="R2958" s="38" t="e">
        <f>_xlfn.XLOOKUP(Tabla1[[#This Row],[Ean Normalizado]],tabla_consumos[EAN],tabla_consumos[UM])</f>
        <v>#VALUE!</v>
      </c>
      <c r="S2958" s="38" t="e">
        <f>Tabla1[[#This Row],[StockDisp]]*Tabla1[[#This Row],[UM producto]]</f>
        <v>#VALUE!</v>
      </c>
    </row>
    <row r="2959" spans="1:19" x14ac:dyDescent="0.35">
      <c r="A2959" s="5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6"/>
      <c r="P2959" s="23" t="e">
        <f>TRIM(Tabla1[[#This Row],[Articulo]])</f>
        <v>#VALUE!</v>
      </c>
      <c r="Q2959" s="23" t="e">
        <f>_xlfn.XLOOKUP(Tabla1[[#This Row],[Ean Normalizado]],Consumos!A:A,Consumos!E:E)</f>
        <v>#VALUE!</v>
      </c>
      <c r="R2959" s="38" t="e">
        <f>_xlfn.XLOOKUP(Tabla1[[#This Row],[Ean Normalizado]],tabla_consumos[EAN],tabla_consumos[UM])</f>
        <v>#VALUE!</v>
      </c>
      <c r="S2959" s="38" t="e">
        <f>Tabla1[[#This Row],[StockDisp]]*Tabla1[[#This Row],[UM producto]]</f>
        <v>#VALUE!</v>
      </c>
    </row>
    <row r="2960" spans="1:19" x14ac:dyDescent="0.35">
      <c r="A2960" s="5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6"/>
      <c r="P2960" s="23" t="e">
        <f>TRIM(Tabla1[[#This Row],[Articulo]])</f>
        <v>#VALUE!</v>
      </c>
      <c r="Q2960" s="23" t="e">
        <f>_xlfn.XLOOKUP(Tabla1[[#This Row],[Ean Normalizado]],Consumos!A:A,Consumos!E:E)</f>
        <v>#VALUE!</v>
      </c>
      <c r="R2960" s="38" t="e">
        <f>_xlfn.XLOOKUP(Tabla1[[#This Row],[Ean Normalizado]],tabla_consumos[EAN],tabla_consumos[UM])</f>
        <v>#VALUE!</v>
      </c>
      <c r="S2960" s="38" t="e">
        <f>Tabla1[[#This Row],[StockDisp]]*Tabla1[[#This Row],[UM producto]]</f>
        <v>#VALUE!</v>
      </c>
    </row>
    <row r="2961" spans="1:19" x14ac:dyDescent="0.35">
      <c r="A2961" s="5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6"/>
      <c r="P2961" s="23" t="e">
        <f>TRIM(Tabla1[[#This Row],[Articulo]])</f>
        <v>#VALUE!</v>
      </c>
      <c r="Q2961" s="23" t="e">
        <f>_xlfn.XLOOKUP(Tabla1[[#This Row],[Ean Normalizado]],Consumos!A:A,Consumos!E:E)</f>
        <v>#VALUE!</v>
      </c>
      <c r="R2961" s="38" t="e">
        <f>_xlfn.XLOOKUP(Tabla1[[#This Row],[Ean Normalizado]],tabla_consumos[EAN],tabla_consumos[UM])</f>
        <v>#VALUE!</v>
      </c>
      <c r="S2961" s="38" t="e">
        <f>Tabla1[[#This Row],[StockDisp]]*Tabla1[[#This Row],[UM producto]]</f>
        <v>#VALUE!</v>
      </c>
    </row>
    <row r="2962" spans="1:19" x14ac:dyDescent="0.35">
      <c r="A2962" s="5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6"/>
      <c r="P2962" s="23" t="e">
        <f>TRIM(Tabla1[[#This Row],[Articulo]])</f>
        <v>#VALUE!</v>
      </c>
      <c r="Q2962" s="23" t="e">
        <f>_xlfn.XLOOKUP(Tabla1[[#This Row],[Ean Normalizado]],Consumos!A:A,Consumos!E:E)</f>
        <v>#VALUE!</v>
      </c>
      <c r="R2962" s="38" t="e">
        <f>_xlfn.XLOOKUP(Tabla1[[#This Row],[Ean Normalizado]],tabla_consumos[EAN],tabla_consumos[UM])</f>
        <v>#VALUE!</v>
      </c>
      <c r="S2962" s="38" t="e">
        <f>Tabla1[[#This Row],[StockDisp]]*Tabla1[[#This Row],[UM producto]]</f>
        <v>#VALUE!</v>
      </c>
    </row>
    <row r="2963" spans="1:19" x14ac:dyDescent="0.35">
      <c r="A2963" s="5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6"/>
      <c r="P2963" s="23" t="e">
        <f>TRIM(Tabla1[[#This Row],[Articulo]])</f>
        <v>#VALUE!</v>
      </c>
      <c r="Q2963" s="23" t="e">
        <f>_xlfn.XLOOKUP(Tabla1[[#This Row],[Ean Normalizado]],Consumos!A:A,Consumos!E:E)</f>
        <v>#VALUE!</v>
      </c>
      <c r="R2963" s="38" t="e">
        <f>_xlfn.XLOOKUP(Tabla1[[#This Row],[Ean Normalizado]],tabla_consumos[EAN],tabla_consumos[UM])</f>
        <v>#VALUE!</v>
      </c>
      <c r="S2963" s="38" t="e">
        <f>Tabla1[[#This Row],[StockDisp]]*Tabla1[[#This Row],[UM producto]]</f>
        <v>#VALUE!</v>
      </c>
    </row>
    <row r="2964" spans="1:19" x14ac:dyDescent="0.35">
      <c r="A2964" s="5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6"/>
      <c r="P2964" s="23" t="e">
        <f>TRIM(Tabla1[[#This Row],[Articulo]])</f>
        <v>#VALUE!</v>
      </c>
      <c r="Q2964" s="23" t="e">
        <f>_xlfn.XLOOKUP(Tabla1[[#This Row],[Ean Normalizado]],Consumos!A:A,Consumos!E:E)</f>
        <v>#VALUE!</v>
      </c>
      <c r="R2964" s="38" t="e">
        <f>_xlfn.XLOOKUP(Tabla1[[#This Row],[Ean Normalizado]],tabla_consumos[EAN],tabla_consumos[UM])</f>
        <v>#VALUE!</v>
      </c>
      <c r="S2964" s="38" t="e">
        <f>Tabla1[[#This Row],[StockDisp]]*Tabla1[[#This Row],[UM producto]]</f>
        <v>#VALUE!</v>
      </c>
    </row>
    <row r="2965" spans="1:19" x14ac:dyDescent="0.35">
      <c r="A2965" s="5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6"/>
      <c r="P2965" s="23" t="e">
        <f>TRIM(Tabla1[[#This Row],[Articulo]])</f>
        <v>#VALUE!</v>
      </c>
      <c r="Q2965" s="23" t="e">
        <f>_xlfn.XLOOKUP(Tabla1[[#This Row],[Ean Normalizado]],Consumos!A:A,Consumos!E:E)</f>
        <v>#VALUE!</v>
      </c>
      <c r="R2965" s="38" t="e">
        <f>_xlfn.XLOOKUP(Tabla1[[#This Row],[Ean Normalizado]],tabla_consumos[EAN],tabla_consumos[UM])</f>
        <v>#VALUE!</v>
      </c>
      <c r="S2965" s="38" t="e">
        <f>Tabla1[[#This Row],[StockDisp]]*Tabla1[[#This Row],[UM producto]]</f>
        <v>#VALUE!</v>
      </c>
    </row>
    <row r="2966" spans="1:19" x14ac:dyDescent="0.35">
      <c r="A2966" s="5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6"/>
      <c r="P2966" s="23" t="e">
        <f>TRIM(Tabla1[[#This Row],[Articulo]])</f>
        <v>#VALUE!</v>
      </c>
      <c r="Q2966" s="23" t="e">
        <f>_xlfn.XLOOKUP(Tabla1[[#This Row],[Ean Normalizado]],Consumos!A:A,Consumos!E:E)</f>
        <v>#VALUE!</v>
      </c>
      <c r="R2966" s="38" t="e">
        <f>_xlfn.XLOOKUP(Tabla1[[#This Row],[Ean Normalizado]],tabla_consumos[EAN],tabla_consumos[UM])</f>
        <v>#VALUE!</v>
      </c>
      <c r="S2966" s="38" t="e">
        <f>Tabla1[[#This Row],[StockDisp]]*Tabla1[[#This Row],[UM producto]]</f>
        <v>#VALUE!</v>
      </c>
    </row>
    <row r="2967" spans="1:19" x14ac:dyDescent="0.35">
      <c r="A2967" s="5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6"/>
      <c r="P2967" s="23" t="e">
        <f>TRIM(Tabla1[[#This Row],[Articulo]])</f>
        <v>#VALUE!</v>
      </c>
      <c r="Q2967" s="23" t="e">
        <f>_xlfn.XLOOKUP(Tabla1[[#This Row],[Ean Normalizado]],Consumos!A:A,Consumos!E:E)</f>
        <v>#VALUE!</v>
      </c>
      <c r="R2967" s="38" t="e">
        <f>_xlfn.XLOOKUP(Tabla1[[#This Row],[Ean Normalizado]],tabla_consumos[EAN],tabla_consumos[UM])</f>
        <v>#VALUE!</v>
      </c>
      <c r="S2967" s="38" t="e">
        <f>Tabla1[[#This Row],[StockDisp]]*Tabla1[[#This Row],[UM producto]]</f>
        <v>#VALUE!</v>
      </c>
    </row>
    <row r="2968" spans="1:19" x14ac:dyDescent="0.35">
      <c r="A2968" s="5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6"/>
      <c r="P2968" s="23" t="e">
        <f>TRIM(Tabla1[[#This Row],[Articulo]])</f>
        <v>#VALUE!</v>
      </c>
      <c r="Q2968" s="23" t="e">
        <f>_xlfn.XLOOKUP(Tabla1[[#This Row],[Ean Normalizado]],Consumos!A:A,Consumos!E:E)</f>
        <v>#VALUE!</v>
      </c>
      <c r="R2968" s="38" t="e">
        <f>_xlfn.XLOOKUP(Tabla1[[#This Row],[Ean Normalizado]],tabla_consumos[EAN],tabla_consumos[UM])</f>
        <v>#VALUE!</v>
      </c>
      <c r="S2968" s="38" t="e">
        <f>Tabla1[[#This Row],[StockDisp]]*Tabla1[[#This Row],[UM producto]]</f>
        <v>#VALUE!</v>
      </c>
    </row>
    <row r="2969" spans="1:19" x14ac:dyDescent="0.35">
      <c r="A2969" s="5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6"/>
      <c r="P2969" s="23" t="e">
        <f>TRIM(Tabla1[[#This Row],[Articulo]])</f>
        <v>#VALUE!</v>
      </c>
      <c r="Q2969" s="23" t="e">
        <f>_xlfn.XLOOKUP(Tabla1[[#This Row],[Ean Normalizado]],Consumos!A:A,Consumos!E:E)</f>
        <v>#VALUE!</v>
      </c>
      <c r="R2969" s="38" t="e">
        <f>_xlfn.XLOOKUP(Tabla1[[#This Row],[Ean Normalizado]],tabla_consumos[EAN],tabla_consumos[UM])</f>
        <v>#VALUE!</v>
      </c>
      <c r="S2969" s="38" t="e">
        <f>Tabla1[[#This Row],[StockDisp]]*Tabla1[[#This Row],[UM producto]]</f>
        <v>#VALUE!</v>
      </c>
    </row>
    <row r="2970" spans="1:19" x14ac:dyDescent="0.35">
      <c r="A2970" s="5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6"/>
      <c r="P2970" s="23" t="e">
        <f>TRIM(Tabla1[[#This Row],[Articulo]])</f>
        <v>#VALUE!</v>
      </c>
      <c r="Q2970" s="23" t="e">
        <f>_xlfn.XLOOKUP(Tabla1[[#This Row],[Ean Normalizado]],Consumos!A:A,Consumos!E:E)</f>
        <v>#VALUE!</v>
      </c>
      <c r="R2970" s="38" t="e">
        <f>_xlfn.XLOOKUP(Tabla1[[#This Row],[Ean Normalizado]],tabla_consumos[EAN],tabla_consumos[UM])</f>
        <v>#VALUE!</v>
      </c>
      <c r="S2970" s="38" t="e">
        <f>Tabla1[[#This Row],[StockDisp]]*Tabla1[[#This Row],[UM producto]]</f>
        <v>#VALUE!</v>
      </c>
    </row>
    <row r="2971" spans="1:19" x14ac:dyDescent="0.35">
      <c r="A2971" s="5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6"/>
      <c r="P2971" s="23" t="e">
        <f>TRIM(Tabla1[[#This Row],[Articulo]])</f>
        <v>#VALUE!</v>
      </c>
      <c r="Q2971" s="23" t="e">
        <f>_xlfn.XLOOKUP(Tabla1[[#This Row],[Ean Normalizado]],Consumos!A:A,Consumos!E:E)</f>
        <v>#VALUE!</v>
      </c>
      <c r="R2971" s="38" t="e">
        <f>_xlfn.XLOOKUP(Tabla1[[#This Row],[Ean Normalizado]],tabla_consumos[EAN],tabla_consumos[UM])</f>
        <v>#VALUE!</v>
      </c>
      <c r="S2971" s="38" t="e">
        <f>Tabla1[[#This Row],[StockDisp]]*Tabla1[[#This Row],[UM producto]]</f>
        <v>#VALUE!</v>
      </c>
    </row>
    <row r="2972" spans="1:19" x14ac:dyDescent="0.35">
      <c r="A2972" s="5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6"/>
      <c r="P2972" s="23" t="e">
        <f>TRIM(Tabla1[[#This Row],[Articulo]])</f>
        <v>#VALUE!</v>
      </c>
      <c r="Q2972" s="23" t="e">
        <f>_xlfn.XLOOKUP(Tabla1[[#This Row],[Ean Normalizado]],Consumos!A:A,Consumos!E:E)</f>
        <v>#VALUE!</v>
      </c>
      <c r="R2972" s="38" t="e">
        <f>_xlfn.XLOOKUP(Tabla1[[#This Row],[Ean Normalizado]],tabla_consumos[EAN],tabla_consumos[UM])</f>
        <v>#VALUE!</v>
      </c>
      <c r="S2972" s="38" t="e">
        <f>Tabla1[[#This Row],[StockDisp]]*Tabla1[[#This Row],[UM producto]]</f>
        <v>#VALUE!</v>
      </c>
    </row>
    <row r="2973" spans="1:19" x14ac:dyDescent="0.35">
      <c r="A2973" s="5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6"/>
      <c r="P2973" s="23" t="e">
        <f>TRIM(Tabla1[[#This Row],[Articulo]])</f>
        <v>#VALUE!</v>
      </c>
      <c r="Q2973" s="23" t="e">
        <f>_xlfn.XLOOKUP(Tabla1[[#This Row],[Ean Normalizado]],Consumos!A:A,Consumos!E:E)</f>
        <v>#VALUE!</v>
      </c>
      <c r="R2973" s="38" t="e">
        <f>_xlfn.XLOOKUP(Tabla1[[#This Row],[Ean Normalizado]],tabla_consumos[EAN],tabla_consumos[UM])</f>
        <v>#VALUE!</v>
      </c>
      <c r="S2973" s="38" t="e">
        <f>Tabla1[[#This Row],[StockDisp]]*Tabla1[[#This Row],[UM producto]]</f>
        <v>#VALUE!</v>
      </c>
    </row>
    <row r="2974" spans="1:19" x14ac:dyDescent="0.35">
      <c r="A2974" s="5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6"/>
      <c r="P2974" s="23" t="e">
        <f>TRIM(Tabla1[[#This Row],[Articulo]])</f>
        <v>#VALUE!</v>
      </c>
      <c r="Q2974" s="23" t="e">
        <f>_xlfn.XLOOKUP(Tabla1[[#This Row],[Ean Normalizado]],Consumos!A:A,Consumos!E:E)</f>
        <v>#VALUE!</v>
      </c>
      <c r="R2974" s="38" t="e">
        <f>_xlfn.XLOOKUP(Tabla1[[#This Row],[Ean Normalizado]],tabla_consumos[EAN],tabla_consumos[UM])</f>
        <v>#VALUE!</v>
      </c>
      <c r="S2974" s="38" t="e">
        <f>Tabla1[[#This Row],[StockDisp]]*Tabla1[[#This Row],[UM producto]]</f>
        <v>#VALUE!</v>
      </c>
    </row>
    <row r="2975" spans="1:19" x14ac:dyDescent="0.35">
      <c r="A2975" s="5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6"/>
      <c r="P2975" s="23" t="e">
        <f>TRIM(Tabla1[[#This Row],[Articulo]])</f>
        <v>#VALUE!</v>
      </c>
      <c r="Q2975" s="23" t="e">
        <f>_xlfn.XLOOKUP(Tabla1[[#This Row],[Ean Normalizado]],Consumos!A:A,Consumos!E:E)</f>
        <v>#VALUE!</v>
      </c>
      <c r="R2975" s="38" t="e">
        <f>_xlfn.XLOOKUP(Tabla1[[#This Row],[Ean Normalizado]],tabla_consumos[EAN],tabla_consumos[UM])</f>
        <v>#VALUE!</v>
      </c>
      <c r="S2975" s="38" t="e">
        <f>Tabla1[[#This Row],[StockDisp]]*Tabla1[[#This Row],[UM producto]]</f>
        <v>#VALUE!</v>
      </c>
    </row>
    <row r="2976" spans="1:19" x14ac:dyDescent="0.35">
      <c r="A2976" s="5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6"/>
      <c r="P2976" s="23" t="e">
        <f>TRIM(Tabla1[[#This Row],[Articulo]])</f>
        <v>#VALUE!</v>
      </c>
      <c r="Q2976" s="23" t="e">
        <f>_xlfn.XLOOKUP(Tabla1[[#This Row],[Ean Normalizado]],Consumos!A:A,Consumos!E:E)</f>
        <v>#VALUE!</v>
      </c>
      <c r="R2976" s="38" t="e">
        <f>_xlfn.XLOOKUP(Tabla1[[#This Row],[Ean Normalizado]],tabla_consumos[EAN],tabla_consumos[UM])</f>
        <v>#VALUE!</v>
      </c>
      <c r="S2976" s="38" t="e">
        <f>Tabla1[[#This Row],[StockDisp]]*Tabla1[[#This Row],[UM producto]]</f>
        <v>#VALUE!</v>
      </c>
    </row>
    <row r="2977" spans="1:19" x14ac:dyDescent="0.35">
      <c r="A2977" s="5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6"/>
      <c r="P2977" s="23" t="e">
        <f>TRIM(Tabla1[[#This Row],[Articulo]])</f>
        <v>#VALUE!</v>
      </c>
      <c r="Q2977" s="23" t="e">
        <f>_xlfn.XLOOKUP(Tabla1[[#This Row],[Ean Normalizado]],Consumos!A:A,Consumos!E:E)</f>
        <v>#VALUE!</v>
      </c>
      <c r="R2977" s="38" t="e">
        <f>_xlfn.XLOOKUP(Tabla1[[#This Row],[Ean Normalizado]],tabla_consumos[EAN],tabla_consumos[UM])</f>
        <v>#VALUE!</v>
      </c>
      <c r="S2977" s="38" t="e">
        <f>Tabla1[[#This Row],[StockDisp]]*Tabla1[[#This Row],[UM producto]]</f>
        <v>#VALUE!</v>
      </c>
    </row>
    <row r="2978" spans="1:19" x14ac:dyDescent="0.35">
      <c r="A2978" s="5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6"/>
      <c r="P2978" s="23" t="e">
        <f>TRIM(Tabla1[[#This Row],[Articulo]])</f>
        <v>#VALUE!</v>
      </c>
      <c r="Q2978" s="23" t="e">
        <f>_xlfn.XLOOKUP(Tabla1[[#This Row],[Ean Normalizado]],Consumos!A:A,Consumos!E:E)</f>
        <v>#VALUE!</v>
      </c>
      <c r="R2978" s="38" t="e">
        <f>_xlfn.XLOOKUP(Tabla1[[#This Row],[Ean Normalizado]],tabla_consumos[EAN],tabla_consumos[UM])</f>
        <v>#VALUE!</v>
      </c>
      <c r="S2978" s="38" t="e">
        <f>Tabla1[[#This Row],[StockDisp]]*Tabla1[[#This Row],[UM producto]]</f>
        <v>#VALUE!</v>
      </c>
    </row>
    <row r="2979" spans="1:19" x14ac:dyDescent="0.35">
      <c r="A2979" s="5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6"/>
      <c r="P2979" s="23" t="e">
        <f>TRIM(Tabla1[[#This Row],[Articulo]])</f>
        <v>#VALUE!</v>
      </c>
      <c r="Q2979" s="23" t="e">
        <f>_xlfn.XLOOKUP(Tabla1[[#This Row],[Ean Normalizado]],Consumos!A:A,Consumos!E:E)</f>
        <v>#VALUE!</v>
      </c>
      <c r="R2979" s="38" t="e">
        <f>_xlfn.XLOOKUP(Tabla1[[#This Row],[Ean Normalizado]],tabla_consumos[EAN],tabla_consumos[UM])</f>
        <v>#VALUE!</v>
      </c>
      <c r="S2979" s="38" t="e">
        <f>Tabla1[[#This Row],[StockDisp]]*Tabla1[[#This Row],[UM producto]]</f>
        <v>#VALUE!</v>
      </c>
    </row>
    <row r="2980" spans="1:19" x14ac:dyDescent="0.35">
      <c r="A2980" s="5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6"/>
      <c r="P2980" s="23" t="e">
        <f>TRIM(Tabla1[[#This Row],[Articulo]])</f>
        <v>#VALUE!</v>
      </c>
      <c r="Q2980" s="23" t="e">
        <f>_xlfn.XLOOKUP(Tabla1[[#This Row],[Ean Normalizado]],Consumos!A:A,Consumos!E:E)</f>
        <v>#VALUE!</v>
      </c>
      <c r="R2980" s="38" t="e">
        <f>_xlfn.XLOOKUP(Tabla1[[#This Row],[Ean Normalizado]],tabla_consumos[EAN],tabla_consumos[UM])</f>
        <v>#VALUE!</v>
      </c>
      <c r="S2980" s="38" t="e">
        <f>Tabla1[[#This Row],[StockDisp]]*Tabla1[[#This Row],[UM producto]]</f>
        <v>#VALUE!</v>
      </c>
    </row>
    <row r="2981" spans="1:19" x14ac:dyDescent="0.35">
      <c r="A2981" s="5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6"/>
      <c r="P2981" s="23" t="e">
        <f>TRIM(Tabla1[[#This Row],[Articulo]])</f>
        <v>#VALUE!</v>
      </c>
      <c r="Q2981" s="23" t="e">
        <f>_xlfn.XLOOKUP(Tabla1[[#This Row],[Ean Normalizado]],Consumos!A:A,Consumos!E:E)</f>
        <v>#VALUE!</v>
      </c>
      <c r="R2981" s="38" t="e">
        <f>_xlfn.XLOOKUP(Tabla1[[#This Row],[Ean Normalizado]],tabla_consumos[EAN],tabla_consumos[UM])</f>
        <v>#VALUE!</v>
      </c>
      <c r="S2981" s="38" t="e">
        <f>Tabla1[[#This Row],[StockDisp]]*Tabla1[[#This Row],[UM producto]]</f>
        <v>#VALUE!</v>
      </c>
    </row>
    <row r="2982" spans="1:19" x14ac:dyDescent="0.35">
      <c r="A2982" s="5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6"/>
      <c r="P2982" s="23" t="e">
        <f>TRIM(Tabla1[[#This Row],[Articulo]])</f>
        <v>#VALUE!</v>
      </c>
      <c r="Q2982" s="23" t="e">
        <f>_xlfn.XLOOKUP(Tabla1[[#This Row],[Ean Normalizado]],Consumos!A:A,Consumos!E:E)</f>
        <v>#VALUE!</v>
      </c>
      <c r="R2982" s="38" t="e">
        <f>_xlfn.XLOOKUP(Tabla1[[#This Row],[Ean Normalizado]],tabla_consumos[EAN],tabla_consumos[UM])</f>
        <v>#VALUE!</v>
      </c>
      <c r="S2982" s="38" t="e">
        <f>Tabla1[[#This Row],[StockDisp]]*Tabla1[[#This Row],[UM producto]]</f>
        <v>#VALUE!</v>
      </c>
    </row>
    <row r="2983" spans="1:19" x14ac:dyDescent="0.35">
      <c r="A2983" s="5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6"/>
      <c r="P2983" s="23" t="e">
        <f>TRIM(Tabla1[[#This Row],[Articulo]])</f>
        <v>#VALUE!</v>
      </c>
      <c r="Q2983" s="23" t="e">
        <f>_xlfn.XLOOKUP(Tabla1[[#This Row],[Ean Normalizado]],Consumos!A:A,Consumos!E:E)</f>
        <v>#VALUE!</v>
      </c>
      <c r="R2983" s="38" t="e">
        <f>_xlfn.XLOOKUP(Tabla1[[#This Row],[Ean Normalizado]],tabla_consumos[EAN],tabla_consumos[UM])</f>
        <v>#VALUE!</v>
      </c>
      <c r="S2983" s="38" t="e">
        <f>Tabla1[[#This Row],[StockDisp]]*Tabla1[[#This Row],[UM producto]]</f>
        <v>#VALUE!</v>
      </c>
    </row>
    <row r="2984" spans="1:19" x14ac:dyDescent="0.35">
      <c r="A2984" s="5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6"/>
      <c r="P2984" s="23" t="e">
        <f>TRIM(Tabla1[[#This Row],[Articulo]])</f>
        <v>#VALUE!</v>
      </c>
      <c r="Q2984" s="23" t="e">
        <f>_xlfn.XLOOKUP(Tabla1[[#This Row],[Ean Normalizado]],Consumos!A:A,Consumos!E:E)</f>
        <v>#VALUE!</v>
      </c>
      <c r="R2984" s="38" t="e">
        <f>_xlfn.XLOOKUP(Tabla1[[#This Row],[Ean Normalizado]],tabla_consumos[EAN],tabla_consumos[UM])</f>
        <v>#VALUE!</v>
      </c>
      <c r="S2984" s="38" t="e">
        <f>Tabla1[[#This Row],[StockDisp]]*Tabla1[[#This Row],[UM producto]]</f>
        <v>#VALUE!</v>
      </c>
    </row>
    <row r="2985" spans="1:19" x14ac:dyDescent="0.35">
      <c r="A2985" s="5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6"/>
      <c r="P2985" s="23" t="e">
        <f>TRIM(Tabla1[[#This Row],[Articulo]])</f>
        <v>#VALUE!</v>
      </c>
      <c r="Q2985" s="23" t="e">
        <f>_xlfn.XLOOKUP(Tabla1[[#This Row],[Ean Normalizado]],Consumos!A:A,Consumos!E:E)</f>
        <v>#VALUE!</v>
      </c>
      <c r="R2985" s="38" t="e">
        <f>_xlfn.XLOOKUP(Tabla1[[#This Row],[Ean Normalizado]],tabla_consumos[EAN],tabla_consumos[UM])</f>
        <v>#VALUE!</v>
      </c>
      <c r="S2985" s="38" t="e">
        <f>Tabla1[[#This Row],[StockDisp]]*Tabla1[[#This Row],[UM producto]]</f>
        <v>#VALUE!</v>
      </c>
    </row>
    <row r="2986" spans="1:19" x14ac:dyDescent="0.35">
      <c r="A2986" s="5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6"/>
      <c r="P2986" s="23" t="e">
        <f>TRIM(Tabla1[[#This Row],[Articulo]])</f>
        <v>#VALUE!</v>
      </c>
      <c r="Q2986" s="23" t="e">
        <f>_xlfn.XLOOKUP(Tabla1[[#This Row],[Ean Normalizado]],Consumos!A:A,Consumos!E:E)</f>
        <v>#VALUE!</v>
      </c>
      <c r="R2986" s="38" t="e">
        <f>_xlfn.XLOOKUP(Tabla1[[#This Row],[Ean Normalizado]],tabla_consumos[EAN],tabla_consumos[UM])</f>
        <v>#VALUE!</v>
      </c>
      <c r="S2986" s="38" t="e">
        <f>Tabla1[[#This Row],[StockDisp]]*Tabla1[[#This Row],[UM producto]]</f>
        <v>#VALUE!</v>
      </c>
    </row>
    <row r="2987" spans="1:19" x14ac:dyDescent="0.35">
      <c r="A2987" s="5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6"/>
      <c r="P2987" s="23" t="e">
        <f>TRIM(Tabla1[[#This Row],[Articulo]])</f>
        <v>#VALUE!</v>
      </c>
      <c r="Q2987" s="23" t="e">
        <f>_xlfn.XLOOKUP(Tabla1[[#This Row],[Ean Normalizado]],Consumos!A:A,Consumos!E:E)</f>
        <v>#VALUE!</v>
      </c>
      <c r="R2987" s="38" t="e">
        <f>_xlfn.XLOOKUP(Tabla1[[#This Row],[Ean Normalizado]],tabla_consumos[EAN],tabla_consumos[UM])</f>
        <v>#VALUE!</v>
      </c>
      <c r="S2987" s="38" t="e">
        <f>Tabla1[[#This Row],[StockDisp]]*Tabla1[[#This Row],[UM producto]]</f>
        <v>#VALUE!</v>
      </c>
    </row>
    <row r="2988" spans="1:19" x14ac:dyDescent="0.35">
      <c r="A2988" s="5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6"/>
      <c r="P2988" s="23" t="e">
        <f>TRIM(Tabla1[[#This Row],[Articulo]])</f>
        <v>#VALUE!</v>
      </c>
      <c r="Q2988" s="23" t="e">
        <f>_xlfn.XLOOKUP(Tabla1[[#This Row],[Ean Normalizado]],Consumos!A:A,Consumos!E:E)</f>
        <v>#VALUE!</v>
      </c>
      <c r="R2988" s="38" t="e">
        <f>_xlfn.XLOOKUP(Tabla1[[#This Row],[Ean Normalizado]],tabla_consumos[EAN],tabla_consumos[UM])</f>
        <v>#VALUE!</v>
      </c>
      <c r="S2988" s="38" t="e">
        <f>Tabla1[[#This Row],[StockDisp]]*Tabla1[[#This Row],[UM producto]]</f>
        <v>#VALUE!</v>
      </c>
    </row>
    <row r="2989" spans="1:19" x14ac:dyDescent="0.35">
      <c r="A2989" s="5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6"/>
      <c r="P2989" s="23" t="e">
        <f>TRIM(Tabla1[[#This Row],[Articulo]])</f>
        <v>#VALUE!</v>
      </c>
      <c r="Q2989" s="23" t="e">
        <f>_xlfn.XLOOKUP(Tabla1[[#This Row],[Ean Normalizado]],Consumos!A:A,Consumos!E:E)</f>
        <v>#VALUE!</v>
      </c>
      <c r="R2989" s="38" t="e">
        <f>_xlfn.XLOOKUP(Tabla1[[#This Row],[Ean Normalizado]],tabla_consumos[EAN],tabla_consumos[UM])</f>
        <v>#VALUE!</v>
      </c>
      <c r="S2989" s="38" t="e">
        <f>Tabla1[[#This Row],[StockDisp]]*Tabla1[[#This Row],[UM producto]]</f>
        <v>#VALUE!</v>
      </c>
    </row>
    <row r="2990" spans="1:19" x14ac:dyDescent="0.35">
      <c r="A2990" s="5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6"/>
      <c r="P2990" s="23" t="e">
        <f>TRIM(Tabla1[[#This Row],[Articulo]])</f>
        <v>#VALUE!</v>
      </c>
      <c r="Q2990" s="23" t="e">
        <f>_xlfn.XLOOKUP(Tabla1[[#This Row],[Ean Normalizado]],Consumos!A:A,Consumos!E:E)</f>
        <v>#VALUE!</v>
      </c>
      <c r="R2990" s="38" t="e">
        <f>_xlfn.XLOOKUP(Tabla1[[#This Row],[Ean Normalizado]],tabla_consumos[EAN],tabla_consumos[UM])</f>
        <v>#VALUE!</v>
      </c>
      <c r="S2990" s="38" t="e">
        <f>Tabla1[[#This Row],[StockDisp]]*Tabla1[[#This Row],[UM producto]]</f>
        <v>#VALUE!</v>
      </c>
    </row>
    <row r="2991" spans="1:19" x14ac:dyDescent="0.35">
      <c r="A2991" s="5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6"/>
      <c r="P2991" s="23" t="e">
        <f>TRIM(Tabla1[[#This Row],[Articulo]])</f>
        <v>#VALUE!</v>
      </c>
      <c r="Q2991" s="23" t="e">
        <f>_xlfn.XLOOKUP(Tabla1[[#This Row],[Ean Normalizado]],Consumos!A:A,Consumos!E:E)</f>
        <v>#VALUE!</v>
      </c>
      <c r="R2991" s="38" t="e">
        <f>_xlfn.XLOOKUP(Tabla1[[#This Row],[Ean Normalizado]],tabla_consumos[EAN],tabla_consumos[UM])</f>
        <v>#VALUE!</v>
      </c>
      <c r="S2991" s="38" t="e">
        <f>Tabla1[[#This Row],[StockDisp]]*Tabla1[[#This Row],[UM producto]]</f>
        <v>#VALUE!</v>
      </c>
    </row>
    <row r="2992" spans="1:19" x14ac:dyDescent="0.35">
      <c r="A2992" s="5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6"/>
      <c r="P2992" s="23" t="e">
        <f>TRIM(Tabla1[[#This Row],[Articulo]])</f>
        <v>#VALUE!</v>
      </c>
      <c r="Q2992" s="23" t="e">
        <f>_xlfn.XLOOKUP(Tabla1[[#This Row],[Ean Normalizado]],Consumos!A:A,Consumos!E:E)</f>
        <v>#VALUE!</v>
      </c>
      <c r="R2992" s="38" t="e">
        <f>_xlfn.XLOOKUP(Tabla1[[#This Row],[Ean Normalizado]],tabla_consumos[EAN],tabla_consumos[UM])</f>
        <v>#VALUE!</v>
      </c>
      <c r="S2992" s="38" t="e">
        <f>Tabla1[[#This Row],[StockDisp]]*Tabla1[[#This Row],[UM producto]]</f>
        <v>#VALUE!</v>
      </c>
    </row>
    <row r="2993" spans="1:19" x14ac:dyDescent="0.35">
      <c r="A2993" s="5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6"/>
      <c r="P2993" s="23" t="e">
        <f>TRIM(Tabla1[[#This Row],[Articulo]])</f>
        <v>#VALUE!</v>
      </c>
      <c r="Q2993" s="23" t="e">
        <f>_xlfn.XLOOKUP(Tabla1[[#This Row],[Ean Normalizado]],Consumos!A:A,Consumos!E:E)</f>
        <v>#VALUE!</v>
      </c>
      <c r="R2993" s="38" t="e">
        <f>_xlfn.XLOOKUP(Tabla1[[#This Row],[Ean Normalizado]],tabla_consumos[EAN],tabla_consumos[UM])</f>
        <v>#VALUE!</v>
      </c>
      <c r="S2993" s="38" t="e">
        <f>Tabla1[[#This Row],[StockDisp]]*Tabla1[[#This Row],[UM producto]]</f>
        <v>#VALUE!</v>
      </c>
    </row>
    <row r="2994" spans="1:19" x14ac:dyDescent="0.35">
      <c r="A2994" s="5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6"/>
      <c r="P2994" s="23" t="e">
        <f>TRIM(Tabla1[[#This Row],[Articulo]])</f>
        <v>#VALUE!</v>
      </c>
      <c r="Q2994" s="23" t="e">
        <f>_xlfn.XLOOKUP(Tabla1[[#This Row],[Ean Normalizado]],Consumos!A:A,Consumos!E:E)</f>
        <v>#VALUE!</v>
      </c>
      <c r="R2994" s="38" t="e">
        <f>_xlfn.XLOOKUP(Tabla1[[#This Row],[Ean Normalizado]],tabla_consumos[EAN],tabla_consumos[UM])</f>
        <v>#VALUE!</v>
      </c>
      <c r="S2994" s="38" t="e">
        <f>Tabla1[[#This Row],[StockDisp]]*Tabla1[[#This Row],[UM producto]]</f>
        <v>#VALUE!</v>
      </c>
    </row>
    <row r="2995" spans="1:19" x14ac:dyDescent="0.35">
      <c r="A2995" s="5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6"/>
      <c r="P2995" s="23" t="e">
        <f>TRIM(Tabla1[[#This Row],[Articulo]])</f>
        <v>#VALUE!</v>
      </c>
      <c r="Q2995" s="23" t="e">
        <f>_xlfn.XLOOKUP(Tabla1[[#This Row],[Ean Normalizado]],Consumos!A:A,Consumos!E:E)</f>
        <v>#VALUE!</v>
      </c>
      <c r="R2995" s="38" t="e">
        <f>_xlfn.XLOOKUP(Tabla1[[#This Row],[Ean Normalizado]],tabla_consumos[EAN],tabla_consumos[UM])</f>
        <v>#VALUE!</v>
      </c>
      <c r="S2995" s="38" t="e">
        <f>Tabla1[[#This Row],[StockDisp]]*Tabla1[[#This Row],[UM producto]]</f>
        <v>#VALUE!</v>
      </c>
    </row>
    <row r="2996" spans="1:19" x14ac:dyDescent="0.35">
      <c r="A2996" s="5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6"/>
      <c r="P2996" s="23" t="e">
        <f>TRIM(Tabla1[[#This Row],[Articulo]])</f>
        <v>#VALUE!</v>
      </c>
      <c r="Q2996" s="23" t="e">
        <f>_xlfn.XLOOKUP(Tabla1[[#This Row],[Ean Normalizado]],Consumos!A:A,Consumos!E:E)</f>
        <v>#VALUE!</v>
      </c>
      <c r="R2996" s="38" t="e">
        <f>_xlfn.XLOOKUP(Tabla1[[#This Row],[Ean Normalizado]],tabla_consumos[EAN],tabla_consumos[UM])</f>
        <v>#VALUE!</v>
      </c>
      <c r="S2996" s="38" t="e">
        <f>Tabla1[[#This Row],[StockDisp]]*Tabla1[[#This Row],[UM producto]]</f>
        <v>#VALUE!</v>
      </c>
    </row>
    <row r="2997" spans="1:19" x14ac:dyDescent="0.35">
      <c r="A2997" s="5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6"/>
      <c r="P2997" s="23" t="e">
        <f>TRIM(Tabla1[[#This Row],[Articulo]])</f>
        <v>#VALUE!</v>
      </c>
      <c r="Q2997" s="23" t="e">
        <f>_xlfn.XLOOKUP(Tabla1[[#This Row],[Ean Normalizado]],Consumos!A:A,Consumos!E:E)</f>
        <v>#VALUE!</v>
      </c>
      <c r="R2997" s="38" t="e">
        <f>_xlfn.XLOOKUP(Tabla1[[#This Row],[Ean Normalizado]],tabla_consumos[EAN],tabla_consumos[UM])</f>
        <v>#VALUE!</v>
      </c>
      <c r="S2997" s="38" t="e">
        <f>Tabla1[[#This Row],[StockDisp]]*Tabla1[[#This Row],[UM producto]]</f>
        <v>#VALUE!</v>
      </c>
    </row>
    <row r="2998" spans="1:19" x14ac:dyDescent="0.35">
      <c r="A2998" s="5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6"/>
      <c r="P2998" s="23" t="e">
        <f>TRIM(Tabla1[[#This Row],[Articulo]])</f>
        <v>#VALUE!</v>
      </c>
      <c r="Q2998" s="23" t="e">
        <f>_xlfn.XLOOKUP(Tabla1[[#This Row],[Ean Normalizado]],Consumos!A:A,Consumos!E:E)</f>
        <v>#VALUE!</v>
      </c>
      <c r="R2998" s="38" t="e">
        <f>_xlfn.XLOOKUP(Tabla1[[#This Row],[Ean Normalizado]],tabla_consumos[EAN],tabla_consumos[UM])</f>
        <v>#VALUE!</v>
      </c>
      <c r="S2998" s="38" t="e">
        <f>Tabla1[[#This Row],[StockDisp]]*Tabla1[[#This Row],[UM producto]]</f>
        <v>#VALUE!</v>
      </c>
    </row>
    <row r="2999" spans="1:19" x14ac:dyDescent="0.35">
      <c r="A2999" s="5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6"/>
      <c r="P2999" s="23" t="e">
        <f>TRIM(Tabla1[[#This Row],[Articulo]])</f>
        <v>#VALUE!</v>
      </c>
      <c r="Q2999" s="23" t="e">
        <f>_xlfn.XLOOKUP(Tabla1[[#This Row],[Ean Normalizado]],Consumos!A:A,Consumos!E:E)</f>
        <v>#VALUE!</v>
      </c>
      <c r="R2999" s="38" t="e">
        <f>_xlfn.XLOOKUP(Tabla1[[#This Row],[Ean Normalizado]],tabla_consumos[EAN],tabla_consumos[UM])</f>
        <v>#VALUE!</v>
      </c>
      <c r="S2999" s="38" t="e">
        <f>Tabla1[[#This Row],[StockDisp]]*Tabla1[[#This Row],[UM producto]]</f>
        <v>#VALUE!</v>
      </c>
    </row>
    <row r="3000" spans="1:19" x14ac:dyDescent="0.35">
      <c r="A3000" s="5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6"/>
      <c r="P3000" s="23" t="e">
        <f>TRIM(Tabla1[[#This Row],[Articulo]])</f>
        <v>#VALUE!</v>
      </c>
      <c r="Q3000" s="23" t="e">
        <f>_xlfn.XLOOKUP(Tabla1[[#This Row],[Ean Normalizado]],Consumos!A:A,Consumos!E:E)</f>
        <v>#VALUE!</v>
      </c>
      <c r="R3000" s="38" t="e">
        <f>_xlfn.XLOOKUP(Tabla1[[#This Row],[Ean Normalizado]],tabla_consumos[EAN],tabla_consumos[UM])</f>
        <v>#VALUE!</v>
      </c>
      <c r="S3000" s="38" t="e">
        <f>Tabla1[[#This Row],[StockDisp]]*Tabla1[[#This Row],[UM producto]]</f>
        <v>#VALUE!</v>
      </c>
    </row>
    <row r="3001" spans="1:19" x14ac:dyDescent="0.35">
      <c r="A3001" s="5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6"/>
      <c r="P3001" s="23" t="e">
        <f>TRIM(Tabla1[[#This Row],[Articulo]])</f>
        <v>#VALUE!</v>
      </c>
      <c r="Q3001" s="23" t="e">
        <f>_xlfn.XLOOKUP(Tabla1[[#This Row],[Ean Normalizado]],Consumos!A:A,Consumos!E:E)</f>
        <v>#VALUE!</v>
      </c>
      <c r="R3001" s="38" t="e">
        <f>_xlfn.XLOOKUP(Tabla1[[#This Row],[Ean Normalizado]],tabla_consumos[EAN],tabla_consumos[UM])</f>
        <v>#VALUE!</v>
      </c>
      <c r="S3001" s="38" t="e">
        <f>Tabla1[[#This Row],[StockDisp]]*Tabla1[[#This Row],[UM producto]]</f>
        <v>#VALUE!</v>
      </c>
    </row>
    <row r="3002" spans="1:19" x14ac:dyDescent="0.35">
      <c r="A3002" s="5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6"/>
      <c r="P3002" s="23" t="e">
        <f>TRIM(Tabla1[[#This Row],[Articulo]])</f>
        <v>#VALUE!</v>
      </c>
      <c r="Q3002" s="23" t="e">
        <f>_xlfn.XLOOKUP(Tabla1[[#This Row],[Ean Normalizado]],Consumos!A:A,Consumos!E:E)</f>
        <v>#VALUE!</v>
      </c>
      <c r="R3002" s="38" t="e">
        <f>_xlfn.XLOOKUP(Tabla1[[#This Row],[Ean Normalizado]],tabla_consumos[EAN],tabla_consumos[UM])</f>
        <v>#VALUE!</v>
      </c>
      <c r="S3002" s="38" t="e">
        <f>Tabla1[[#This Row],[StockDisp]]*Tabla1[[#This Row],[UM producto]]</f>
        <v>#VALUE!</v>
      </c>
    </row>
    <row r="3003" spans="1:19" x14ac:dyDescent="0.35">
      <c r="A3003" s="5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6"/>
      <c r="P3003" s="23" t="e">
        <f>TRIM(Tabla1[[#This Row],[Articulo]])</f>
        <v>#VALUE!</v>
      </c>
      <c r="Q3003" s="23" t="e">
        <f>_xlfn.XLOOKUP(Tabla1[[#This Row],[Ean Normalizado]],Consumos!A:A,Consumos!E:E)</f>
        <v>#VALUE!</v>
      </c>
      <c r="R3003" s="38" t="e">
        <f>_xlfn.XLOOKUP(Tabla1[[#This Row],[Ean Normalizado]],tabla_consumos[EAN],tabla_consumos[UM])</f>
        <v>#VALUE!</v>
      </c>
      <c r="S3003" s="38" t="e">
        <f>Tabla1[[#This Row],[StockDisp]]*Tabla1[[#This Row],[UM producto]]</f>
        <v>#VALUE!</v>
      </c>
    </row>
    <row r="3004" spans="1:19" x14ac:dyDescent="0.35">
      <c r="A3004" s="5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6"/>
      <c r="P3004" s="23" t="e">
        <f>TRIM(Tabla1[[#This Row],[Articulo]])</f>
        <v>#VALUE!</v>
      </c>
      <c r="Q3004" s="23" t="e">
        <f>_xlfn.XLOOKUP(Tabla1[[#This Row],[Ean Normalizado]],Consumos!A:A,Consumos!E:E)</f>
        <v>#VALUE!</v>
      </c>
      <c r="R3004" s="38" t="e">
        <f>_xlfn.XLOOKUP(Tabla1[[#This Row],[Ean Normalizado]],tabla_consumos[EAN],tabla_consumos[UM])</f>
        <v>#VALUE!</v>
      </c>
      <c r="S3004" s="38" t="e">
        <f>Tabla1[[#This Row],[StockDisp]]*Tabla1[[#This Row],[UM producto]]</f>
        <v>#VALUE!</v>
      </c>
    </row>
    <row r="3005" spans="1:19" x14ac:dyDescent="0.35">
      <c r="A3005" s="5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6"/>
      <c r="P3005" s="23" t="e">
        <f>TRIM(Tabla1[[#This Row],[Articulo]])</f>
        <v>#VALUE!</v>
      </c>
      <c r="Q3005" s="23" t="e">
        <f>_xlfn.XLOOKUP(Tabla1[[#This Row],[Ean Normalizado]],Consumos!A:A,Consumos!E:E)</f>
        <v>#VALUE!</v>
      </c>
      <c r="R3005" s="38" t="e">
        <f>_xlfn.XLOOKUP(Tabla1[[#This Row],[Ean Normalizado]],tabla_consumos[EAN],tabla_consumos[UM])</f>
        <v>#VALUE!</v>
      </c>
      <c r="S3005" s="38" t="e">
        <f>Tabla1[[#This Row],[StockDisp]]*Tabla1[[#This Row],[UM producto]]</f>
        <v>#VALUE!</v>
      </c>
    </row>
    <row r="3006" spans="1:19" x14ac:dyDescent="0.35">
      <c r="A3006" s="5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6"/>
      <c r="P3006" s="23" t="e">
        <f>TRIM(Tabla1[[#This Row],[Articulo]])</f>
        <v>#VALUE!</v>
      </c>
      <c r="Q3006" s="23" t="e">
        <f>_xlfn.XLOOKUP(Tabla1[[#This Row],[Ean Normalizado]],Consumos!A:A,Consumos!E:E)</f>
        <v>#VALUE!</v>
      </c>
      <c r="R3006" s="38" t="e">
        <f>_xlfn.XLOOKUP(Tabla1[[#This Row],[Ean Normalizado]],tabla_consumos[EAN],tabla_consumos[UM])</f>
        <v>#VALUE!</v>
      </c>
      <c r="S3006" s="38" t="e">
        <f>Tabla1[[#This Row],[StockDisp]]*Tabla1[[#This Row],[UM producto]]</f>
        <v>#VALUE!</v>
      </c>
    </row>
    <row r="3007" spans="1:19" x14ac:dyDescent="0.35">
      <c r="A3007" s="5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6"/>
      <c r="P3007" s="23" t="e">
        <f>TRIM(Tabla1[[#This Row],[Articulo]])</f>
        <v>#VALUE!</v>
      </c>
      <c r="Q3007" s="23" t="e">
        <f>_xlfn.XLOOKUP(Tabla1[[#This Row],[Ean Normalizado]],Consumos!A:A,Consumos!E:E)</f>
        <v>#VALUE!</v>
      </c>
      <c r="R3007" s="38" t="e">
        <f>_xlfn.XLOOKUP(Tabla1[[#This Row],[Ean Normalizado]],tabla_consumos[EAN],tabla_consumos[UM])</f>
        <v>#VALUE!</v>
      </c>
      <c r="S3007" s="38" t="e">
        <f>Tabla1[[#This Row],[StockDisp]]*Tabla1[[#This Row],[UM producto]]</f>
        <v>#VALUE!</v>
      </c>
    </row>
    <row r="3008" spans="1:19" x14ac:dyDescent="0.35">
      <c r="A3008" s="5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6"/>
      <c r="P3008" s="23" t="e">
        <f>TRIM(Tabla1[[#This Row],[Articulo]])</f>
        <v>#VALUE!</v>
      </c>
      <c r="Q3008" s="23" t="e">
        <f>_xlfn.XLOOKUP(Tabla1[[#This Row],[Ean Normalizado]],Consumos!A:A,Consumos!E:E)</f>
        <v>#VALUE!</v>
      </c>
      <c r="R3008" s="38" t="e">
        <f>_xlfn.XLOOKUP(Tabla1[[#This Row],[Ean Normalizado]],tabla_consumos[EAN],tabla_consumos[UM])</f>
        <v>#VALUE!</v>
      </c>
      <c r="S3008" s="38" t="e">
        <f>Tabla1[[#This Row],[StockDisp]]*Tabla1[[#This Row],[UM producto]]</f>
        <v>#VALUE!</v>
      </c>
    </row>
    <row r="3009" spans="1:19" x14ac:dyDescent="0.35">
      <c r="A3009" s="5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6"/>
      <c r="P3009" s="23" t="e">
        <f>TRIM(Tabla1[[#This Row],[Articulo]])</f>
        <v>#VALUE!</v>
      </c>
      <c r="Q3009" s="23" t="e">
        <f>_xlfn.XLOOKUP(Tabla1[[#This Row],[Ean Normalizado]],Consumos!A:A,Consumos!E:E)</f>
        <v>#VALUE!</v>
      </c>
      <c r="R3009" s="38" t="e">
        <f>_xlfn.XLOOKUP(Tabla1[[#This Row],[Ean Normalizado]],tabla_consumos[EAN],tabla_consumos[UM])</f>
        <v>#VALUE!</v>
      </c>
      <c r="S3009" s="38" t="e">
        <f>Tabla1[[#This Row],[StockDisp]]*Tabla1[[#This Row],[UM producto]]</f>
        <v>#VALUE!</v>
      </c>
    </row>
    <row r="3010" spans="1:19" x14ac:dyDescent="0.35">
      <c r="A3010" s="5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6"/>
      <c r="P3010" s="23" t="e">
        <f>TRIM(Tabla1[[#This Row],[Articulo]])</f>
        <v>#VALUE!</v>
      </c>
      <c r="Q3010" s="23" t="e">
        <f>_xlfn.XLOOKUP(Tabla1[[#This Row],[Ean Normalizado]],Consumos!A:A,Consumos!E:E)</f>
        <v>#VALUE!</v>
      </c>
      <c r="R3010" s="38" t="e">
        <f>_xlfn.XLOOKUP(Tabla1[[#This Row],[Ean Normalizado]],tabla_consumos[EAN],tabla_consumos[UM])</f>
        <v>#VALUE!</v>
      </c>
      <c r="S3010" s="38" t="e">
        <f>Tabla1[[#This Row],[StockDisp]]*Tabla1[[#This Row],[UM producto]]</f>
        <v>#VALUE!</v>
      </c>
    </row>
    <row r="3011" spans="1:19" x14ac:dyDescent="0.35">
      <c r="A3011" s="5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6"/>
      <c r="P3011" s="23" t="e">
        <f>TRIM(Tabla1[[#This Row],[Articulo]])</f>
        <v>#VALUE!</v>
      </c>
      <c r="Q3011" s="23" t="e">
        <f>_xlfn.XLOOKUP(Tabla1[[#This Row],[Ean Normalizado]],Consumos!A:A,Consumos!E:E)</f>
        <v>#VALUE!</v>
      </c>
      <c r="R3011" s="38" t="e">
        <f>_xlfn.XLOOKUP(Tabla1[[#This Row],[Ean Normalizado]],tabla_consumos[EAN],tabla_consumos[UM])</f>
        <v>#VALUE!</v>
      </c>
      <c r="S3011" s="38" t="e">
        <f>Tabla1[[#This Row],[StockDisp]]*Tabla1[[#This Row],[UM producto]]</f>
        <v>#VALUE!</v>
      </c>
    </row>
    <row r="3012" spans="1:19" x14ac:dyDescent="0.35">
      <c r="A3012" s="5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6"/>
      <c r="P3012" s="23" t="e">
        <f>TRIM(Tabla1[[#This Row],[Articulo]])</f>
        <v>#VALUE!</v>
      </c>
      <c r="Q3012" s="23" t="e">
        <f>_xlfn.XLOOKUP(Tabla1[[#This Row],[Ean Normalizado]],Consumos!A:A,Consumos!E:E)</f>
        <v>#VALUE!</v>
      </c>
      <c r="R3012" s="38" t="e">
        <f>_xlfn.XLOOKUP(Tabla1[[#This Row],[Ean Normalizado]],tabla_consumos[EAN],tabla_consumos[UM])</f>
        <v>#VALUE!</v>
      </c>
      <c r="S3012" s="38" t="e">
        <f>Tabla1[[#This Row],[StockDisp]]*Tabla1[[#This Row],[UM producto]]</f>
        <v>#VALUE!</v>
      </c>
    </row>
    <row r="3013" spans="1:19" x14ac:dyDescent="0.35">
      <c r="A3013" s="5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6"/>
      <c r="P3013" s="23" t="e">
        <f>TRIM(Tabla1[[#This Row],[Articulo]])</f>
        <v>#VALUE!</v>
      </c>
      <c r="Q3013" s="23" t="e">
        <f>_xlfn.XLOOKUP(Tabla1[[#This Row],[Ean Normalizado]],Consumos!A:A,Consumos!E:E)</f>
        <v>#VALUE!</v>
      </c>
      <c r="R3013" s="38" t="e">
        <f>_xlfn.XLOOKUP(Tabla1[[#This Row],[Ean Normalizado]],tabla_consumos[EAN],tabla_consumos[UM])</f>
        <v>#VALUE!</v>
      </c>
      <c r="S3013" s="38" t="e">
        <f>Tabla1[[#This Row],[StockDisp]]*Tabla1[[#This Row],[UM producto]]</f>
        <v>#VALUE!</v>
      </c>
    </row>
    <row r="3014" spans="1:19" x14ac:dyDescent="0.35">
      <c r="A3014" s="5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6"/>
      <c r="P3014" s="23" t="e">
        <f>TRIM(Tabla1[[#This Row],[Articulo]])</f>
        <v>#VALUE!</v>
      </c>
      <c r="Q3014" s="23" t="e">
        <f>_xlfn.XLOOKUP(Tabla1[[#This Row],[Ean Normalizado]],Consumos!A:A,Consumos!E:E)</f>
        <v>#VALUE!</v>
      </c>
      <c r="R3014" s="38" t="e">
        <f>_xlfn.XLOOKUP(Tabla1[[#This Row],[Ean Normalizado]],tabla_consumos[EAN],tabla_consumos[UM])</f>
        <v>#VALUE!</v>
      </c>
      <c r="S3014" s="38" t="e">
        <f>Tabla1[[#This Row],[StockDisp]]*Tabla1[[#This Row],[UM producto]]</f>
        <v>#VALUE!</v>
      </c>
    </row>
    <row r="3015" spans="1:19" x14ac:dyDescent="0.35">
      <c r="A3015" s="5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6"/>
      <c r="P3015" s="23" t="e">
        <f>TRIM(Tabla1[[#This Row],[Articulo]])</f>
        <v>#VALUE!</v>
      </c>
      <c r="Q3015" s="23" t="e">
        <f>_xlfn.XLOOKUP(Tabla1[[#This Row],[Ean Normalizado]],Consumos!A:A,Consumos!E:E)</f>
        <v>#VALUE!</v>
      </c>
      <c r="R3015" s="38" t="e">
        <f>_xlfn.XLOOKUP(Tabla1[[#This Row],[Ean Normalizado]],tabla_consumos[EAN],tabla_consumos[UM])</f>
        <v>#VALUE!</v>
      </c>
      <c r="S3015" s="38" t="e">
        <f>Tabla1[[#This Row],[StockDisp]]*Tabla1[[#This Row],[UM producto]]</f>
        <v>#VALUE!</v>
      </c>
    </row>
    <row r="3016" spans="1:19" x14ac:dyDescent="0.35">
      <c r="A3016" s="5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6"/>
      <c r="P3016" s="23" t="e">
        <f>TRIM(Tabla1[[#This Row],[Articulo]])</f>
        <v>#VALUE!</v>
      </c>
      <c r="Q3016" s="23" t="e">
        <f>_xlfn.XLOOKUP(Tabla1[[#This Row],[Ean Normalizado]],Consumos!A:A,Consumos!E:E)</f>
        <v>#VALUE!</v>
      </c>
      <c r="R3016" s="38" t="e">
        <f>_xlfn.XLOOKUP(Tabla1[[#This Row],[Ean Normalizado]],tabla_consumos[EAN],tabla_consumos[UM])</f>
        <v>#VALUE!</v>
      </c>
      <c r="S3016" s="38" t="e">
        <f>Tabla1[[#This Row],[StockDisp]]*Tabla1[[#This Row],[UM producto]]</f>
        <v>#VALUE!</v>
      </c>
    </row>
    <row r="3017" spans="1:19" x14ac:dyDescent="0.35">
      <c r="A3017" s="5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6"/>
      <c r="P3017" s="23" t="e">
        <f>TRIM(Tabla1[[#This Row],[Articulo]])</f>
        <v>#VALUE!</v>
      </c>
      <c r="Q3017" s="23" t="e">
        <f>_xlfn.XLOOKUP(Tabla1[[#This Row],[Ean Normalizado]],Consumos!A:A,Consumos!E:E)</f>
        <v>#VALUE!</v>
      </c>
      <c r="R3017" s="38" t="e">
        <f>_xlfn.XLOOKUP(Tabla1[[#This Row],[Ean Normalizado]],tabla_consumos[EAN],tabla_consumos[UM])</f>
        <v>#VALUE!</v>
      </c>
      <c r="S3017" s="38" t="e">
        <f>Tabla1[[#This Row],[StockDisp]]*Tabla1[[#This Row],[UM producto]]</f>
        <v>#VALUE!</v>
      </c>
    </row>
    <row r="3018" spans="1:19" x14ac:dyDescent="0.35">
      <c r="A3018" s="5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6"/>
      <c r="P3018" s="23" t="e">
        <f>TRIM(Tabla1[[#This Row],[Articulo]])</f>
        <v>#VALUE!</v>
      </c>
      <c r="Q3018" s="23" t="e">
        <f>_xlfn.XLOOKUP(Tabla1[[#This Row],[Ean Normalizado]],Consumos!A:A,Consumos!E:E)</f>
        <v>#VALUE!</v>
      </c>
      <c r="R3018" s="38" t="e">
        <f>_xlfn.XLOOKUP(Tabla1[[#This Row],[Ean Normalizado]],tabla_consumos[EAN],tabla_consumos[UM])</f>
        <v>#VALUE!</v>
      </c>
      <c r="S3018" s="38" t="e">
        <f>Tabla1[[#This Row],[StockDisp]]*Tabla1[[#This Row],[UM producto]]</f>
        <v>#VALUE!</v>
      </c>
    </row>
    <row r="3019" spans="1:19" x14ac:dyDescent="0.35">
      <c r="A3019" s="5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6"/>
      <c r="P3019" s="23" t="e">
        <f>TRIM(Tabla1[[#This Row],[Articulo]])</f>
        <v>#VALUE!</v>
      </c>
      <c r="Q3019" s="23" t="e">
        <f>_xlfn.XLOOKUP(Tabla1[[#This Row],[Ean Normalizado]],Consumos!A:A,Consumos!E:E)</f>
        <v>#VALUE!</v>
      </c>
      <c r="R3019" s="38" t="e">
        <f>_xlfn.XLOOKUP(Tabla1[[#This Row],[Ean Normalizado]],tabla_consumos[EAN],tabla_consumos[UM])</f>
        <v>#VALUE!</v>
      </c>
      <c r="S3019" s="38" t="e">
        <f>Tabla1[[#This Row],[StockDisp]]*Tabla1[[#This Row],[UM producto]]</f>
        <v>#VALUE!</v>
      </c>
    </row>
    <row r="3020" spans="1:19" x14ac:dyDescent="0.35">
      <c r="A3020" s="5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6"/>
      <c r="P3020" s="23" t="e">
        <f>TRIM(Tabla1[[#This Row],[Articulo]])</f>
        <v>#VALUE!</v>
      </c>
      <c r="Q3020" s="23" t="e">
        <f>_xlfn.XLOOKUP(Tabla1[[#This Row],[Ean Normalizado]],Consumos!A:A,Consumos!E:E)</f>
        <v>#VALUE!</v>
      </c>
      <c r="R3020" s="38" t="e">
        <f>_xlfn.XLOOKUP(Tabla1[[#This Row],[Ean Normalizado]],tabla_consumos[EAN],tabla_consumos[UM])</f>
        <v>#VALUE!</v>
      </c>
      <c r="S3020" s="38" t="e">
        <f>Tabla1[[#This Row],[StockDisp]]*Tabla1[[#This Row],[UM producto]]</f>
        <v>#VALUE!</v>
      </c>
    </row>
    <row r="3021" spans="1:19" x14ac:dyDescent="0.35">
      <c r="A3021" s="5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6"/>
      <c r="P3021" s="23" t="e">
        <f>TRIM(Tabla1[[#This Row],[Articulo]])</f>
        <v>#VALUE!</v>
      </c>
      <c r="Q3021" s="23" t="e">
        <f>_xlfn.XLOOKUP(Tabla1[[#This Row],[Ean Normalizado]],Consumos!A:A,Consumos!E:E)</f>
        <v>#VALUE!</v>
      </c>
      <c r="R3021" s="38" t="e">
        <f>_xlfn.XLOOKUP(Tabla1[[#This Row],[Ean Normalizado]],tabla_consumos[EAN],tabla_consumos[UM])</f>
        <v>#VALUE!</v>
      </c>
      <c r="S3021" s="38" t="e">
        <f>Tabla1[[#This Row],[StockDisp]]*Tabla1[[#This Row],[UM producto]]</f>
        <v>#VALUE!</v>
      </c>
    </row>
    <row r="3022" spans="1:19" x14ac:dyDescent="0.35">
      <c r="A3022" s="5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6"/>
      <c r="P3022" s="23" t="e">
        <f>TRIM(Tabla1[[#This Row],[Articulo]])</f>
        <v>#VALUE!</v>
      </c>
      <c r="Q3022" s="23" t="e">
        <f>_xlfn.XLOOKUP(Tabla1[[#This Row],[Ean Normalizado]],Consumos!A:A,Consumos!E:E)</f>
        <v>#VALUE!</v>
      </c>
      <c r="R3022" s="38" t="e">
        <f>_xlfn.XLOOKUP(Tabla1[[#This Row],[Ean Normalizado]],tabla_consumos[EAN],tabla_consumos[UM])</f>
        <v>#VALUE!</v>
      </c>
      <c r="S3022" s="38" t="e">
        <f>Tabla1[[#This Row],[StockDisp]]*Tabla1[[#This Row],[UM producto]]</f>
        <v>#VALUE!</v>
      </c>
    </row>
    <row r="3023" spans="1:19" x14ac:dyDescent="0.35">
      <c r="A3023" s="5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6"/>
      <c r="P3023" s="23" t="e">
        <f>TRIM(Tabla1[[#This Row],[Articulo]])</f>
        <v>#VALUE!</v>
      </c>
      <c r="Q3023" s="23" t="e">
        <f>_xlfn.XLOOKUP(Tabla1[[#This Row],[Ean Normalizado]],Consumos!A:A,Consumos!E:E)</f>
        <v>#VALUE!</v>
      </c>
      <c r="R3023" s="38" t="e">
        <f>_xlfn.XLOOKUP(Tabla1[[#This Row],[Ean Normalizado]],tabla_consumos[EAN],tabla_consumos[UM])</f>
        <v>#VALUE!</v>
      </c>
      <c r="S3023" s="38" t="e">
        <f>Tabla1[[#This Row],[StockDisp]]*Tabla1[[#This Row],[UM producto]]</f>
        <v>#VALUE!</v>
      </c>
    </row>
    <row r="3024" spans="1:19" x14ac:dyDescent="0.35">
      <c r="A3024" s="5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6"/>
      <c r="P3024" s="23" t="e">
        <f>TRIM(Tabla1[[#This Row],[Articulo]])</f>
        <v>#VALUE!</v>
      </c>
      <c r="Q3024" s="23" t="e">
        <f>_xlfn.XLOOKUP(Tabla1[[#This Row],[Ean Normalizado]],Consumos!A:A,Consumos!E:E)</f>
        <v>#VALUE!</v>
      </c>
      <c r="R3024" s="38" t="e">
        <f>_xlfn.XLOOKUP(Tabla1[[#This Row],[Ean Normalizado]],tabla_consumos[EAN],tabla_consumos[UM])</f>
        <v>#VALUE!</v>
      </c>
      <c r="S3024" s="38" t="e">
        <f>Tabla1[[#This Row],[StockDisp]]*Tabla1[[#This Row],[UM producto]]</f>
        <v>#VALUE!</v>
      </c>
    </row>
    <row r="3025" spans="1:19" x14ac:dyDescent="0.35">
      <c r="A3025" s="5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6"/>
      <c r="P3025" s="23" t="e">
        <f>TRIM(Tabla1[[#This Row],[Articulo]])</f>
        <v>#VALUE!</v>
      </c>
      <c r="Q3025" s="23" t="e">
        <f>_xlfn.XLOOKUP(Tabla1[[#This Row],[Ean Normalizado]],Consumos!A:A,Consumos!E:E)</f>
        <v>#VALUE!</v>
      </c>
      <c r="R3025" s="38" t="e">
        <f>_xlfn.XLOOKUP(Tabla1[[#This Row],[Ean Normalizado]],tabla_consumos[EAN],tabla_consumos[UM])</f>
        <v>#VALUE!</v>
      </c>
      <c r="S3025" s="38" t="e">
        <f>Tabla1[[#This Row],[StockDisp]]*Tabla1[[#This Row],[UM producto]]</f>
        <v>#VALUE!</v>
      </c>
    </row>
    <row r="3026" spans="1:19" x14ac:dyDescent="0.35">
      <c r="A3026" s="5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6"/>
      <c r="P3026" s="23" t="e">
        <f>TRIM(Tabla1[[#This Row],[Articulo]])</f>
        <v>#VALUE!</v>
      </c>
      <c r="Q3026" s="23" t="e">
        <f>_xlfn.XLOOKUP(Tabla1[[#This Row],[Ean Normalizado]],Consumos!A:A,Consumos!E:E)</f>
        <v>#VALUE!</v>
      </c>
      <c r="R3026" s="38" t="e">
        <f>_xlfn.XLOOKUP(Tabla1[[#This Row],[Ean Normalizado]],tabla_consumos[EAN],tabla_consumos[UM])</f>
        <v>#VALUE!</v>
      </c>
      <c r="S3026" s="38" t="e">
        <f>Tabla1[[#This Row],[StockDisp]]*Tabla1[[#This Row],[UM producto]]</f>
        <v>#VALUE!</v>
      </c>
    </row>
    <row r="3027" spans="1:19" x14ac:dyDescent="0.35">
      <c r="A3027" s="5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6"/>
      <c r="P3027" s="23" t="e">
        <f>TRIM(Tabla1[[#This Row],[Articulo]])</f>
        <v>#VALUE!</v>
      </c>
      <c r="Q3027" s="23" t="e">
        <f>_xlfn.XLOOKUP(Tabla1[[#This Row],[Ean Normalizado]],Consumos!A:A,Consumos!E:E)</f>
        <v>#VALUE!</v>
      </c>
      <c r="R3027" s="38" t="e">
        <f>_xlfn.XLOOKUP(Tabla1[[#This Row],[Ean Normalizado]],tabla_consumos[EAN],tabla_consumos[UM])</f>
        <v>#VALUE!</v>
      </c>
      <c r="S3027" s="38" t="e">
        <f>Tabla1[[#This Row],[StockDisp]]*Tabla1[[#This Row],[UM producto]]</f>
        <v>#VALUE!</v>
      </c>
    </row>
    <row r="3028" spans="1:19" x14ac:dyDescent="0.35">
      <c r="A3028" s="5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6"/>
      <c r="P3028" s="23" t="e">
        <f>TRIM(Tabla1[[#This Row],[Articulo]])</f>
        <v>#VALUE!</v>
      </c>
      <c r="Q3028" s="23" t="e">
        <f>_xlfn.XLOOKUP(Tabla1[[#This Row],[Ean Normalizado]],Consumos!A:A,Consumos!E:E)</f>
        <v>#VALUE!</v>
      </c>
      <c r="R3028" s="38" t="e">
        <f>_xlfn.XLOOKUP(Tabla1[[#This Row],[Ean Normalizado]],tabla_consumos[EAN],tabla_consumos[UM])</f>
        <v>#VALUE!</v>
      </c>
      <c r="S3028" s="38" t="e">
        <f>Tabla1[[#This Row],[StockDisp]]*Tabla1[[#This Row],[UM producto]]</f>
        <v>#VALUE!</v>
      </c>
    </row>
    <row r="3029" spans="1:19" x14ac:dyDescent="0.35">
      <c r="A3029" s="5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6"/>
      <c r="P3029" s="23" t="e">
        <f>TRIM(Tabla1[[#This Row],[Articulo]])</f>
        <v>#VALUE!</v>
      </c>
      <c r="Q3029" s="23" t="e">
        <f>_xlfn.XLOOKUP(Tabla1[[#This Row],[Ean Normalizado]],Consumos!A:A,Consumos!E:E)</f>
        <v>#VALUE!</v>
      </c>
      <c r="R3029" s="38" t="e">
        <f>_xlfn.XLOOKUP(Tabla1[[#This Row],[Ean Normalizado]],tabla_consumos[EAN],tabla_consumos[UM])</f>
        <v>#VALUE!</v>
      </c>
      <c r="S3029" s="38" t="e">
        <f>Tabla1[[#This Row],[StockDisp]]*Tabla1[[#This Row],[UM producto]]</f>
        <v>#VALUE!</v>
      </c>
    </row>
    <row r="3030" spans="1:19" x14ac:dyDescent="0.35">
      <c r="A3030" s="5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6"/>
      <c r="P3030" s="23" t="e">
        <f>TRIM(Tabla1[[#This Row],[Articulo]])</f>
        <v>#VALUE!</v>
      </c>
      <c r="Q3030" s="23" t="e">
        <f>_xlfn.XLOOKUP(Tabla1[[#This Row],[Ean Normalizado]],Consumos!A:A,Consumos!E:E)</f>
        <v>#VALUE!</v>
      </c>
      <c r="R3030" s="38" t="e">
        <f>_xlfn.XLOOKUP(Tabla1[[#This Row],[Ean Normalizado]],tabla_consumos[EAN],tabla_consumos[UM])</f>
        <v>#VALUE!</v>
      </c>
      <c r="S3030" s="38" t="e">
        <f>Tabla1[[#This Row],[StockDisp]]*Tabla1[[#This Row],[UM producto]]</f>
        <v>#VALUE!</v>
      </c>
    </row>
    <row r="3031" spans="1:19" x14ac:dyDescent="0.35">
      <c r="A3031" s="5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6"/>
      <c r="P3031" s="23" t="e">
        <f>TRIM(Tabla1[[#This Row],[Articulo]])</f>
        <v>#VALUE!</v>
      </c>
      <c r="Q3031" s="23" t="e">
        <f>_xlfn.XLOOKUP(Tabla1[[#This Row],[Ean Normalizado]],Consumos!A:A,Consumos!E:E)</f>
        <v>#VALUE!</v>
      </c>
      <c r="R3031" s="38" t="e">
        <f>_xlfn.XLOOKUP(Tabla1[[#This Row],[Ean Normalizado]],tabla_consumos[EAN],tabla_consumos[UM])</f>
        <v>#VALUE!</v>
      </c>
      <c r="S3031" s="38" t="e">
        <f>Tabla1[[#This Row],[StockDisp]]*Tabla1[[#This Row],[UM producto]]</f>
        <v>#VALUE!</v>
      </c>
    </row>
    <row r="3032" spans="1:19" x14ac:dyDescent="0.35">
      <c r="A3032" s="5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6"/>
      <c r="P3032" s="23" t="e">
        <f>TRIM(Tabla1[[#This Row],[Articulo]])</f>
        <v>#VALUE!</v>
      </c>
      <c r="Q3032" s="23" t="e">
        <f>_xlfn.XLOOKUP(Tabla1[[#This Row],[Ean Normalizado]],Consumos!A:A,Consumos!E:E)</f>
        <v>#VALUE!</v>
      </c>
      <c r="R3032" s="38" t="e">
        <f>_xlfn.XLOOKUP(Tabla1[[#This Row],[Ean Normalizado]],tabla_consumos[EAN],tabla_consumos[UM])</f>
        <v>#VALUE!</v>
      </c>
      <c r="S3032" s="38" t="e">
        <f>Tabla1[[#This Row],[StockDisp]]*Tabla1[[#This Row],[UM producto]]</f>
        <v>#VALUE!</v>
      </c>
    </row>
    <row r="3033" spans="1:19" x14ac:dyDescent="0.35">
      <c r="A3033" s="5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6"/>
      <c r="P3033" s="23" t="e">
        <f>TRIM(Tabla1[[#This Row],[Articulo]])</f>
        <v>#VALUE!</v>
      </c>
      <c r="Q3033" s="23" t="e">
        <f>_xlfn.XLOOKUP(Tabla1[[#This Row],[Ean Normalizado]],Consumos!A:A,Consumos!E:E)</f>
        <v>#VALUE!</v>
      </c>
      <c r="R3033" s="38" t="e">
        <f>_xlfn.XLOOKUP(Tabla1[[#This Row],[Ean Normalizado]],tabla_consumos[EAN],tabla_consumos[UM])</f>
        <v>#VALUE!</v>
      </c>
      <c r="S3033" s="38" t="e">
        <f>Tabla1[[#This Row],[StockDisp]]*Tabla1[[#This Row],[UM producto]]</f>
        <v>#VALUE!</v>
      </c>
    </row>
    <row r="3034" spans="1:19" x14ac:dyDescent="0.35">
      <c r="A3034" s="5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6"/>
      <c r="P3034" s="23" t="e">
        <f>TRIM(Tabla1[[#This Row],[Articulo]])</f>
        <v>#VALUE!</v>
      </c>
      <c r="Q3034" s="23" t="e">
        <f>_xlfn.XLOOKUP(Tabla1[[#This Row],[Ean Normalizado]],Consumos!A:A,Consumos!E:E)</f>
        <v>#VALUE!</v>
      </c>
      <c r="R3034" s="38" t="e">
        <f>_xlfn.XLOOKUP(Tabla1[[#This Row],[Ean Normalizado]],tabla_consumos[EAN],tabla_consumos[UM])</f>
        <v>#VALUE!</v>
      </c>
      <c r="S3034" s="38" t="e">
        <f>Tabla1[[#This Row],[StockDisp]]*Tabla1[[#This Row],[UM producto]]</f>
        <v>#VALUE!</v>
      </c>
    </row>
    <row r="3035" spans="1:19" x14ac:dyDescent="0.35">
      <c r="A3035" s="5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6"/>
      <c r="P3035" s="23" t="e">
        <f>TRIM(Tabla1[[#This Row],[Articulo]])</f>
        <v>#VALUE!</v>
      </c>
      <c r="Q3035" s="23" t="e">
        <f>_xlfn.XLOOKUP(Tabla1[[#This Row],[Ean Normalizado]],Consumos!A:A,Consumos!E:E)</f>
        <v>#VALUE!</v>
      </c>
      <c r="R3035" s="38" t="e">
        <f>_xlfn.XLOOKUP(Tabla1[[#This Row],[Ean Normalizado]],tabla_consumos[EAN],tabla_consumos[UM])</f>
        <v>#VALUE!</v>
      </c>
      <c r="S3035" s="38" t="e">
        <f>Tabla1[[#This Row],[StockDisp]]*Tabla1[[#This Row],[UM producto]]</f>
        <v>#VALUE!</v>
      </c>
    </row>
    <row r="3036" spans="1:19" x14ac:dyDescent="0.35">
      <c r="A3036" s="5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6"/>
      <c r="P3036" s="23" t="e">
        <f>TRIM(Tabla1[[#This Row],[Articulo]])</f>
        <v>#VALUE!</v>
      </c>
      <c r="Q3036" s="23" t="e">
        <f>_xlfn.XLOOKUP(Tabla1[[#This Row],[Ean Normalizado]],Consumos!A:A,Consumos!E:E)</f>
        <v>#VALUE!</v>
      </c>
      <c r="R3036" s="38" t="e">
        <f>_xlfn.XLOOKUP(Tabla1[[#This Row],[Ean Normalizado]],tabla_consumos[EAN],tabla_consumos[UM])</f>
        <v>#VALUE!</v>
      </c>
      <c r="S3036" s="38" t="e">
        <f>Tabla1[[#This Row],[StockDisp]]*Tabla1[[#This Row],[UM producto]]</f>
        <v>#VALUE!</v>
      </c>
    </row>
    <row r="3037" spans="1:19" x14ac:dyDescent="0.35">
      <c r="A3037" s="5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6"/>
      <c r="P3037" s="23" t="e">
        <f>TRIM(Tabla1[[#This Row],[Articulo]])</f>
        <v>#VALUE!</v>
      </c>
      <c r="Q3037" s="23" t="e">
        <f>_xlfn.XLOOKUP(Tabla1[[#This Row],[Ean Normalizado]],Consumos!A:A,Consumos!E:E)</f>
        <v>#VALUE!</v>
      </c>
      <c r="R3037" s="38" t="e">
        <f>_xlfn.XLOOKUP(Tabla1[[#This Row],[Ean Normalizado]],tabla_consumos[EAN],tabla_consumos[UM])</f>
        <v>#VALUE!</v>
      </c>
      <c r="S3037" s="38" t="e">
        <f>Tabla1[[#This Row],[StockDisp]]*Tabla1[[#This Row],[UM producto]]</f>
        <v>#VALUE!</v>
      </c>
    </row>
    <row r="3038" spans="1:19" x14ac:dyDescent="0.35">
      <c r="A3038" s="5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6"/>
      <c r="P3038" s="23" t="e">
        <f>TRIM(Tabla1[[#This Row],[Articulo]])</f>
        <v>#VALUE!</v>
      </c>
      <c r="Q3038" s="23" t="e">
        <f>_xlfn.XLOOKUP(Tabla1[[#This Row],[Ean Normalizado]],Consumos!A:A,Consumos!E:E)</f>
        <v>#VALUE!</v>
      </c>
      <c r="R3038" s="38" t="e">
        <f>_xlfn.XLOOKUP(Tabla1[[#This Row],[Ean Normalizado]],tabla_consumos[EAN],tabla_consumos[UM])</f>
        <v>#VALUE!</v>
      </c>
      <c r="S3038" s="38" t="e">
        <f>Tabla1[[#This Row],[StockDisp]]*Tabla1[[#This Row],[UM producto]]</f>
        <v>#VALUE!</v>
      </c>
    </row>
    <row r="3039" spans="1:19" x14ac:dyDescent="0.35">
      <c r="A3039" s="5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6"/>
      <c r="P3039" s="23" t="e">
        <f>TRIM(Tabla1[[#This Row],[Articulo]])</f>
        <v>#VALUE!</v>
      </c>
      <c r="Q3039" s="23" t="e">
        <f>_xlfn.XLOOKUP(Tabla1[[#This Row],[Ean Normalizado]],Consumos!A:A,Consumos!E:E)</f>
        <v>#VALUE!</v>
      </c>
      <c r="R3039" s="38" t="e">
        <f>_xlfn.XLOOKUP(Tabla1[[#This Row],[Ean Normalizado]],tabla_consumos[EAN],tabla_consumos[UM])</f>
        <v>#VALUE!</v>
      </c>
      <c r="S3039" s="38" t="e">
        <f>Tabla1[[#This Row],[StockDisp]]*Tabla1[[#This Row],[UM producto]]</f>
        <v>#VALUE!</v>
      </c>
    </row>
    <row r="3040" spans="1:19" x14ac:dyDescent="0.35">
      <c r="A3040" s="5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6"/>
      <c r="P3040" s="23" t="e">
        <f>TRIM(Tabla1[[#This Row],[Articulo]])</f>
        <v>#VALUE!</v>
      </c>
      <c r="Q3040" s="23" t="e">
        <f>_xlfn.XLOOKUP(Tabla1[[#This Row],[Ean Normalizado]],Consumos!A:A,Consumos!E:E)</f>
        <v>#VALUE!</v>
      </c>
      <c r="R3040" s="38" t="e">
        <f>_xlfn.XLOOKUP(Tabla1[[#This Row],[Ean Normalizado]],tabla_consumos[EAN],tabla_consumos[UM])</f>
        <v>#VALUE!</v>
      </c>
      <c r="S3040" s="38" t="e">
        <f>Tabla1[[#This Row],[StockDisp]]*Tabla1[[#This Row],[UM producto]]</f>
        <v>#VALUE!</v>
      </c>
    </row>
    <row r="3041" spans="1:19" x14ac:dyDescent="0.35">
      <c r="A3041" s="5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6"/>
      <c r="P3041" s="23" t="e">
        <f>TRIM(Tabla1[[#This Row],[Articulo]])</f>
        <v>#VALUE!</v>
      </c>
      <c r="Q3041" s="23" t="e">
        <f>_xlfn.XLOOKUP(Tabla1[[#This Row],[Ean Normalizado]],Consumos!A:A,Consumos!E:E)</f>
        <v>#VALUE!</v>
      </c>
      <c r="R3041" s="38" t="e">
        <f>_xlfn.XLOOKUP(Tabla1[[#This Row],[Ean Normalizado]],tabla_consumos[EAN],tabla_consumos[UM])</f>
        <v>#VALUE!</v>
      </c>
      <c r="S3041" s="38" t="e">
        <f>Tabla1[[#This Row],[StockDisp]]*Tabla1[[#This Row],[UM producto]]</f>
        <v>#VALUE!</v>
      </c>
    </row>
    <row r="3042" spans="1:19" x14ac:dyDescent="0.35">
      <c r="A3042" s="5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6"/>
      <c r="P3042" s="23" t="e">
        <f>TRIM(Tabla1[[#This Row],[Articulo]])</f>
        <v>#VALUE!</v>
      </c>
      <c r="Q3042" s="23" t="e">
        <f>_xlfn.XLOOKUP(Tabla1[[#This Row],[Ean Normalizado]],Consumos!A:A,Consumos!E:E)</f>
        <v>#VALUE!</v>
      </c>
      <c r="R3042" s="38" t="e">
        <f>_xlfn.XLOOKUP(Tabla1[[#This Row],[Ean Normalizado]],tabla_consumos[EAN],tabla_consumos[UM])</f>
        <v>#VALUE!</v>
      </c>
      <c r="S3042" s="38" t="e">
        <f>Tabla1[[#This Row],[StockDisp]]*Tabla1[[#This Row],[UM producto]]</f>
        <v>#VALUE!</v>
      </c>
    </row>
    <row r="3043" spans="1:19" x14ac:dyDescent="0.35">
      <c r="A3043" s="5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6"/>
      <c r="P3043" s="23" t="e">
        <f>TRIM(Tabla1[[#This Row],[Articulo]])</f>
        <v>#VALUE!</v>
      </c>
      <c r="Q3043" s="23" t="e">
        <f>_xlfn.XLOOKUP(Tabla1[[#This Row],[Ean Normalizado]],Consumos!A:A,Consumos!E:E)</f>
        <v>#VALUE!</v>
      </c>
      <c r="R3043" s="38" t="e">
        <f>_xlfn.XLOOKUP(Tabla1[[#This Row],[Ean Normalizado]],tabla_consumos[EAN],tabla_consumos[UM])</f>
        <v>#VALUE!</v>
      </c>
      <c r="S3043" s="38" t="e">
        <f>Tabla1[[#This Row],[StockDisp]]*Tabla1[[#This Row],[UM producto]]</f>
        <v>#VALUE!</v>
      </c>
    </row>
    <row r="3044" spans="1:19" x14ac:dyDescent="0.35">
      <c r="A3044" s="5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6"/>
      <c r="P3044" s="23" t="e">
        <f>TRIM(Tabla1[[#This Row],[Articulo]])</f>
        <v>#VALUE!</v>
      </c>
      <c r="Q3044" s="23" t="e">
        <f>_xlfn.XLOOKUP(Tabla1[[#This Row],[Ean Normalizado]],Consumos!A:A,Consumos!E:E)</f>
        <v>#VALUE!</v>
      </c>
      <c r="R3044" s="38" t="e">
        <f>_xlfn.XLOOKUP(Tabla1[[#This Row],[Ean Normalizado]],tabla_consumos[EAN],tabla_consumos[UM])</f>
        <v>#VALUE!</v>
      </c>
      <c r="S3044" s="38" t="e">
        <f>Tabla1[[#This Row],[StockDisp]]*Tabla1[[#This Row],[UM producto]]</f>
        <v>#VALUE!</v>
      </c>
    </row>
    <row r="3045" spans="1:19" x14ac:dyDescent="0.35">
      <c r="A3045" s="5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6"/>
      <c r="P3045" s="23" t="e">
        <f>TRIM(Tabla1[[#This Row],[Articulo]])</f>
        <v>#VALUE!</v>
      </c>
      <c r="Q3045" s="23" t="e">
        <f>_xlfn.XLOOKUP(Tabla1[[#This Row],[Ean Normalizado]],Consumos!A:A,Consumos!E:E)</f>
        <v>#VALUE!</v>
      </c>
      <c r="R3045" s="38" t="e">
        <f>_xlfn.XLOOKUP(Tabla1[[#This Row],[Ean Normalizado]],tabla_consumos[EAN],tabla_consumos[UM])</f>
        <v>#VALUE!</v>
      </c>
      <c r="S3045" s="38" t="e">
        <f>Tabla1[[#This Row],[StockDisp]]*Tabla1[[#This Row],[UM producto]]</f>
        <v>#VALUE!</v>
      </c>
    </row>
    <row r="3046" spans="1:19" x14ac:dyDescent="0.35">
      <c r="A3046" s="5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6"/>
      <c r="P3046" s="23" t="e">
        <f>TRIM(Tabla1[[#This Row],[Articulo]])</f>
        <v>#VALUE!</v>
      </c>
      <c r="Q3046" s="23" t="e">
        <f>_xlfn.XLOOKUP(Tabla1[[#This Row],[Ean Normalizado]],Consumos!A:A,Consumos!E:E)</f>
        <v>#VALUE!</v>
      </c>
      <c r="R3046" s="38" t="e">
        <f>_xlfn.XLOOKUP(Tabla1[[#This Row],[Ean Normalizado]],tabla_consumos[EAN],tabla_consumos[UM])</f>
        <v>#VALUE!</v>
      </c>
      <c r="S3046" s="38" t="e">
        <f>Tabla1[[#This Row],[StockDisp]]*Tabla1[[#This Row],[UM producto]]</f>
        <v>#VALUE!</v>
      </c>
    </row>
    <row r="3047" spans="1:19" x14ac:dyDescent="0.35">
      <c r="A3047" s="5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6"/>
      <c r="P3047" s="23" t="e">
        <f>TRIM(Tabla1[[#This Row],[Articulo]])</f>
        <v>#VALUE!</v>
      </c>
      <c r="Q3047" s="23" t="e">
        <f>_xlfn.XLOOKUP(Tabla1[[#This Row],[Ean Normalizado]],Consumos!A:A,Consumos!E:E)</f>
        <v>#VALUE!</v>
      </c>
      <c r="R3047" s="38" t="e">
        <f>_xlfn.XLOOKUP(Tabla1[[#This Row],[Ean Normalizado]],tabla_consumos[EAN],tabla_consumos[UM])</f>
        <v>#VALUE!</v>
      </c>
      <c r="S3047" s="38" t="e">
        <f>Tabla1[[#This Row],[StockDisp]]*Tabla1[[#This Row],[UM producto]]</f>
        <v>#VALUE!</v>
      </c>
    </row>
    <row r="3048" spans="1:19" x14ac:dyDescent="0.35">
      <c r="A3048" s="5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6"/>
      <c r="P3048" s="23" t="e">
        <f>TRIM(Tabla1[[#This Row],[Articulo]])</f>
        <v>#VALUE!</v>
      </c>
      <c r="Q3048" s="23" t="e">
        <f>_xlfn.XLOOKUP(Tabla1[[#This Row],[Ean Normalizado]],Consumos!A:A,Consumos!E:E)</f>
        <v>#VALUE!</v>
      </c>
      <c r="R3048" s="38" t="e">
        <f>_xlfn.XLOOKUP(Tabla1[[#This Row],[Ean Normalizado]],tabla_consumos[EAN],tabla_consumos[UM])</f>
        <v>#VALUE!</v>
      </c>
      <c r="S3048" s="38" t="e">
        <f>Tabla1[[#This Row],[StockDisp]]*Tabla1[[#This Row],[UM producto]]</f>
        <v>#VALUE!</v>
      </c>
    </row>
    <row r="3049" spans="1:19" x14ac:dyDescent="0.35">
      <c r="A3049" s="5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6"/>
      <c r="P3049" s="23" t="e">
        <f>TRIM(Tabla1[[#This Row],[Articulo]])</f>
        <v>#VALUE!</v>
      </c>
      <c r="Q3049" s="23" t="e">
        <f>_xlfn.XLOOKUP(Tabla1[[#This Row],[Ean Normalizado]],Consumos!A:A,Consumos!E:E)</f>
        <v>#VALUE!</v>
      </c>
      <c r="R3049" s="38" t="e">
        <f>_xlfn.XLOOKUP(Tabla1[[#This Row],[Ean Normalizado]],tabla_consumos[EAN],tabla_consumos[UM])</f>
        <v>#VALUE!</v>
      </c>
      <c r="S3049" s="38" t="e">
        <f>Tabla1[[#This Row],[StockDisp]]*Tabla1[[#This Row],[UM producto]]</f>
        <v>#VALUE!</v>
      </c>
    </row>
    <row r="3050" spans="1:19" x14ac:dyDescent="0.35">
      <c r="A3050" s="5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6"/>
      <c r="P3050" s="23" t="e">
        <f>TRIM(Tabla1[[#This Row],[Articulo]])</f>
        <v>#VALUE!</v>
      </c>
      <c r="Q3050" s="23" t="e">
        <f>_xlfn.XLOOKUP(Tabla1[[#This Row],[Ean Normalizado]],Consumos!A:A,Consumos!E:E)</f>
        <v>#VALUE!</v>
      </c>
      <c r="R3050" s="38" t="e">
        <f>_xlfn.XLOOKUP(Tabla1[[#This Row],[Ean Normalizado]],tabla_consumos[EAN],tabla_consumos[UM])</f>
        <v>#VALUE!</v>
      </c>
      <c r="S3050" s="38" t="e">
        <f>Tabla1[[#This Row],[StockDisp]]*Tabla1[[#This Row],[UM producto]]</f>
        <v>#VALUE!</v>
      </c>
    </row>
    <row r="3051" spans="1:19" x14ac:dyDescent="0.35">
      <c r="A3051" s="5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6"/>
      <c r="P3051" s="23" t="e">
        <f>TRIM(Tabla1[[#This Row],[Articulo]])</f>
        <v>#VALUE!</v>
      </c>
      <c r="Q3051" s="23" t="e">
        <f>_xlfn.XLOOKUP(Tabla1[[#This Row],[Ean Normalizado]],Consumos!A:A,Consumos!E:E)</f>
        <v>#VALUE!</v>
      </c>
      <c r="R3051" s="38" t="e">
        <f>_xlfn.XLOOKUP(Tabla1[[#This Row],[Ean Normalizado]],tabla_consumos[EAN],tabla_consumos[UM])</f>
        <v>#VALUE!</v>
      </c>
      <c r="S3051" s="38" t="e">
        <f>Tabla1[[#This Row],[StockDisp]]*Tabla1[[#This Row],[UM producto]]</f>
        <v>#VALUE!</v>
      </c>
    </row>
    <row r="3052" spans="1:19" x14ac:dyDescent="0.35">
      <c r="A3052" s="5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6"/>
      <c r="P3052" s="23" t="e">
        <f>TRIM(Tabla1[[#This Row],[Articulo]])</f>
        <v>#VALUE!</v>
      </c>
      <c r="Q3052" s="23" t="e">
        <f>_xlfn.XLOOKUP(Tabla1[[#This Row],[Ean Normalizado]],Consumos!A:A,Consumos!E:E)</f>
        <v>#VALUE!</v>
      </c>
      <c r="R3052" s="38" t="e">
        <f>_xlfn.XLOOKUP(Tabla1[[#This Row],[Ean Normalizado]],tabla_consumos[EAN],tabla_consumos[UM])</f>
        <v>#VALUE!</v>
      </c>
      <c r="S3052" s="38" t="e">
        <f>Tabla1[[#This Row],[StockDisp]]*Tabla1[[#This Row],[UM producto]]</f>
        <v>#VALUE!</v>
      </c>
    </row>
    <row r="3053" spans="1:19" x14ac:dyDescent="0.35">
      <c r="A3053" s="5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6"/>
      <c r="P3053" s="23" t="e">
        <f>TRIM(Tabla1[[#This Row],[Articulo]])</f>
        <v>#VALUE!</v>
      </c>
      <c r="Q3053" s="23" t="e">
        <f>_xlfn.XLOOKUP(Tabla1[[#This Row],[Ean Normalizado]],Consumos!A:A,Consumos!E:E)</f>
        <v>#VALUE!</v>
      </c>
      <c r="R3053" s="38" t="e">
        <f>_xlfn.XLOOKUP(Tabla1[[#This Row],[Ean Normalizado]],tabla_consumos[EAN],tabla_consumos[UM])</f>
        <v>#VALUE!</v>
      </c>
      <c r="S3053" s="38" t="e">
        <f>Tabla1[[#This Row],[StockDisp]]*Tabla1[[#This Row],[UM producto]]</f>
        <v>#VALUE!</v>
      </c>
    </row>
    <row r="3054" spans="1:19" x14ac:dyDescent="0.35">
      <c r="A3054" s="5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6"/>
      <c r="P3054" s="23" t="e">
        <f>TRIM(Tabla1[[#This Row],[Articulo]])</f>
        <v>#VALUE!</v>
      </c>
      <c r="Q3054" s="23" t="e">
        <f>_xlfn.XLOOKUP(Tabla1[[#This Row],[Ean Normalizado]],Consumos!A:A,Consumos!E:E)</f>
        <v>#VALUE!</v>
      </c>
      <c r="R3054" s="38" t="e">
        <f>_xlfn.XLOOKUP(Tabla1[[#This Row],[Ean Normalizado]],tabla_consumos[EAN],tabla_consumos[UM])</f>
        <v>#VALUE!</v>
      </c>
      <c r="S3054" s="38" t="e">
        <f>Tabla1[[#This Row],[StockDisp]]*Tabla1[[#This Row],[UM producto]]</f>
        <v>#VALUE!</v>
      </c>
    </row>
    <row r="3055" spans="1:19" x14ac:dyDescent="0.35">
      <c r="A3055" s="5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6"/>
      <c r="P3055" s="23" t="e">
        <f>TRIM(Tabla1[[#This Row],[Articulo]])</f>
        <v>#VALUE!</v>
      </c>
      <c r="Q3055" s="23" t="e">
        <f>_xlfn.XLOOKUP(Tabla1[[#This Row],[Ean Normalizado]],Consumos!A:A,Consumos!E:E)</f>
        <v>#VALUE!</v>
      </c>
      <c r="R3055" s="38" t="e">
        <f>_xlfn.XLOOKUP(Tabla1[[#This Row],[Ean Normalizado]],tabla_consumos[EAN],tabla_consumos[UM])</f>
        <v>#VALUE!</v>
      </c>
      <c r="S3055" s="38" t="e">
        <f>Tabla1[[#This Row],[StockDisp]]*Tabla1[[#This Row],[UM producto]]</f>
        <v>#VALUE!</v>
      </c>
    </row>
    <row r="3056" spans="1:19" x14ac:dyDescent="0.35">
      <c r="A3056" s="5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6"/>
      <c r="P3056" s="23" t="e">
        <f>TRIM(Tabla1[[#This Row],[Articulo]])</f>
        <v>#VALUE!</v>
      </c>
      <c r="Q3056" s="23" t="e">
        <f>_xlfn.XLOOKUP(Tabla1[[#This Row],[Ean Normalizado]],Consumos!A:A,Consumos!E:E)</f>
        <v>#VALUE!</v>
      </c>
      <c r="R3056" s="38" t="e">
        <f>_xlfn.XLOOKUP(Tabla1[[#This Row],[Ean Normalizado]],tabla_consumos[EAN],tabla_consumos[UM])</f>
        <v>#VALUE!</v>
      </c>
      <c r="S3056" s="38" t="e">
        <f>Tabla1[[#This Row],[StockDisp]]*Tabla1[[#This Row],[UM producto]]</f>
        <v>#VALUE!</v>
      </c>
    </row>
    <row r="3057" spans="1:19" x14ac:dyDescent="0.35">
      <c r="A3057" s="5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6"/>
      <c r="P3057" s="23" t="e">
        <f>TRIM(Tabla1[[#This Row],[Articulo]])</f>
        <v>#VALUE!</v>
      </c>
      <c r="Q3057" s="23" t="e">
        <f>_xlfn.XLOOKUP(Tabla1[[#This Row],[Ean Normalizado]],Consumos!A:A,Consumos!E:E)</f>
        <v>#VALUE!</v>
      </c>
      <c r="R3057" s="38" t="e">
        <f>_xlfn.XLOOKUP(Tabla1[[#This Row],[Ean Normalizado]],tabla_consumos[EAN],tabla_consumos[UM])</f>
        <v>#VALUE!</v>
      </c>
      <c r="S3057" s="38" t="e">
        <f>Tabla1[[#This Row],[StockDisp]]*Tabla1[[#This Row],[UM producto]]</f>
        <v>#VALUE!</v>
      </c>
    </row>
    <row r="3058" spans="1:19" x14ac:dyDescent="0.35">
      <c r="A3058" s="5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6"/>
      <c r="P3058" s="23" t="e">
        <f>TRIM(Tabla1[[#This Row],[Articulo]])</f>
        <v>#VALUE!</v>
      </c>
      <c r="Q3058" s="23" t="e">
        <f>_xlfn.XLOOKUP(Tabla1[[#This Row],[Ean Normalizado]],Consumos!A:A,Consumos!E:E)</f>
        <v>#VALUE!</v>
      </c>
      <c r="R3058" s="38" t="e">
        <f>_xlfn.XLOOKUP(Tabla1[[#This Row],[Ean Normalizado]],tabla_consumos[EAN],tabla_consumos[UM])</f>
        <v>#VALUE!</v>
      </c>
      <c r="S3058" s="38" t="e">
        <f>Tabla1[[#This Row],[StockDisp]]*Tabla1[[#This Row],[UM producto]]</f>
        <v>#VALUE!</v>
      </c>
    </row>
    <row r="3059" spans="1:19" x14ac:dyDescent="0.35">
      <c r="A3059" s="5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6"/>
      <c r="P3059" s="23" t="e">
        <f>TRIM(Tabla1[[#This Row],[Articulo]])</f>
        <v>#VALUE!</v>
      </c>
      <c r="Q3059" s="23" t="e">
        <f>_xlfn.XLOOKUP(Tabla1[[#This Row],[Ean Normalizado]],Consumos!A:A,Consumos!E:E)</f>
        <v>#VALUE!</v>
      </c>
      <c r="R3059" s="38" t="e">
        <f>_xlfn.XLOOKUP(Tabla1[[#This Row],[Ean Normalizado]],tabla_consumos[EAN],tabla_consumos[UM])</f>
        <v>#VALUE!</v>
      </c>
      <c r="S3059" s="38" t="e">
        <f>Tabla1[[#This Row],[StockDisp]]*Tabla1[[#This Row],[UM producto]]</f>
        <v>#VALUE!</v>
      </c>
    </row>
    <row r="3060" spans="1:19" x14ac:dyDescent="0.35">
      <c r="A3060" s="5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6"/>
      <c r="P3060" s="23" t="e">
        <f>TRIM(Tabla1[[#This Row],[Articulo]])</f>
        <v>#VALUE!</v>
      </c>
      <c r="Q3060" s="23" t="e">
        <f>_xlfn.XLOOKUP(Tabla1[[#This Row],[Ean Normalizado]],Consumos!A:A,Consumos!E:E)</f>
        <v>#VALUE!</v>
      </c>
      <c r="R3060" s="38" t="e">
        <f>_xlfn.XLOOKUP(Tabla1[[#This Row],[Ean Normalizado]],tabla_consumos[EAN],tabla_consumos[UM])</f>
        <v>#VALUE!</v>
      </c>
      <c r="S3060" s="38" t="e">
        <f>Tabla1[[#This Row],[StockDisp]]*Tabla1[[#This Row],[UM producto]]</f>
        <v>#VALUE!</v>
      </c>
    </row>
    <row r="3061" spans="1:19" x14ac:dyDescent="0.35">
      <c r="A3061" s="5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6"/>
      <c r="P3061" s="23" t="e">
        <f>TRIM(Tabla1[[#This Row],[Articulo]])</f>
        <v>#VALUE!</v>
      </c>
      <c r="Q3061" s="23" t="e">
        <f>_xlfn.XLOOKUP(Tabla1[[#This Row],[Ean Normalizado]],Consumos!A:A,Consumos!E:E)</f>
        <v>#VALUE!</v>
      </c>
      <c r="R3061" s="38" t="e">
        <f>_xlfn.XLOOKUP(Tabla1[[#This Row],[Ean Normalizado]],tabla_consumos[EAN],tabla_consumos[UM])</f>
        <v>#VALUE!</v>
      </c>
      <c r="S3061" s="38" t="e">
        <f>Tabla1[[#This Row],[StockDisp]]*Tabla1[[#This Row],[UM producto]]</f>
        <v>#VALUE!</v>
      </c>
    </row>
    <row r="3062" spans="1:19" x14ac:dyDescent="0.35">
      <c r="A3062" s="5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6"/>
      <c r="P3062" s="23" t="e">
        <f>TRIM(Tabla1[[#This Row],[Articulo]])</f>
        <v>#VALUE!</v>
      </c>
      <c r="Q3062" s="23" t="e">
        <f>_xlfn.XLOOKUP(Tabla1[[#This Row],[Ean Normalizado]],Consumos!A:A,Consumos!E:E)</f>
        <v>#VALUE!</v>
      </c>
      <c r="R3062" s="38" t="e">
        <f>_xlfn.XLOOKUP(Tabla1[[#This Row],[Ean Normalizado]],tabla_consumos[EAN],tabla_consumos[UM])</f>
        <v>#VALUE!</v>
      </c>
      <c r="S3062" s="38" t="e">
        <f>Tabla1[[#This Row],[StockDisp]]*Tabla1[[#This Row],[UM producto]]</f>
        <v>#VALUE!</v>
      </c>
    </row>
    <row r="3063" spans="1:19" x14ac:dyDescent="0.35">
      <c r="A3063" s="5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6"/>
      <c r="P3063" s="23" t="e">
        <f>TRIM(Tabla1[[#This Row],[Articulo]])</f>
        <v>#VALUE!</v>
      </c>
      <c r="Q3063" s="23" t="e">
        <f>_xlfn.XLOOKUP(Tabla1[[#This Row],[Ean Normalizado]],Consumos!A:A,Consumos!E:E)</f>
        <v>#VALUE!</v>
      </c>
      <c r="R3063" s="38" t="e">
        <f>_xlfn.XLOOKUP(Tabla1[[#This Row],[Ean Normalizado]],tabla_consumos[EAN],tabla_consumos[UM])</f>
        <v>#VALUE!</v>
      </c>
      <c r="S3063" s="38" t="e">
        <f>Tabla1[[#This Row],[StockDisp]]*Tabla1[[#This Row],[UM producto]]</f>
        <v>#VALUE!</v>
      </c>
    </row>
    <row r="3064" spans="1:19" x14ac:dyDescent="0.35">
      <c r="A3064" s="5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6"/>
      <c r="P3064" s="23" t="e">
        <f>TRIM(Tabla1[[#This Row],[Articulo]])</f>
        <v>#VALUE!</v>
      </c>
      <c r="Q3064" s="23" t="e">
        <f>_xlfn.XLOOKUP(Tabla1[[#This Row],[Ean Normalizado]],Consumos!A:A,Consumos!E:E)</f>
        <v>#VALUE!</v>
      </c>
      <c r="R3064" s="38" t="e">
        <f>_xlfn.XLOOKUP(Tabla1[[#This Row],[Ean Normalizado]],tabla_consumos[EAN],tabla_consumos[UM])</f>
        <v>#VALUE!</v>
      </c>
      <c r="S3064" s="38" t="e">
        <f>Tabla1[[#This Row],[StockDisp]]*Tabla1[[#This Row],[UM producto]]</f>
        <v>#VALUE!</v>
      </c>
    </row>
    <row r="3065" spans="1:19" x14ac:dyDescent="0.35">
      <c r="A3065" s="5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6"/>
      <c r="P3065" s="23" t="e">
        <f>TRIM(Tabla1[[#This Row],[Articulo]])</f>
        <v>#VALUE!</v>
      </c>
      <c r="Q3065" s="23" t="e">
        <f>_xlfn.XLOOKUP(Tabla1[[#This Row],[Ean Normalizado]],Consumos!A:A,Consumos!E:E)</f>
        <v>#VALUE!</v>
      </c>
      <c r="R3065" s="38" t="e">
        <f>_xlfn.XLOOKUP(Tabla1[[#This Row],[Ean Normalizado]],tabla_consumos[EAN],tabla_consumos[UM])</f>
        <v>#VALUE!</v>
      </c>
      <c r="S3065" s="38" t="e">
        <f>Tabla1[[#This Row],[StockDisp]]*Tabla1[[#This Row],[UM producto]]</f>
        <v>#VALUE!</v>
      </c>
    </row>
    <row r="3066" spans="1:19" x14ac:dyDescent="0.35">
      <c r="A3066" s="5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6"/>
      <c r="P3066" s="23" t="e">
        <f>TRIM(Tabla1[[#This Row],[Articulo]])</f>
        <v>#VALUE!</v>
      </c>
      <c r="Q3066" s="23" t="e">
        <f>_xlfn.XLOOKUP(Tabla1[[#This Row],[Ean Normalizado]],Consumos!A:A,Consumos!E:E)</f>
        <v>#VALUE!</v>
      </c>
      <c r="R3066" s="38" t="e">
        <f>_xlfn.XLOOKUP(Tabla1[[#This Row],[Ean Normalizado]],tabla_consumos[EAN],tabla_consumos[UM])</f>
        <v>#VALUE!</v>
      </c>
      <c r="S3066" s="38" t="e">
        <f>Tabla1[[#This Row],[StockDisp]]*Tabla1[[#This Row],[UM producto]]</f>
        <v>#VALUE!</v>
      </c>
    </row>
    <row r="3067" spans="1:19" x14ac:dyDescent="0.35">
      <c r="A3067" s="5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6"/>
      <c r="P3067" s="23" t="e">
        <f>TRIM(Tabla1[[#This Row],[Articulo]])</f>
        <v>#VALUE!</v>
      </c>
      <c r="Q3067" s="23" t="e">
        <f>_xlfn.XLOOKUP(Tabla1[[#This Row],[Ean Normalizado]],Consumos!A:A,Consumos!E:E)</f>
        <v>#VALUE!</v>
      </c>
      <c r="R3067" s="38" t="e">
        <f>_xlfn.XLOOKUP(Tabla1[[#This Row],[Ean Normalizado]],tabla_consumos[EAN],tabla_consumos[UM])</f>
        <v>#VALUE!</v>
      </c>
      <c r="S3067" s="38" t="e">
        <f>Tabla1[[#This Row],[StockDisp]]*Tabla1[[#This Row],[UM producto]]</f>
        <v>#VALUE!</v>
      </c>
    </row>
    <row r="3068" spans="1:19" x14ac:dyDescent="0.35">
      <c r="A3068" s="5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6"/>
      <c r="P3068" s="23" t="e">
        <f>TRIM(Tabla1[[#This Row],[Articulo]])</f>
        <v>#VALUE!</v>
      </c>
      <c r="Q3068" s="23" t="e">
        <f>_xlfn.XLOOKUP(Tabla1[[#This Row],[Ean Normalizado]],Consumos!A:A,Consumos!E:E)</f>
        <v>#VALUE!</v>
      </c>
      <c r="R3068" s="38" t="e">
        <f>_xlfn.XLOOKUP(Tabla1[[#This Row],[Ean Normalizado]],tabla_consumos[EAN],tabla_consumos[UM])</f>
        <v>#VALUE!</v>
      </c>
      <c r="S3068" s="38" t="e">
        <f>Tabla1[[#This Row],[StockDisp]]*Tabla1[[#This Row],[UM producto]]</f>
        <v>#VALUE!</v>
      </c>
    </row>
    <row r="3069" spans="1:19" x14ac:dyDescent="0.35">
      <c r="A3069" s="5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6"/>
      <c r="P3069" s="23" t="e">
        <f>TRIM(Tabla1[[#This Row],[Articulo]])</f>
        <v>#VALUE!</v>
      </c>
      <c r="Q3069" s="23" t="e">
        <f>_xlfn.XLOOKUP(Tabla1[[#This Row],[Ean Normalizado]],Consumos!A:A,Consumos!E:E)</f>
        <v>#VALUE!</v>
      </c>
      <c r="R3069" s="38" t="e">
        <f>_xlfn.XLOOKUP(Tabla1[[#This Row],[Ean Normalizado]],tabla_consumos[EAN],tabla_consumos[UM])</f>
        <v>#VALUE!</v>
      </c>
      <c r="S3069" s="38" t="e">
        <f>Tabla1[[#This Row],[StockDisp]]*Tabla1[[#This Row],[UM producto]]</f>
        <v>#VALUE!</v>
      </c>
    </row>
    <row r="3070" spans="1:19" x14ac:dyDescent="0.35">
      <c r="A3070" s="5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6"/>
      <c r="P3070" s="23" t="e">
        <f>TRIM(Tabla1[[#This Row],[Articulo]])</f>
        <v>#VALUE!</v>
      </c>
      <c r="Q3070" s="23" t="e">
        <f>_xlfn.XLOOKUP(Tabla1[[#This Row],[Ean Normalizado]],Consumos!A:A,Consumos!E:E)</f>
        <v>#VALUE!</v>
      </c>
      <c r="R3070" s="38" t="e">
        <f>_xlfn.XLOOKUP(Tabla1[[#This Row],[Ean Normalizado]],tabla_consumos[EAN],tabla_consumos[UM])</f>
        <v>#VALUE!</v>
      </c>
      <c r="S3070" s="38" t="e">
        <f>Tabla1[[#This Row],[StockDisp]]*Tabla1[[#This Row],[UM producto]]</f>
        <v>#VALUE!</v>
      </c>
    </row>
    <row r="3071" spans="1:19" x14ac:dyDescent="0.35">
      <c r="A3071" s="5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6"/>
      <c r="P3071" s="23" t="e">
        <f>TRIM(Tabla1[[#This Row],[Articulo]])</f>
        <v>#VALUE!</v>
      </c>
      <c r="Q3071" s="23" t="e">
        <f>_xlfn.XLOOKUP(Tabla1[[#This Row],[Ean Normalizado]],Consumos!A:A,Consumos!E:E)</f>
        <v>#VALUE!</v>
      </c>
      <c r="R3071" s="38" t="e">
        <f>_xlfn.XLOOKUP(Tabla1[[#This Row],[Ean Normalizado]],tabla_consumos[EAN],tabla_consumos[UM])</f>
        <v>#VALUE!</v>
      </c>
      <c r="S3071" s="38" t="e">
        <f>Tabla1[[#This Row],[StockDisp]]*Tabla1[[#This Row],[UM producto]]</f>
        <v>#VALUE!</v>
      </c>
    </row>
    <row r="3072" spans="1:19" x14ac:dyDescent="0.35">
      <c r="A3072" s="5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6"/>
      <c r="P3072" s="23" t="e">
        <f>TRIM(Tabla1[[#This Row],[Articulo]])</f>
        <v>#VALUE!</v>
      </c>
      <c r="Q3072" s="23" t="e">
        <f>_xlfn.XLOOKUP(Tabla1[[#This Row],[Ean Normalizado]],Consumos!A:A,Consumos!E:E)</f>
        <v>#VALUE!</v>
      </c>
      <c r="R3072" s="38" t="e">
        <f>_xlfn.XLOOKUP(Tabla1[[#This Row],[Ean Normalizado]],tabla_consumos[EAN],tabla_consumos[UM])</f>
        <v>#VALUE!</v>
      </c>
      <c r="S3072" s="38" t="e">
        <f>Tabla1[[#This Row],[StockDisp]]*Tabla1[[#This Row],[UM producto]]</f>
        <v>#VALUE!</v>
      </c>
    </row>
    <row r="3073" spans="1:19" x14ac:dyDescent="0.35">
      <c r="A3073" s="5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6"/>
      <c r="P3073" s="23" t="e">
        <f>TRIM(Tabla1[[#This Row],[Articulo]])</f>
        <v>#VALUE!</v>
      </c>
      <c r="Q3073" s="23" t="e">
        <f>_xlfn.XLOOKUP(Tabla1[[#This Row],[Ean Normalizado]],Consumos!A:A,Consumos!E:E)</f>
        <v>#VALUE!</v>
      </c>
      <c r="R3073" s="38" t="e">
        <f>_xlfn.XLOOKUP(Tabla1[[#This Row],[Ean Normalizado]],tabla_consumos[EAN],tabla_consumos[UM])</f>
        <v>#VALUE!</v>
      </c>
      <c r="S3073" s="38" t="e">
        <f>Tabla1[[#This Row],[StockDisp]]*Tabla1[[#This Row],[UM producto]]</f>
        <v>#VALUE!</v>
      </c>
    </row>
    <row r="3074" spans="1:19" x14ac:dyDescent="0.35">
      <c r="A3074" s="5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6"/>
      <c r="P3074" s="23" t="e">
        <f>TRIM(Tabla1[[#This Row],[Articulo]])</f>
        <v>#VALUE!</v>
      </c>
      <c r="Q3074" s="23" t="e">
        <f>_xlfn.XLOOKUP(Tabla1[[#This Row],[Ean Normalizado]],Consumos!A:A,Consumos!E:E)</f>
        <v>#VALUE!</v>
      </c>
      <c r="R3074" s="38" t="e">
        <f>_xlfn.XLOOKUP(Tabla1[[#This Row],[Ean Normalizado]],tabla_consumos[EAN],tabla_consumos[UM])</f>
        <v>#VALUE!</v>
      </c>
      <c r="S3074" s="38" t="e">
        <f>Tabla1[[#This Row],[StockDisp]]*Tabla1[[#This Row],[UM producto]]</f>
        <v>#VALUE!</v>
      </c>
    </row>
    <row r="3075" spans="1:19" x14ac:dyDescent="0.35">
      <c r="A3075" s="5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6"/>
      <c r="P3075" s="23" t="e">
        <f>TRIM(Tabla1[[#This Row],[Articulo]])</f>
        <v>#VALUE!</v>
      </c>
      <c r="Q3075" s="23" t="e">
        <f>_xlfn.XLOOKUP(Tabla1[[#This Row],[Ean Normalizado]],Consumos!A:A,Consumos!E:E)</f>
        <v>#VALUE!</v>
      </c>
      <c r="R3075" s="38" t="e">
        <f>_xlfn.XLOOKUP(Tabla1[[#This Row],[Ean Normalizado]],tabla_consumos[EAN],tabla_consumos[UM])</f>
        <v>#VALUE!</v>
      </c>
      <c r="S3075" s="38" t="e">
        <f>Tabla1[[#This Row],[StockDisp]]*Tabla1[[#This Row],[UM producto]]</f>
        <v>#VALUE!</v>
      </c>
    </row>
    <row r="3076" spans="1:19" x14ac:dyDescent="0.35">
      <c r="A3076" s="5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6"/>
      <c r="P3076" s="23" t="e">
        <f>TRIM(Tabla1[[#This Row],[Articulo]])</f>
        <v>#VALUE!</v>
      </c>
      <c r="Q3076" s="23" t="e">
        <f>_xlfn.XLOOKUP(Tabla1[[#This Row],[Ean Normalizado]],Consumos!A:A,Consumos!E:E)</f>
        <v>#VALUE!</v>
      </c>
      <c r="R3076" s="38" t="e">
        <f>_xlfn.XLOOKUP(Tabla1[[#This Row],[Ean Normalizado]],tabla_consumos[EAN],tabla_consumos[UM])</f>
        <v>#VALUE!</v>
      </c>
      <c r="S3076" s="38" t="e">
        <f>Tabla1[[#This Row],[StockDisp]]*Tabla1[[#This Row],[UM producto]]</f>
        <v>#VALUE!</v>
      </c>
    </row>
    <row r="3077" spans="1:19" x14ac:dyDescent="0.35">
      <c r="A3077" s="5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6"/>
      <c r="P3077" s="23" t="e">
        <f>TRIM(Tabla1[[#This Row],[Articulo]])</f>
        <v>#VALUE!</v>
      </c>
      <c r="Q3077" s="23" t="e">
        <f>_xlfn.XLOOKUP(Tabla1[[#This Row],[Ean Normalizado]],Consumos!A:A,Consumos!E:E)</f>
        <v>#VALUE!</v>
      </c>
      <c r="R3077" s="38" t="e">
        <f>_xlfn.XLOOKUP(Tabla1[[#This Row],[Ean Normalizado]],tabla_consumos[EAN],tabla_consumos[UM])</f>
        <v>#VALUE!</v>
      </c>
      <c r="S3077" s="38" t="e">
        <f>Tabla1[[#This Row],[StockDisp]]*Tabla1[[#This Row],[UM producto]]</f>
        <v>#VALUE!</v>
      </c>
    </row>
    <row r="3078" spans="1:19" x14ac:dyDescent="0.35">
      <c r="A3078" s="5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6"/>
      <c r="P3078" s="23" t="e">
        <f>TRIM(Tabla1[[#This Row],[Articulo]])</f>
        <v>#VALUE!</v>
      </c>
      <c r="Q3078" s="23" t="e">
        <f>_xlfn.XLOOKUP(Tabla1[[#This Row],[Ean Normalizado]],Consumos!A:A,Consumos!E:E)</f>
        <v>#VALUE!</v>
      </c>
      <c r="R3078" s="38" t="e">
        <f>_xlfn.XLOOKUP(Tabla1[[#This Row],[Ean Normalizado]],tabla_consumos[EAN],tabla_consumos[UM])</f>
        <v>#VALUE!</v>
      </c>
      <c r="S3078" s="38" t="e">
        <f>Tabla1[[#This Row],[StockDisp]]*Tabla1[[#This Row],[UM producto]]</f>
        <v>#VALUE!</v>
      </c>
    </row>
    <row r="3079" spans="1:19" x14ac:dyDescent="0.35">
      <c r="A3079" s="5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6"/>
      <c r="P3079" s="23" t="e">
        <f>TRIM(Tabla1[[#This Row],[Articulo]])</f>
        <v>#VALUE!</v>
      </c>
      <c r="Q3079" s="23" t="e">
        <f>_xlfn.XLOOKUP(Tabla1[[#This Row],[Ean Normalizado]],Consumos!A:A,Consumos!E:E)</f>
        <v>#VALUE!</v>
      </c>
      <c r="R3079" s="38" t="e">
        <f>_xlfn.XLOOKUP(Tabla1[[#This Row],[Ean Normalizado]],tabla_consumos[EAN],tabla_consumos[UM])</f>
        <v>#VALUE!</v>
      </c>
      <c r="S3079" s="38" t="e">
        <f>Tabla1[[#This Row],[StockDisp]]*Tabla1[[#This Row],[UM producto]]</f>
        <v>#VALUE!</v>
      </c>
    </row>
    <row r="3080" spans="1:19" x14ac:dyDescent="0.35">
      <c r="A3080" s="5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6"/>
      <c r="P3080" s="23" t="e">
        <f>TRIM(Tabla1[[#This Row],[Articulo]])</f>
        <v>#VALUE!</v>
      </c>
      <c r="Q3080" s="23" t="e">
        <f>_xlfn.XLOOKUP(Tabla1[[#This Row],[Ean Normalizado]],Consumos!A:A,Consumos!E:E)</f>
        <v>#VALUE!</v>
      </c>
      <c r="R3080" s="38" t="e">
        <f>_xlfn.XLOOKUP(Tabla1[[#This Row],[Ean Normalizado]],tabla_consumos[EAN],tabla_consumos[UM])</f>
        <v>#VALUE!</v>
      </c>
      <c r="S3080" s="38" t="e">
        <f>Tabla1[[#This Row],[StockDisp]]*Tabla1[[#This Row],[UM producto]]</f>
        <v>#VALUE!</v>
      </c>
    </row>
    <row r="3081" spans="1:19" x14ac:dyDescent="0.35">
      <c r="A3081" s="5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6"/>
      <c r="P3081" s="23" t="e">
        <f>TRIM(Tabla1[[#This Row],[Articulo]])</f>
        <v>#VALUE!</v>
      </c>
      <c r="Q3081" s="23" t="e">
        <f>_xlfn.XLOOKUP(Tabla1[[#This Row],[Ean Normalizado]],Consumos!A:A,Consumos!E:E)</f>
        <v>#VALUE!</v>
      </c>
      <c r="R3081" s="38" t="e">
        <f>_xlfn.XLOOKUP(Tabla1[[#This Row],[Ean Normalizado]],tabla_consumos[EAN],tabla_consumos[UM])</f>
        <v>#VALUE!</v>
      </c>
      <c r="S3081" s="38" t="e">
        <f>Tabla1[[#This Row],[StockDisp]]*Tabla1[[#This Row],[UM producto]]</f>
        <v>#VALUE!</v>
      </c>
    </row>
    <row r="3082" spans="1:19" x14ac:dyDescent="0.35">
      <c r="A3082" s="5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6"/>
      <c r="P3082" s="23" t="e">
        <f>TRIM(Tabla1[[#This Row],[Articulo]])</f>
        <v>#VALUE!</v>
      </c>
      <c r="Q3082" s="23" t="e">
        <f>_xlfn.XLOOKUP(Tabla1[[#This Row],[Ean Normalizado]],Consumos!A:A,Consumos!E:E)</f>
        <v>#VALUE!</v>
      </c>
      <c r="R3082" s="38" t="e">
        <f>_xlfn.XLOOKUP(Tabla1[[#This Row],[Ean Normalizado]],tabla_consumos[EAN],tabla_consumos[UM])</f>
        <v>#VALUE!</v>
      </c>
      <c r="S3082" s="38" t="e">
        <f>Tabla1[[#This Row],[StockDisp]]*Tabla1[[#This Row],[UM producto]]</f>
        <v>#VALUE!</v>
      </c>
    </row>
    <row r="3083" spans="1:19" x14ac:dyDescent="0.35">
      <c r="A3083" s="5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6"/>
      <c r="P3083" s="23" t="e">
        <f>TRIM(Tabla1[[#This Row],[Articulo]])</f>
        <v>#VALUE!</v>
      </c>
      <c r="Q3083" s="23" t="e">
        <f>_xlfn.XLOOKUP(Tabla1[[#This Row],[Ean Normalizado]],Consumos!A:A,Consumos!E:E)</f>
        <v>#VALUE!</v>
      </c>
      <c r="R3083" s="38" t="e">
        <f>_xlfn.XLOOKUP(Tabla1[[#This Row],[Ean Normalizado]],tabla_consumos[EAN],tabla_consumos[UM])</f>
        <v>#VALUE!</v>
      </c>
      <c r="S3083" s="38" t="e">
        <f>Tabla1[[#This Row],[StockDisp]]*Tabla1[[#This Row],[UM producto]]</f>
        <v>#VALUE!</v>
      </c>
    </row>
    <row r="3084" spans="1:19" x14ac:dyDescent="0.35">
      <c r="A3084" s="5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6"/>
      <c r="P3084" s="23" t="e">
        <f>TRIM(Tabla1[[#This Row],[Articulo]])</f>
        <v>#VALUE!</v>
      </c>
      <c r="Q3084" s="23" t="e">
        <f>_xlfn.XLOOKUP(Tabla1[[#This Row],[Ean Normalizado]],Consumos!A:A,Consumos!E:E)</f>
        <v>#VALUE!</v>
      </c>
      <c r="R3084" s="38" t="e">
        <f>_xlfn.XLOOKUP(Tabla1[[#This Row],[Ean Normalizado]],tabla_consumos[EAN],tabla_consumos[UM])</f>
        <v>#VALUE!</v>
      </c>
      <c r="S3084" s="38" t="e">
        <f>Tabla1[[#This Row],[StockDisp]]*Tabla1[[#This Row],[UM producto]]</f>
        <v>#VALUE!</v>
      </c>
    </row>
    <row r="3085" spans="1:19" x14ac:dyDescent="0.35">
      <c r="A3085" s="5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6"/>
      <c r="P3085" s="23" t="e">
        <f>TRIM(Tabla1[[#This Row],[Articulo]])</f>
        <v>#VALUE!</v>
      </c>
      <c r="Q3085" s="23" t="e">
        <f>_xlfn.XLOOKUP(Tabla1[[#This Row],[Ean Normalizado]],Consumos!A:A,Consumos!E:E)</f>
        <v>#VALUE!</v>
      </c>
      <c r="R3085" s="38" t="e">
        <f>_xlfn.XLOOKUP(Tabla1[[#This Row],[Ean Normalizado]],tabla_consumos[EAN],tabla_consumos[UM])</f>
        <v>#VALUE!</v>
      </c>
      <c r="S3085" s="38" t="e">
        <f>Tabla1[[#This Row],[StockDisp]]*Tabla1[[#This Row],[UM producto]]</f>
        <v>#VALUE!</v>
      </c>
    </row>
    <row r="3086" spans="1:19" x14ac:dyDescent="0.35">
      <c r="A3086" s="5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6"/>
      <c r="P3086" s="23" t="e">
        <f>TRIM(Tabla1[[#This Row],[Articulo]])</f>
        <v>#VALUE!</v>
      </c>
      <c r="Q3086" s="23" t="e">
        <f>_xlfn.XLOOKUP(Tabla1[[#This Row],[Ean Normalizado]],Consumos!A:A,Consumos!E:E)</f>
        <v>#VALUE!</v>
      </c>
      <c r="R3086" s="38" t="e">
        <f>_xlfn.XLOOKUP(Tabla1[[#This Row],[Ean Normalizado]],tabla_consumos[EAN],tabla_consumos[UM])</f>
        <v>#VALUE!</v>
      </c>
      <c r="S3086" s="38" t="e">
        <f>Tabla1[[#This Row],[StockDisp]]*Tabla1[[#This Row],[UM producto]]</f>
        <v>#VALUE!</v>
      </c>
    </row>
    <row r="3087" spans="1:19" x14ac:dyDescent="0.35">
      <c r="A3087" s="5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6"/>
      <c r="P3087" s="23" t="e">
        <f>TRIM(Tabla1[[#This Row],[Articulo]])</f>
        <v>#VALUE!</v>
      </c>
      <c r="Q3087" s="23" t="e">
        <f>_xlfn.XLOOKUP(Tabla1[[#This Row],[Ean Normalizado]],Consumos!A:A,Consumos!E:E)</f>
        <v>#VALUE!</v>
      </c>
      <c r="R3087" s="38" t="e">
        <f>_xlfn.XLOOKUP(Tabla1[[#This Row],[Ean Normalizado]],tabla_consumos[EAN],tabla_consumos[UM])</f>
        <v>#VALUE!</v>
      </c>
      <c r="S3087" s="38" t="e">
        <f>Tabla1[[#This Row],[StockDisp]]*Tabla1[[#This Row],[UM producto]]</f>
        <v>#VALUE!</v>
      </c>
    </row>
    <row r="3088" spans="1:19" x14ac:dyDescent="0.35">
      <c r="A3088" s="5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6"/>
      <c r="P3088" s="23" t="e">
        <f>TRIM(Tabla1[[#This Row],[Articulo]])</f>
        <v>#VALUE!</v>
      </c>
      <c r="Q3088" s="23" t="e">
        <f>_xlfn.XLOOKUP(Tabla1[[#This Row],[Ean Normalizado]],Consumos!A:A,Consumos!E:E)</f>
        <v>#VALUE!</v>
      </c>
      <c r="R3088" s="38" t="e">
        <f>_xlfn.XLOOKUP(Tabla1[[#This Row],[Ean Normalizado]],tabla_consumos[EAN],tabla_consumos[UM])</f>
        <v>#VALUE!</v>
      </c>
      <c r="S3088" s="38" t="e">
        <f>Tabla1[[#This Row],[StockDisp]]*Tabla1[[#This Row],[UM producto]]</f>
        <v>#VALUE!</v>
      </c>
    </row>
    <row r="3089" spans="1:19" x14ac:dyDescent="0.35">
      <c r="A3089" s="5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6"/>
      <c r="P3089" s="23" t="e">
        <f>TRIM(Tabla1[[#This Row],[Articulo]])</f>
        <v>#VALUE!</v>
      </c>
      <c r="Q3089" s="23" t="e">
        <f>_xlfn.XLOOKUP(Tabla1[[#This Row],[Ean Normalizado]],Consumos!A:A,Consumos!E:E)</f>
        <v>#VALUE!</v>
      </c>
      <c r="R3089" s="38" t="e">
        <f>_xlfn.XLOOKUP(Tabla1[[#This Row],[Ean Normalizado]],tabla_consumos[EAN],tabla_consumos[UM])</f>
        <v>#VALUE!</v>
      </c>
      <c r="S3089" s="38" t="e">
        <f>Tabla1[[#This Row],[StockDisp]]*Tabla1[[#This Row],[UM producto]]</f>
        <v>#VALUE!</v>
      </c>
    </row>
    <row r="3090" spans="1:19" x14ac:dyDescent="0.35">
      <c r="A3090" s="5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6"/>
      <c r="P3090" s="23" t="e">
        <f>TRIM(Tabla1[[#This Row],[Articulo]])</f>
        <v>#VALUE!</v>
      </c>
      <c r="Q3090" s="23" t="e">
        <f>_xlfn.XLOOKUP(Tabla1[[#This Row],[Ean Normalizado]],Consumos!A:A,Consumos!E:E)</f>
        <v>#VALUE!</v>
      </c>
      <c r="R3090" s="38" t="e">
        <f>_xlfn.XLOOKUP(Tabla1[[#This Row],[Ean Normalizado]],tabla_consumos[EAN],tabla_consumos[UM])</f>
        <v>#VALUE!</v>
      </c>
      <c r="S3090" s="38" t="e">
        <f>Tabla1[[#This Row],[StockDisp]]*Tabla1[[#This Row],[UM producto]]</f>
        <v>#VALUE!</v>
      </c>
    </row>
    <row r="3091" spans="1:19" x14ac:dyDescent="0.35">
      <c r="A3091" s="5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6"/>
      <c r="P3091" s="23" t="e">
        <f>TRIM(Tabla1[[#This Row],[Articulo]])</f>
        <v>#VALUE!</v>
      </c>
      <c r="Q3091" s="23" t="e">
        <f>_xlfn.XLOOKUP(Tabla1[[#This Row],[Ean Normalizado]],Consumos!A:A,Consumos!E:E)</f>
        <v>#VALUE!</v>
      </c>
      <c r="R3091" s="38" t="e">
        <f>_xlfn.XLOOKUP(Tabla1[[#This Row],[Ean Normalizado]],tabla_consumos[EAN],tabla_consumos[UM])</f>
        <v>#VALUE!</v>
      </c>
      <c r="S3091" s="38" t="e">
        <f>Tabla1[[#This Row],[StockDisp]]*Tabla1[[#This Row],[UM producto]]</f>
        <v>#VALUE!</v>
      </c>
    </row>
    <row r="3092" spans="1:19" x14ac:dyDescent="0.35">
      <c r="A3092" s="5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6"/>
      <c r="P3092" s="23" t="e">
        <f>TRIM(Tabla1[[#This Row],[Articulo]])</f>
        <v>#VALUE!</v>
      </c>
      <c r="Q3092" s="23" t="e">
        <f>_xlfn.XLOOKUP(Tabla1[[#This Row],[Ean Normalizado]],Consumos!A:A,Consumos!E:E)</f>
        <v>#VALUE!</v>
      </c>
      <c r="R3092" s="38" t="e">
        <f>_xlfn.XLOOKUP(Tabla1[[#This Row],[Ean Normalizado]],tabla_consumos[EAN],tabla_consumos[UM])</f>
        <v>#VALUE!</v>
      </c>
      <c r="S3092" s="38" t="e">
        <f>Tabla1[[#This Row],[StockDisp]]*Tabla1[[#This Row],[UM producto]]</f>
        <v>#VALUE!</v>
      </c>
    </row>
    <row r="3093" spans="1:19" x14ac:dyDescent="0.35">
      <c r="A3093" s="5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6"/>
      <c r="P3093" s="23" t="e">
        <f>TRIM(Tabla1[[#This Row],[Articulo]])</f>
        <v>#VALUE!</v>
      </c>
      <c r="Q3093" s="23" t="e">
        <f>_xlfn.XLOOKUP(Tabla1[[#This Row],[Ean Normalizado]],Consumos!A:A,Consumos!E:E)</f>
        <v>#VALUE!</v>
      </c>
      <c r="R3093" s="38" t="e">
        <f>_xlfn.XLOOKUP(Tabla1[[#This Row],[Ean Normalizado]],tabla_consumos[EAN],tabla_consumos[UM])</f>
        <v>#VALUE!</v>
      </c>
      <c r="S3093" s="38" t="e">
        <f>Tabla1[[#This Row],[StockDisp]]*Tabla1[[#This Row],[UM producto]]</f>
        <v>#VALUE!</v>
      </c>
    </row>
    <row r="3094" spans="1:19" x14ac:dyDescent="0.35">
      <c r="A3094" s="5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6"/>
      <c r="P3094" s="23" t="e">
        <f>TRIM(Tabla1[[#This Row],[Articulo]])</f>
        <v>#VALUE!</v>
      </c>
      <c r="Q3094" s="23" t="e">
        <f>_xlfn.XLOOKUP(Tabla1[[#This Row],[Ean Normalizado]],Consumos!A:A,Consumos!E:E)</f>
        <v>#VALUE!</v>
      </c>
      <c r="R3094" s="38" t="e">
        <f>_xlfn.XLOOKUP(Tabla1[[#This Row],[Ean Normalizado]],tabla_consumos[EAN],tabla_consumos[UM])</f>
        <v>#VALUE!</v>
      </c>
      <c r="S3094" s="38" t="e">
        <f>Tabla1[[#This Row],[StockDisp]]*Tabla1[[#This Row],[UM producto]]</f>
        <v>#VALUE!</v>
      </c>
    </row>
    <row r="3095" spans="1:19" x14ac:dyDescent="0.35">
      <c r="A3095" s="5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6"/>
      <c r="P3095" s="23" t="e">
        <f>TRIM(Tabla1[[#This Row],[Articulo]])</f>
        <v>#VALUE!</v>
      </c>
      <c r="Q3095" s="23" t="e">
        <f>_xlfn.XLOOKUP(Tabla1[[#This Row],[Ean Normalizado]],Consumos!A:A,Consumos!E:E)</f>
        <v>#VALUE!</v>
      </c>
      <c r="R3095" s="38" t="e">
        <f>_xlfn.XLOOKUP(Tabla1[[#This Row],[Ean Normalizado]],tabla_consumos[EAN],tabla_consumos[UM])</f>
        <v>#VALUE!</v>
      </c>
      <c r="S3095" s="38" t="e">
        <f>Tabla1[[#This Row],[StockDisp]]*Tabla1[[#This Row],[UM producto]]</f>
        <v>#VALUE!</v>
      </c>
    </row>
    <row r="3096" spans="1:19" x14ac:dyDescent="0.35">
      <c r="A3096" s="5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6"/>
      <c r="P3096" s="23" t="e">
        <f>TRIM(Tabla1[[#This Row],[Articulo]])</f>
        <v>#VALUE!</v>
      </c>
      <c r="Q3096" s="23" t="e">
        <f>_xlfn.XLOOKUP(Tabla1[[#This Row],[Ean Normalizado]],Consumos!A:A,Consumos!E:E)</f>
        <v>#VALUE!</v>
      </c>
      <c r="R3096" s="38" t="e">
        <f>_xlfn.XLOOKUP(Tabla1[[#This Row],[Ean Normalizado]],tabla_consumos[EAN],tabla_consumos[UM])</f>
        <v>#VALUE!</v>
      </c>
      <c r="S3096" s="38" t="e">
        <f>Tabla1[[#This Row],[StockDisp]]*Tabla1[[#This Row],[UM producto]]</f>
        <v>#VALUE!</v>
      </c>
    </row>
    <row r="3097" spans="1:19" x14ac:dyDescent="0.35">
      <c r="A3097" s="5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6"/>
      <c r="P3097" s="23" t="e">
        <f>TRIM(Tabla1[[#This Row],[Articulo]])</f>
        <v>#VALUE!</v>
      </c>
      <c r="Q3097" s="23" t="e">
        <f>_xlfn.XLOOKUP(Tabla1[[#This Row],[Ean Normalizado]],Consumos!A:A,Consumos!E:E)</f>
        <v>#VALUE!</v>
      </c>
      <c r="R3097" s="38" t="e">
        <f>_xlfn.XLOOKUP(Tabla1[[#This Row],[Ean Normalizado]],tabla_consumos[EAN],tabla_consumos[UM])</f>
        <v>#VALUE!</v>
      </c>
      <c r="S3097" s="38" t="e">
        <f>Tabla1[[#This Row],[StockDisp]]*Tabla1[[#This Row],[UM producto]]</f>
        <v>#VALUE!</v>
      </c>
    </row>
    <row r="3098" spans="1:19" x14ac:dyDescent="0.35">
      <c r="A3098" s="5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6"/>
      <c r="P3098" s="23" t="e">
        <f>TRIM(Tabla1[[#This Row],[Articulo]])</f>
        <v>#VALUE!</v>
      </c>
      <c r="Q3098" s="23" t="e">
        <f>_xlfn.XLOOKUP(Tabla1[[#This Row],[Ean Normalizado]],Consumos!A:A,Consumos!E:E)</f>
        <v>#VALUE!</v>
      </c>
      <c r="R3098" s="38" t="e">
        <f>_xlfn.XLOOKUP(Tabla1[[#This Row],[Ean Normalizado]],tabla_consumos[EAN],tabla_consumos[UM])</f>
        <v>#VALUE!</v>
      </c>
      <c r="S3098" s="38" t="e">
        <f>Tabla1[[#This Row],[StockDisp]]*Tabla1[[#This Row],[UM producto]]</f>
        <v>#VALUE!</v>
      </c>
    </row>
    <row r="3099" spans="1:19" x14ac:dyDescent="0.35">
      <c r="A3099" s="5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6"/>
      <c r="P3099" s="23" t="e">
        <f>TRIM(Tabla1[[#This Row],[Articulo]])</f>
        <v>#VALUE!</v>
      </c>
      <c r="Q3099" s="23" t="e">
        <f>_xlfn.XLOOKUP(Tabla1[[#This Row],[Ean Normalizado]],Consumos!A:A,Consumos!E:E)</f>
        <v>#VALUE!</v>
      </c>
      <c r="R3099" s="38" t="e">
        <f>_xlfn.XLOOKUP(Tabla1[[#This Row],[Ean Normalizado]],tabla_consumos[EAN],tabla_consumos[UM])</f>
        <v>#VALUE!</v>
      </c>
      <c r="S3099" s="38" t="e">
        <f>Tabla1[[#This Row],[StockDisp]]*Tabla1[[#This Row],[UM producto]]</f>
        <v>#VALUE!</v>
      </c>
    </row>
    <row r="3100" spans="1:19" x14ac:dyDescent="0.35">
      <c r="A3100" s="5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6"/>
      <c r="P3100" s="23" t="e">
        <f>TRIM(Tabla1[[#This Row],[Articulo]])</f>
        <v>#VALUE!</v>
      </c>
      <c r="Q3100" s="23" t="e">
        <f>_xlfn.XLOOKUP(Tabla1[[#This Row],[Ean Normalizado]],Consumos!A:A,Consumos!E:E)</f>
        <v>#VALUE!</v>
      </c>
      <c r="R3100" s="38" t="e">
        <f>_xlfn.XLOOKUP(Tabla1[[#This Row],[Ean Normalizado]],tabla_consumos[EAN],tabla_consumos[UM])</f>
        <v>#VALUE!</v>
      </c>
      <c r="S3100" s="38" t="e">
        <f>Tabla1[[#This Row],[StockDisp]]*Tabla1[[#This Row],[UM producto]]</f>
        <v>#VALUE!</v>
      </c>
    </row>
    <row r="3101" spans="1:19" x14ac:dyDescent="0.35">
      <c r="A3101" s="5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6"/>
      <c r="P3101" s="23" t="e">
        <f>TRIM(Tabla1[[#This Row],[Articulo]])</f>
        <v>#VALUE!</v>
      </c>
      <c r="Q3101" s="23" t="e">
        <f>_xlfn.XLOOKUP(Tabla1[[#This Row],[Ean Normalizado]],Consumos!A:A,Consumos!E:E)</f>
        <v>#VALUE!</v>
      </c>
      <c r="R3101" s="38" t="e">
        <f>_xlfn.XLOOKUP(Tabla1[[#This Row],[Ean Normalizado]],tabla_consumos[EAN],tabla_consumos[UM])</f>
        <v>#VALUE!</v>
      </c>
      <c r="S3101" s="38" t="e">
        <f>Tabla1[[#This Row],[StockDisp]]*Tabla1[[#This Row],[UM producto]]</f>
        <v>#VALUE!</v>
      </c>
    </row>
    <row r="3102" spans="1:19" x14ac:dyDescent="0.35">
      <c r="A3102" s="5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6"/>
      <c r="P3102" s="23" t="e">
        <f>TRIM(Tabla1[[#This Row],[Articulo]])</f>
        <v>#VALUE!</v>
      </c>
      <c r="Q3102" s="23" t="e">
        <f>_xlfn.XLOOKUP(Tabla1[[#This Row],[Ean Normalizado]],Consumos!A:A,Consumos!E:E)</f>
        <v>#VALUE!</v>
      </c>
      <c r="R3102" s="38" t="e">
        <f>_xlfn.XLOOKUP(Tabla1[[#This Row],[Ean Normalizado]],tabla_consumos[EAN],tabla_consumos[UM])</f>
        <v>#VALUE!</v>
      </c>
      <c r="S3102" s="38" t="e">
        <f>Tabla1[[#This Row],[StockDisp]]*Tabla1[[#This Row],[UM producto]]</f>
        <v>#VALUE!</v>
      </c>
    </row>
    <row r="3103" spans="1:19" x14ac:dyDescent="0.35">
      <c r="A3103" s="5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6"/>
      <c r="P3103" s="23" t="e">
        <f>TRIM(Tabla1[[#This Row],[Articulo]])</f>
        <v>#VALUE!</v>
      </c>
      <c r="Q3103" s="23" t="e">
        <f>_xlfn.XLOOKUP(Tabla1[[#This Row],[Ean Normalizado]],Consumos!A:A,Consumos!E:E)</f>
        <v>#VALUE!</v>
      </c>
      <c r="R3103" s="38" t="e">
        <f>_xlfn.XLOOKUP(Tabla1[[#This Row],[Ean Normalizado]],tabla_consumos[EAN],tabla_consumos[UM])</f>
        <v>#VALUE!</v>
      </c>
      <c r="S3103" s="38" t="e">
        <f>Tabla1[[#This Row],[StockDisp]]*Tabla1[[#This Row],[UM producto]]</f>
        <v>#VALUE!</v>
      </c>
    </row>
    <row r="3104" spans="1:19" x14ac:dyDescent="0.35">
      <c r="A3104" s="5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6"/>
      <c r="P3104" s="23" t="e">
        <f>TRIM(Tabla1[[#This Row],[Articulo]])</f>
        <v>#VALUE!</v>
      </c>
      <c r="Q3104" s="23" t="e">
        <f>_xlfn.XLOOKUP(Tabla1[[#This Row],[Ean Normalizado]],Consumos!A:A,Consumos!E:E)</f>
        <v>#VALUE!</v>
      </c>
      <c r="R3104" s="38" t="e">
        <f>_xlfn.XLOOKUP(Tabla1[[#This Row],[Ean Normalizado]],tabla_consumos[EAN],tabla_consumos[UM])</f>
        <v>#VALUE!</v>
      </c>
      <c r="S3104" s="38" t="e">
        <f>Tabla1[[#This Row],[StockDisp]]*Tabla1[[#This Row],[UM producto]]</f>
        <v>#VALUE!</v>
      </c>
    </row>
    <row r="3105" spans="1:19" x14ac:dyDescent="0.35">
      <c r="A3105" s="5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6"/>
      <c r="P3105" s="23" t="e">
        <f>TRIM(Tabla1[[#This Row],[Articulo]])</f>
        <v>#VALUE!</v>
      </c>
      <c r="Q3105" s="23" t="e">
        <f>_xlfn.XLOOKUP(Tabla1[[#This Row],[Ean Normalizado]],Consumos!A:A,Consumos!E:E)</f>
        <v>#VALUE!</v>
      </c>
      <c r="R3105" s="38" t="e">
        <f>_xlfn.XLOOKUP(Tabla1[[#This Row],[Ean Normalizado]],tabla_consumos[EAN],tabla_consumos[UM])</f>
        <v>#VALUE!</v>
      </c>
      <c r="S3105" s="38" t="e">
        <f>Tabla1[[#This Row],[StockDisp]]*Tabla1[[#This Row],[UM producto]]</f>
        <v>#VALUE!</v>
      </c>
    </row>
    <row r="3106" spans="1:19" x14ac:dyDescent="0.35">
      <c r="A3106" s="5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6"/>
      <c r="P3106" s="23" t="e">
        <f>TRIM(Tabla1[[#This Row],[Articulo]])</f>
        <v>#VALUE!</v>
      </c>
      <c r="Q3106" s="23" t="e">
        <f>_xlfn.XLOOKUP(Tabla1[[#This Row],[Ean Normalizado]],Consumos!A:A,Consumos!E:E)</f>
        <v>#VALUE!</v>
      </c>
      <c r="R3106" s="38" t="e">
        <f>_xlfn.XLOOKUP(Tabla1[[#This Row],[Ean Normalizado]],tabla_consumos[EAN],tabla_consumos[UM])</f>
        <v>#VALUE!</v>
      </c>
      <c r="S3106" s="38" t="e">
        <f>Tabla1[[#This Row],[StockDisp]]*Tabla1[[#This Row],[UM producto]]</f>
        <v>#VALUE!</v>
      </c>
    </row>
    <row r="3107" spans="1:19" x14ac:dyDescent="0.35">
      <c r="A3107" s="5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6"/>
      <c r="P3107" s="23" t="e">
        <f>TRIM(Tabla1[[#This Row],[Articulo]])</f>
        <v>#VALUE!</v>
      </c>
      <c r="Q3107" s="23" t="e">
        <f>_xlfn.XLOOKUP(Tabla1[[#This Row],[Ean Normalizado]],Consumos!A:A,Consumos!E:E)</f>
        <v>#VALUE!</v>
      </c>
      <c r="R3107" s="38" t="e">
        <f>_xlfn.XLOOKUP(Tabla1[[#This Row],[Ean Normalizado]],tabla_consumos[EAN],tabla_consumos[UM])</f>
        <v>#VALUE!</v>
      </c>
      <c r="S3107" s="38" t="e">
        <f>Tabla1[[#This Row],[StockDisp]]*Tabla1[[#This Row],[UM producto]]</f>
        <v>#VALUE!</v>
      </c>
    </row>
    <row r="3108" spans="1:19" x14ac:dyDescent="0.35">
      <c r="A3108" s="5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6"/>
      <c r="P3108" s="23" t="e">
        <f>TRIM(Tabla1[[#This Row],[Articulo]])</f>
        <v>#VALUE!</v>
      </c>
      <c r="Q3108" s="23" t="e">
        <f>_xlfn.XLOOKUP(Tabla1[[#This Row],[Ean Normalizado]],Consumos!A:A,Consumos!E:E)</f>
        <v>#VALUE!</v>
      </c>
      <c r="R3108" s="38" t="e">
        <f>_xlfn.XLOOKUP(Tabla1[[#This Row],[Ean Normalizado]],tabla_consumos[EAN],tabla_consumos[UM])</f>
        <v>#VALUE!</v>
      </c>
      <c r="S3108" s="38" t="e">
        <f>Tabla1[[#This Row],[StockDisp]]*Tabla1[[#This Row],[UM producto]]</f>
        <v>#VALUE!</v>
      </c>
    </row>
    <row r="3109" spans="1:19" x14ac:dyDescent="0.35">
      <c r="A3109" s="5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6"/>
      <c r="P3109" s="23" t="e">
        <f>TRIM(Tabla1[[#This Row],[Articulo]])</f>
        <v>#VALUE!</v>
      </c>
      <c r="Q3109" s="23" t="e">
        <f>_xlfn.XLOOKUP(Tabla1[[#This Row],[Ean Normalizado]],Consumos!A:A,Consumos!E:E)</f>
        <v>#VALUE!</v>
      </c>
      <c r="R3109" s="38" t="e">
        <f>_xlfn.XLOOKUP(Tabla1[[#This Row],[Ean Normalizado]],tabla_consumos[EAN],tabla_consumos[UM])</f>
        <v>#VALUE!</v>
      </c>
      <c r="S3109" s="38" t="e">
        <f>Tabla1[[#This Row],[StockDisp]]*Tabla1[[#This Row],[UM producto]]</f>
        <v>#VALUE!</v>
      </c>
    </row>
    <row r="3110" spans="1:19" x14ac:dyDescent="0.35">
      <c r="A3110" s="5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6"/>
      <c r="P3110" s="23" t="e">
        <f>TRIM(Tabla1[[#This Row],[Articulo]])</f>
        <v>#VALUE!</v>
      </c>
      <c r="Q3110" s="23" t="e">
        <f>_xlfn.XLOOKUP(Tabla1[[#This Row],[Ean Normalizado]],Consumos!A:A,Consumos!E:E)</f>
        <v>#VALUE!</v>
      </c>
      <c r="R3110" s="38" t="e">
        <f>_xlfn.XLOOKUP(Tabla1[[#This Row],[Ean Normalizado]],tabla_consumos[EAN],tabla_consumos[UM])</f>
        <v>#VALUE!</v>
      </c>
      <c r="S3110" s="38" t="e">
        <f>Tabla1[[#This Row],[StockDisp]]*Tabla1[[#This Row],[UM producto]]</f>
        <v>#VALUE!</v>
      </c>
    </row>
    <row r="3111" spans="1:19" x14ac:dyDescent="0.35">
      <c r="A3111" s="5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6"/>
      <c r="P3111" s="23" t="e">
        <f>TRIM(Tabla1[[#This Row],[Articulo]])</f>
        <v>#VALUE!</v>
      </c>
      <c r="Q3111" s="23" t="e">
        <f>_xlfn.XLOOKUP(Tabla1[[#This Row],[Ean Normalizado]],Consumos!A:A,Consumos!E:E)</f>
        <v>#VALUE!</v>
      </c>
      <c r="R3111" s="38" t="e">
        <f>_xlfn.XLOOKUP(Tabla1[[#This Row],[Ean Normalizado]],tabla_consumos[EAN],tabla_consumos[UM])</f>
        <v>#VALUE!</v>
      </c>
      <c r="S3111" s="38" t="e">
        <f>Tabla1[[#This Row],[StockDisp]]*Tabla1[[#This Row],[UM producto]]</f>
        <v>#VALUE!</v>
      </c>
    </row>
    <row r="3112" spans="1:19" x14ac:dyDescent="0.35">
      <c r="A3112" s="5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6"/>
      <c r="P3112" s="23" t="e">
        <f>TRIM(Tabla1[[#This Row],[Articulo]])</f>
        <v>#VALUE!</v>
      </c>
      <c r="Q3112" s="23" t="e">
        <f>_xlfn.XLOOKUP(Tabla1[[#This Row],[Ean Normalizado]],Consumos!A:A,Consumos!E:E)</f>
        <v>#VALUE!</v>
      </c>
      <c r="R3112" s="38" t="e">
        <f>_xlfn.XLOOKUP(Tabla1[[#This Row],[Ean Normalizado]],tabla_consumos[EAN],tabla_consumos[UM])</f>
        <v>#VALUE!</v>
      </c>
      <c r="S3112" s="38" t="e">
        <f>Tabla1[[#This Row],[StockDisp]]*Tabla1[[#This Row],[UM producto]]</f>
        <v>#VALUE!</v>
      </c>
    </row>
    <row r="3113" spans="1:19" x14ac:dyDescent="0.35">
      <c r="A3113" s="5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6"/>
      <c r="P3113" s="23" t="e">
        <f>TRIM(Tabla1[[#This Row],[Articulo]])</f>
        <v>#VALUE!</v>
      </c>
      <c r="Q3113" s="23" t="e">
        <f>_xlfn.XLOOKUP(Tabla1[[#This Row],[Ean Normalizado]],Consumos!A:A,Consumos!E:E)</f>
        <v>#VALUE!</v>
      </c>
      <c r="R3113" s="38" t="e">
        <f>_xlfn.XLOOKUP(Tabla1[[#This Row],[Ean Normalizado]],tabla_consumos[EAN],tabla_consumos[UM])</f>
        <v>#VALUE!</v>
      </c>
      <c r="S3113" s="38" t="e">
        <f>Tabla1[[#This Row],[StockDisp]]*Tabla1[[#This Row],[UM producto]]</f>
        <v>#VALUE!</v>
      </c>
    </row>
    <row r="3114" spans="1:19" x14ac:dyDescent="0.35">
      <c r="A3114" s="5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6"/>
      <c r="P3114" s="23" t="e">
        <f>TRIM(Tabla1[[#This Row],[Articulo]])</f>
        <v>#VALUE!</v>
      </c>
      <c r="Q3114" s="23" t="e">
        <f>_xlfn.XLOOKUP(Tabla1[[#This Row],[Ean Normalizado]],Consumos!A:A,Consumos!E:E)</f>
        <v>#VALUE!</v>
      </c>
      <c r="R3114" s="38" t="e">
        <f>_xlfn.XLOOKUP(Tabla1[[#This Row],[Ean Normalizado]],tabla_consumos[EAN],tabla_consumos[UM])</f>
        <v>#VALUE!</v>
      </c>
      <c r="S3114" s="38" t="e">
        <f>Tabla1[[#This Row],[StockDisp]]*Tabla1[[#This Row],[UM producto]]</f>
        <v>#VALUE!</v>
      </c>
    </row>
    <row r="3115" spans="1:19" x14ac:dyDescent="0.35">
      <c r="A3115" s="5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6"/>
      <c r="P3115" s="23" t="e">
        <f>TRIM(Tabla1[[#This Row],[Articulo]])</f>
        <v>#VALUE!</v>
      </c>
      <c r="Q3115" s="23" t="e">
        <f>_xlfn.XLOOKUP(Tabla1[[#This Row],[Ean Normalizado]],Consumos!A:A,Consumos!E:E)</f>
        <v>#VALUE!</v>
      </c>
      <c r="R3115" s="38" t="e">
        <f>_xlfn.XLOOKUP(Tabla1[[#This Row],[Ean Normalizado]],tabla_consumos[EAN],tabla_consumos[UM])</f>
        <v>#VALUE!</v>
      </c>
      <c r="S3115" s="38" t="e">
        <f>Tabla1[[#This Row],[StockDisp]]*Tabla1[[#This Row],[UM producto]]</f>
        <v>#VALUE!</v>
      </c>
    </row>
    <row r="3116" spans="1:19" x14ac:dyDescent="0.35">
      <c r="A3116" s="5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6"/>
      <c r="P3116" s="23" t="e">
        <f>TRIM(Tabla1[[#This Row],[Articulo]])</f>
        <v>#VALUE!</v>
      </c>
      <c r="Q3116" s="23" t="e">
        <f>_xlfn.XLOOKUP(Tabla1[[#This Row],[Ean Normalizado]],Consumos!A:A,Consumos!E:E)</f>
        <v>#VALUE!</v>
      </c>
      <c r="R3116" s="38" t="e">
        <f>_xlfn.XLOOKUP(Tabla1[[#This Row],[Ean Normalizado]],tabla_consumos[EAN],tabla_consumos[UM])</f>
        <v>#VALUE!</v>
      </c>
      <c r="S3116" s="38" t="e">
        <f>Tabla1[[#This Row],[StockDisp]]*Tabla1[[#This Row],[UM producto]]</f>
        <v>#VALUE!</v>
      </c>
    </row>
    <row r="3117" spans="1:19" x14ac:dyDescent="0.35">
      <c r="A3117" s="5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6"/>
      <c r="P3117" s="23" t="e">
        <f>TRIM(Tabla1[[#This Row],[Articulo]])</f>
        <v>#VALUE!</v>
      </c>
      <c r="Q3117" s="23" t="e">
        <f>_xlfn.XLOOKUP(Tabla1[[#This Row],[Ean Normalizado]],Consumos!A:A,Consumos!E:E)</f>
        <v>#VALUE!</v>
      </c>
      <c r="R3117" s="38" t="e">
        <f>_xlfn.XLOOKUP(Tabla1[[#This Row],[Ean Normalizado]],tabla_consumos[EAN],tabla_consumos[UM])</f>
        <v>#VALUE!</v>
      </c>
      <c r="S3117" s="38" t="e">
        <f>Tabla1[[#This Row],[StockDisp]]*Tabla1[[#This Row],[UM producto]]</f>
        <v>#VALUE!</v>
      </c>
    </row>
    <row r="3118" spans="1:19" x14ac:dyDescent="0.35">
      <c r="A3118" s="5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6"/>
      <c r="P3118" s="23" t="e">
        <f>TRIM(Tabla1[[#This Row],[Articulo]])</f>
        <v>#VALUE!</v>
      </c>
      <c r="Q3118" s="23" t="e">
        <f>_xlfn.XLOOKUP(Tabla1[[#This Row],[Ean Normalizado]],Consumos!A:A,Consumos!E:E)</f>
        <v>#VALUE!</v>
      </c>
      <c r="R3118" s="38" t="e">
        <f>_xlfn.XLOOKUP(Tabla1[[#This Row],[Ean Normalizado]],tabla_consumos[EAN],tabla_consumos[UM])</f>
        <v>#VALUE!</v>
      </c>
      <c r="S3118" s="38" t="e">
        <f>Tabla1[[#This Row],[StockDisp]]*Tabla1[[#This Row],[UM producto]]</f>
        <v>#VALUE!</v>
      </c>
    </row>
    <row r="3119" spans="1:19" x14ac:dyDescent="0.35">
      <c r="A3119" s="5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6"/>
      <c r="P3119" s="23" t="e">
        <f>TRIM(Tabla1[[#This Row],[Articulo]])</f>
        <v>#VALUE!</v>
      </c>
      <c r="Q3119" s="23" t="e">
        <f>_xlfn.XLOOKUP(Tabla1[[#This Row],[Ean Normalizado]],Consumos!A:A,Consumos!E:E)</f>
        <v>#VALUE!</v>
      </c>
      <c r="R3119" s="38" t="e">
        <f>_xlfn.XLOOKUP(Tabla1[[#This Row],[Ean Normalizado]],tabla_consumos[EAN],tabla_consumos[UM])</f>
        <v>#VALUE!</v>
      </c>
      <c r="S3119" s="38" t="e">
        <f>Tabla1[[#This Row],[StockDisp]]*Tabla1[[#This Row],[UM producto]]</f>
        <v>#VALUE!</v>
      </c>
    </row>
    <row r="3120" spans="1:19" x14ac:dyDescent="0.35">
      <c r="A3120" s="5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6"/>
      <c r="P3120" s="23" t="e">
        <f>TRIM(Tabla1[[#This Row],[Articulo]])</f>
        <v>#VALUE!</v>
      </c>
      <c r="Q3120" s="23" t="e">
        <f>_xlfn.XLOOKUP(Tabla1[[#This Row],[Ean Normalizado]],Consumos!A:A,Consumos!E:E)</f>
        <v>#VALUE!</v>
      </c>
      <c r="R3120" s="38" t="e">
        <f>_xlfn.XLOOKUP(Tabla1[[#This Row],[Ean Normalizado]],tabla_consumos[EAN],tabla_consumos[UM])</f>
        <v>#VALUE!</v>
      </c>
      <c r="S3120" s="38" t="e">
        <f>Tabla1[[#This Row],[StockDisp]]*Tabla1[[#This Row],[UM producto]]</f>
        <v>#VALUE!</v>
      </c>
    </row>
    <row r="3121" spans="1:19" x14ac:dyDescent="0.35">
      <c r="A3121" s="5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6"/>
      <c r="P3121" s="23" t="e">
        <f>TRIM(Tabla1[[#This Row],[Articulo]])</f>
        <v>#VALUE!</v>
      </c>
      <c r="Q3121" s="23" t="e">
        <f>_xlfn.XLOOKUP(Tabla1[[#This Row],[Ean Normalizado]],Consumos!A:A,Consumos!E:E)</f>
        <v>#VALUE!</v>
      </c>
      <c r="R3121" s="38" t="e">
        <f>_xlfn.XLOOKUP(Tabla1[[#This Row],[Ean Normalizado]],tabla_consumos[EAN],tabla_consumos[UM])</f>
        <v>#VALUE!</v>
      </c>
      <c r="S3121" s="38" t="e">
        <f>Tabla1[[#This Row],[StockDisp]]*Tabla1[[#This Row],[UM producto]]</f>
        <v>#VALUE!</v>
      </c>
    </row>
    <row r="3122" spans="1:19" x14ac:dyDescent="0.35">
      <c r="A3122" s="5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6"/>
      <c r="P3122" s="23" t="e">
        <f>TRIM(Tabla1[[#This Row],[Articulo]])</f>
        <v>#VALUE!</v>
      </c>
      <c r="Q3122" s="23" t="e">
        <f>_xlfn.XLOOKUP(Tabla1[[#This Row],[Ean Normalizado]],Consumos!A:A,Consumos!E:E)</f>
        <v>#VALUE!</v>
      </c>
      <c r="R3122" s="38" t="e">
        <f>_xlfn.XLOOKUP(Tabla1[[#This Row],[Ean Normalizado]],tabla_consumos[EAN],tabla_consumos[UM])</f>
        <v>#VALUE!</v>
      </c>
      <c r="S3122" s="38" t="e">
        <f>Tabla1[[#This Row],[StockDisp]]*Tabla1[[#This Row],[UM producto]]</f>
        <v>#VALUE!</v>
      </c>
    </row>
    <row r="3123" spans="1:19" x14ac:dyDescent="0.35">
      <c r="A3123" s="5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6"/>
      <c r="P3123" s="23" t="e">
        <f>TRIM(Tabla1[[#This Row],[Articulo]])</f>
        <v>#VALUE!</v>
      </c>
      <c r="Q3123" s="23" t="e">
        <f>_xlfn.XLOOKUP(Tabla1[[#This Row],[Ean Normalizado]],Consumos!A:A,Consumos!E:E)</f>
        <v>#VALUE!</v>
      </c>
      <c r="R3123" s="38" t="e">
        <f>_xlfn.XLOOKUP(Tabla1[[#This Row],[Ean Normalizado]],tabla_consumos[EAN],tabla_consumos[UM])</f>
        <v>#VALUE!</v>
      </c>
      <c r="S3123" s="38" t="e">
        <f>Tabla1[[#This Row],[StockDisp]]*Tabla1[[#This Row],[UM producto]]</f>
        <v>#VALUE!</v>
      </c>
    </row>
    <row r="3124" spans="1:19" x14ac:dyDescent="0.35">
      <c r="A3124" s="5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6"/>
      <c r="P3124" s="23" t="e">
        <f>TRIM(Tabla1[[#This Row],[Articulo]])</f>
        <v>#VALUE!</v>
      </c>
      <c r="Q3124" s="23" t="e">
        <f>_xlfn.XLOOKUP(Tabla1[[#This Row],[Ean Normalizado]],Consumos!A:A,Consumos!E:E)</f>
        <v>#VALUE!</v>
      </c>
      <c r="R3124" s="38" t="e">
        <f>_xlfn.XLOOKUP(Tabla1[[#This Row],[Ean Normalizado]],tabla_consumos[EAN],tabla_consumos[UM])</f>
        <v>#VALUE!</v>
      </c>
      <c r="S3124" s="38" t="e">
        <f>Tabla1[[#This Row],[StockDisp]]*Tabla1[[#This Row],[UM producto]]</f>
        <v>#VALUE!</v>
      </c>
    </row>
    <row r="3125" spans="1:19" x14ac:dyDescent="0.35">
      <c r="A3125" s="5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6"/>
      <c r="P3125" s="23" t="e">
        <f>TRIM(Tabla1[[#This Row],[Articulo]])</f>
        <v>#VALUE!</v>
      </c>
      <c r="Q3125" s="23" t="e">
        <f>_xlfn.XLOOKUP(Tabla1[[#This Row],[Ean Normalizado]],Consumos!A:A,Consumos!E:E)</f>
        <v>#VALUE!</v>
      </c>
      <c r="R3125" s="38" t="e">
        <f>_xlfn.XLOOKUP(Tabla1[[#This Row],[Ean Normalizado]],tabla_consumos[EAN],tabla_consumos[UM])</f>
        <v>#VALUE!</v>
      </c>
      <c r="S3125" s="38" t="e">
        <f>Tabla1[[#This Row],[StockDisp]]*Tabla1[[#This Row],[UM producto]]</f>
        <v>#VALUE!</v>
      </c>
    </row>
    <row r="3126" spans="1:19" x14ac:dyDescent="0.35">
      <c r="A3126" s="5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6"/>
      <c r="P3126" s="23" t="e">
        <f>TRIM(Tabla1[[#This Row],[Articulo]])</f>
        <v>#VALUE!</v>
      </c>
      <c r="Q3126" s="23" t="e">
        <f>_xlfn.XLOOKUP(Tabla1[[#This Row],[Ean Normalizado]],Consumos!A:A,Consumos!E:E)</f>
        <v>#VALUE!</v>
      </c>
      <c r="R3126" s="38" t="e">
        <f>_xlfn.XLOOKUP(Tabla1[[#This Row],[Ean Normalizado]],tabla_consumos[EAN],tabla_consumos[UM])</f>
        <v>#VALUE!</v>
      </c>
      <c r="S3126" s="38" t="e">
        <f>Tabla1[[#This Row],[StockDisp]]*Tabla1[[#This Row],[UM producto]]</f>
        <v>#VALUE!</v>
      </c>
    </row>
    <row r="3127" spans="1:19" x14ac:dyDescent="0.35">
      <c r="A3127" s="5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6"/>
      <c r="P3127" s="23" t="e">
        <f>TRIM(Tabla1[[#This Row],[Articulo]])</f>
        <v>#VALUE!</v>
      </c>
      <c r="Q3127" s="23" t="e">
        <f>_xlfn.XLOOKUP(Tabla1[[#This Row],[Ean Normalizado]],Consumos!A:A,Consumos!E:E)</f>
        <v>#VALUE!</v>
      </c>
      <c r="R3127" s="38" t="e">
        <f>_xlfn.XLOOKUP(Tabla1[[#This Row],[Ean Normalizado]],tabla_consumos[EAN],tabla_consumos[UM])</f>
        <v>#VALUE!</v>
      </c>
      <c r="S3127" s="38" t="e">
        <f>Tabla1[[#This Row],[StockDisp]]*Tabla1[[#This Row],[UM producto]]</f>
        <v>#VALUE!</v>
      </c>
    </row>
    <row r="3128" spans="1:19" x14ac:dyDescent="0.35">
      <c r="A3128" s="5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6"/>
      <c r="P3128" s="23" t="e">
        <f>TRIM(Tabla1[[#This Row],[Articulo]])</f>
        <v>#VALUE!</v>
      </c>
      <c r="Q3128" s="23" t="e">
        <f>_xlfn.XLOOKUP(Tabla1[[#This Row],[Ean Normalizado]],Consumos!A:A,Consumos!E:E)</f>
        <v>#VALUE!</v>
      </c>
      <c r="R3128" s="38" t="e">
        <f>_xlfn.XLOOKUP(Tabla1[[#This Row],[Ean Normalizado]],tabla_consumos[EAN],tabla_consumos[UM])</f>
        <v>#VALUE!</v>
      </c>
      <c r="S3128" s="38" t="e">
        <f>Tabla1[[#This Row],[StockDisp]]*Tabla1[[#This Row],[UM producto]]</f>
        <v>#VALUE!</v>
      </c>
    </row>
    <row r="3129" spans="1:19" x14ac:dyDescent="0.35">
      <c r="A3129" s="5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6"/>
      <c r="P3129" s="23" t="e">
        <f>TRIM(Tabla1[[#This Row],[Articulo]])</f>
        <v>#VALUE!</v>
      </c>
      <c r="Q3129" s="23" t="e">
        <f>_xlfn.XLOOKUP(Tabla1[[#This Row],[Ean Normalizado]],Consumos!A:A,Consumos!E:E)</f>
        <v>#VALUE!</v>
      </c>
      <c r="R3129" s="38" t="e">
        <f>_xlfn.XLOOKUP(Tabla1[[#This Row],[Ean Normalizado]],tabla_consumos[EAN],tabla_consumos[UM])</f>
        <v>#VALUE!</v>
      </c>
      <c r="S3129" s="38" t="e">
        <f>Tabla1[[#This Row],[StockDisp]]*Tabla1[[#This Row],[UM producto]]</f>
        <v>#VALUE!</v>
      </c>
    </row>
    <row r="3130" spans="1:19" x14ac:dyDescent="0.35">
      <c r="A3130" s="5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6"/>
      <c r="P3130" s="23" t="e">
        <f>TRIM(Tabla1[[#This Row],[Articulo]])</f>
        <v>#VALUE!</v>
      </c>
      <c r="Q3130" s="23" t="e">
        <f>_xlfn.XLOOKUP(Tabla1[[#This Row],[Ean Normalizado]],Consumos!A:A,Consumos!E:E)</f>
        <v>#VALUE!</v>
      </c>
      <c r="R3130" s="38" t="e">
        <f>_xlfn.XLOOKUP(Tabla1[[#This Row],[Ean Normalizado]],tabla_consumos[EAN],tabla_consumos[UM])</f>
        <v>#VALUE!</v>
      </c>
      <c r="S3130" s="38" t="e">
        <f>Tabla1[[#This Row],[StockDisp]]*Tabla1[[#This Row],[UM producto]]</f>
        <v>#VALUE!</v>
      </c>
    </row>
    <row r="3131" spans="1:19" x14ac:dyDescent="0.35">
      <c r="A3131" s="5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6"/>
      <c r="P3131" s="23" t="e">
        <f>TRIM(Tabla1[[#This Row],[Articulo]])</f>
        <v>#VALUE!</v>
      </c>
      <c r="Q3131" s="23" t="e">
        <f>_xlfn.XLOOKUP(Tabla1[[#This Row],[Ean Normalizado]],Consumos!A:A,Consumos!E:E)</f>
        <v>#VALUE!</v>
      </c>
      <c r="R3131" s="38" t="e">
        <f>_xlfn.XLOOKUP(Tabla1[[#This Row],[Ean Normalizado]],tabla_consumos[EAN],tabla_consumos[UM])</f>
        <v>#VALUE!</v>
      </c>
      <c r="S3131" s="38" t="e">
        <f>Tabla1[[#This Row],[StockDisp]]*Tabla1[[#This Row],[UM producto]]</f>
        <v>#VALUE!</v>
      </c>
    </row>
    <row r="3132" spans="1:19" x14ac:dyDescent="0.35">
      <c r="A3132" s="5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6"/>
      <c r="P3132" s="23" t="e">
        <f>TRIM(Tabla1[[#This Row],[Articulo]])</f>
        <v>#VALUE!</v>
      </c>
      <c r="Q3132" s="23" t="e">
        <f>_xlfn.XLOOKUP(Tabla1[[#This Row],[Ean Normalizado]],Consumos!A:A,Consumos!E:E)</f>
        <v>#VALUE!</v>
      </c>
      <c r="R3132" s="38" t="e">
        <f>_xlfn.XLOOKUP(Tabla1[[#This Row],[Ean Normalizado]],tabla_consumos[EAN],tabla_consumos[UM])</f>
        <v>#VALUE!</v>
      </c>
      <c r="S3132" s="38" t="e">
        <f>Tabla1[[#This Row],[StockDisp]]*Tabla1[[#This Row],[UM producto]]</f>
        <v>#VALUE!</v>
      </c>
    </row>
    <row r="3133" spans="1:19" x14ac:dyDescent="0.35">
      <c r="A3133" s="5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6"/>
      <c r="P3133" s="23" t="e">
        <f>TRIM(Tabla1[[#This Row],[Articulo]])</f>
        <v>#VALUE!</v>
      </c>
      <c r="Q3133" s="23" t="e">
        <f>_xlfn.XLOOKUP(Tabla1[[#This Row],[Ean Normalizado]],Consumos!A:A,Consumos!E:E)</f>
        <v>#VALUE!</v>
      </c>
      <c r="R3133" s="38" t="e">
        <f>_xlfn.XLOOKUP(Tabla1[[#This Row],[Ean Normalizado]],tabla_consumos[EAN],tabla_consumos[UM])</f>
        <v>#VALUE!</v>
      </c>
      <c r="S3133" s="38" t="e">
        <f>Tabla1[[#This Row],[StockDisp]]*Tabla1[[#This Row],[UM producto]]</f>
        <v>#VALUE!</v>
      </c>
    </row>
    <row r="3134" spans="1:19" x14ac:dyDescent="0.35">
      <c r="A3134" s="5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6"/>
      <c r="P3134" s="23" t="e">
        <f>TRIM(Tabla1[[#This Row],[Articulo]])</f>
        <v>#VALUE!</v>
      </c>
      <c r="Q3134" s="23" t="e">
        <f>_xlfn.XLOOKUP(Tabla1[[#This Row],[Ean Normalizado]],Consumos!A:A,Consumos!E:E)</f>
        <v>#VALUE!</v>
      </c>
      <c r="R3134" s="38" t="e">
        <f>_xlfn.XLOOKUP(Tabla1[[#This Row],[Ean Normalizado]],tabla_consumos[EAN],tabla_consumos[UM])</f>
        <v>#VALUE!</v>
      </c>
      <c r="S3134" s="38" t="e">
        <f>Tabla1[[#This Row],[StockDisp]]*Tabla1[[#This Row],[UM producto]]</f>
        <v>#VALUE!</v>
      </c>
    </row>
    <row r="3135" spans="1:19" x14ac:dyDescent="0.35">
      <c r="A3135" s="10"/>
      <c r="B3135" s="11"/>
      <c r="C3135" s="11"/>
      <c r="D3135" s="11"/>
      <c r="E3135" s="11"/>
      <c r="F3135" s="11"/>
      <c r="G3135" s="11"/>
      <c r="H3135" s="11"/>
      <c r="I3135" s="11"/>
      <c r="J3135" s="11"/>
      <c r="K3135" s="11"/>
      <c r="L3135" s="11"/>
      <c r="M3135" s="11"/>
      <c r="N3135" s="11"/>
      <c r="O3135" s="12"/>
      <c r="P3135" s="46" t="e">
        <f>TRIM(Tabla1[[#This Row],[Articulo]])</f>
        <v>#VALUE!</v>
      </c>
      <c r="Q3135" s="46" t="e">
        <f>_xlfn.XLOOKUP(Tabla1[[#This Row],[Ean Normalizado]],Consumos!A:A,Consumos!E:E)</f>
        <v>#VALUE!</v>
      </c>
      <c r="R3135" s="38" t="e">
        <f>_xlfn.XLOOKUP(Tabla1[[#This Row],[Ean Normalizado]],tabla_consumos[EAN],tabla_consumos[UM])</f>
        <v>#VALUE!</v>
      </c>
      <c r="S3135" s="38" t="e">
        <f>Tabla1[[#This Row],[StockDisp]]*Tabla1[[#This Row],[UM producto]]</f>
        <v>#VALUE!</v>
      </c>
    </row>
    <row r="3136" spans="1:19" x14ac:dyDescent="0.35">
      <c r="A3136" s="5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6"/>
      <c r="P3136" s="23" t="e">
        <f>TRIM(Tabla1[[#This Row],[Articulo]])</f>
        <v>#VALUE!</v>
      </c>
      <c r="Q3136" s="23" t="e">
        <f>_xlfn.XLOOKUP(Tabla1[[#This Row],[Ean Normalizado]],Consumos!A:A,Consumos!E:E)</f>
        <v>#VALUE!</v>
      </c>
      <c r="R3136" s="38" t="e">
        <f>_xlfn.XLOOKUP(Tabla1[[#This Row],[Ean Normalizado]],tabla_consumos[EAN],tabla_consumos[UM])</f>
        <v>#VALUE!</v>
      </c>
      <c r="S3136" s="38" t="e">
        <f>Tabla1[[#This Row],[StockDisp]]*Tabla1[[#This Row],[UM producto]]</f>
        <v>#VALUE!</v>
      </c>
    </row>
    <row r="3137" spans="1:19" x14ac:dyDescent="0.35">
      <c r="A3137" s="5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6"/>
      <c r="P3137" s="23" t="e">
        <f>TRIM(Tabla1[[#This Row],[Articulo]])</f>
        <v>#VALUE!</v>
      </c>
      <c r="Q3137" s="23" t="e">
        <f>_xlfn.XLOOKUP(Tabla1[[#This Row],[Ean Normalizado]],Consumos!A:A,Consumos!E:E)</f>
        <v>#VALUE!</v>
      </c>
      <c r="R3137" s="38" t="e">
        <f>_xlfn.XLOOKUP(Tabla1[[#This Row],[Ean Normalizado]],tabla_consumos[EAN],tabla_consumos[UM])</f>
        <v>#VALUE!</v>
      </c>
      <c r="S3137" s="38" t="e">
        <f>Tabla1[[#This Row],[StockDisp]]*Tabla1[[#This Row],[UM producto]]</f>
        <v>#VALUE!</v>
      </c>
    </row>
    <row r="3138" spans="1:19" x14ac:dyDescent="0.35">
      <c r="A3138" s="5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6"/>
      <c r="P3138" s="23" t="e">
        <f>TRIM(Tabla1[[#This Row],[Articulo]])</f>
        <v>#VALUE!</v>
      </c>
      <c r="Q3138" s="23" t="e">
        <f>_xlfn.XLOOKUP(Tabla1[[#This Row],[Ean Normalizado]],Consumos!A:A,Consumos!E:E)</f>
        <v>#VALUE!</v>
      </c>
      <c r="R3138" s="38" t="e">
        <f>_xlfn.XLOOKUP(Tabla1[[#This Row],[Ean Normalizado]],tabla_consumos[EAN],tabla_consumos[UM])</f>
        <v>#VALUE!</v>
      </c>
      <c r="S3138" s="38" t="e">
        <f>Tabla1[[#This Row],[StockDisp]]*Tabla1[[#This Row],[UM producto]]</f>
        <v>#VALUE!</v>
      </c>
    </row>
    <row r="3139" spans="1:19" x14ac:dyDescent="0.35">
      <c r="A3139" s="5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6"/>
      <c r="P3139" s="23" t="e">
        <f>TRIM(Tabla1[[#This Row],[Articulo]])</f>
        <v>#VALUE!</v>
      </c>
      <c r="Q3139" s="23" t="e">
        <f>_xlfn.XLOOKUP(Tabla1[[#This Row],[Ean Normalizado]],Consumos!A:A,Consumos!E:E)</f>
        <v>#VALUE!</v>
      </c>
      <c r="R3139" s="38" t="e">
        <f>_xlfn.XLOOKUP(Tabla1[[#This Row],[Ean Normalizado]],tabla_consumos[EAN],tabla_consumos[UM])</f>
        <v>#VALUE!</v>
      </c>
      <c r="S3139" s="38" t="e">
        <f>Tabla1[[#This Row],[StockDisp]]*Tabla1[[#This Row],[UM producto]]</f>
        <v>#VALUE!</v>
      </c>
    </row>
    <row r="3140" spans="1:19" x14ac:dyDescent="0.35">
      <c r="A3140" s="5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6"/>
      <c r="P3140" s="23" t="e">
        <f>TRIM(Tabla1[[#This Row],[Articulo]])</f>
        <v>#VALUE!</v>
      </c>
      <c r="Q3140" s="23" t="e">
        <f>_xlfn.XLOOKUP(Tabla1[[#This Row],[Ean Normalizado]],Consumos!A:A,Consumos!E:E)</f>
        <v>#VALUE!</v>
      </c>
      <c r="R3140" s="38" t="e">
        <f>_xlfn.XLOOKUP(Tabla1[[#This Row],[Ean Normalizado]],tabla_consumos[EAN],tabla_consumos[UM])</f>
        <v>#VALUE!</v>
      </c>
      <c r="S3140" s="38" t="e">
        <f>Tabla1[[#This Row],[StockDisp]]*Tabla1[[#This Row],[UM producto]]</f>
        <v>#VALUE!</v>
      </c>
    </row>
    <row r="3141" spans="1:19" x14ac:dyDescent="0.35">
      <c r="A3141" s="5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6"/>
      <c r="P3141" s="23" t="e">
        <f>TRIM(Tabla1[[#This Row],[Articulo]])</f>
        <v>#VALUE!</v>
      </c>
      <c r="Q3141" s="23" t="e">
        <f>_xlfn.XLOOKUP(Tabla1[[#This Row],[Ean Normalizado]],Consumos!A:A,Consumos!E:E)</f>
        <v>#VALUE!</v>
      </c>
      <c r="R3141" s="38" t="e">
        <f>_xlfn.XLOOKUP(Tabla1[[#This Row],[Ean Normalizado]],tabla_consumos[EAN],tabla_consumos[UM])</f>
        <v>#VALUE!</v>
      </c>
      <c r="S3141" s="38" t="e">
        <f>Tabla1[[#This Row],[StockDisp]]*Tabla1[[#This Row],[UM producto]]</f>
        <v>#VALUE!</v>
      </c>
    </row>
    <row r="3142" spans="1:19" x14ac:dyDescent="0.35">
      <c r="A3142" s="5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6"/>
      <c r="P3142" s="23" t="e">
        <f>TRIM(Tabla1[[#This Row],[Articulo]])</f>
        <v>#VALUE!</v>
      </c>
      <c r="Q3142" s="23" t="e">
        <f>_xlfn.XLOOKUP(Tabla1[[#This Row],[Ean Normalizado]],Consumos!A:A,Consumos!E:E)</f>
        <v>#VALUE!</v>
      </c>
      <c r="R3142" s="38" t="e">
        <f>_xlfn.XLOOKUP(Tabla1[[#This Row],[Ean Normalizado]],tabla_consumos[EAN],tabla_consumos[UM])</f>
        <v>#VALUE!</v>
      </c>
      <c r="S3142" s="38" t="e">
        <f>Tabla1[[#This Row],[StockDisp]]*Tabla1[[#This Row],[UM producto]]</f>
        <v>#VALUE!</v>
      </c>
    </row>
    <row r="3143" spans="1:19" x14ac:dyDescent="0.35">
      <c r="A3143" s="5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6"/>
      <c r="P3143" s="23" t="e">
        <f>TRIM(Tabla1[[#This Row],[Articulo]])</f>
        <v>#VALUE!</v>
      </c>
      <c r="Q3143" s="23" t="e">
        <f>_xlfn.XLOOKUP(Tabla1[[#This Row],[Ean Normalizado]],Consumos!A:A,Consumos!E:E)</f>
        <v>#VALUE!</v>
      </c>
      <c r="R3143" s="38" t="e">
        <f>_xlfn.XLOOKUP(Tabla1[[#This Row],[Ean Normalizado]],tabla_consumos[EAN],tabla_consumos[UM])</f>
        <v>#VALUE!</v>
      </c>
      <c r="S3143" s="38" t="e">
        <f>Tabla1[[#This Row],[StockDisp]]*Tabla1[[#This Row],[UM producto]]</f>
        <v>#VALUE!</v>
      </c>
    </row>
    <row r="3144" spans="1:19" x14ac:dyDescent="0.35">
      <c r="A3144" s="5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6"/>
      <c r="P3144" s="23" t="e">
        <f>TRIM(Tabla1[[#This Row],[Articulo]])</f>
        <v>#VALUE!</v>
      </c>
      <c r="Q3144" s="23" t="e">
        <f>_xlfn.XLOOKUP(Tabla1[[#This Row],[Ean Normalizado]],Consumos!A:A,Consumos!E:E)</f>
        <v>#VALUE!</v>
      </c>
      <c r="R3144" s="38" t="e">
        <f>_xlfn.XLOOKUP(Tabla1[[#This Row],[Ean Normalizado]],tabla_consumos[EAN],tabla_consumos[UM])</f>
        <v>#VALUE!</v>
      </c>
      <c r="S3144" s="38" t="e">
        <f>Tabla1[[#This Row],[StockDisp]]*Tabla1[[#This Row],[UM producto]]</f>
        <v>#VALUE!</v>
      </c>
    </row>
    <row r="3145" spans="1:19" x14ac:dyDescent="0.35">
      <c r="A3145" s="5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6"/>
      <c r="P3145" s="23" t="e">
        <f>TRIM(Tabla1[[#This Row],[Articulo]])</f>
        <v>#VALUE!</v>
      </c>
      <c r="Q3145" s="23" t="e">
        <f>_xlfn.XLOOKUP(Tabla1[[#This Row],[Ean Normalizado]],Consumos!A:A,Consumos!E:E)</f>
        <v>#VALUE!</v>
      </c>
      <c r="R3145" s="38" t="e">
        <f>_xlfn.XLOOKUP(Tabla1[[#This Row],[Ean Normalizado]],tabla_consumos[EAN],tabla_consumos[UM])</f>
        <v>#VALUE!</v>
      </c>
      <c r="S3145" s="38" t="e">
        <f>Tabla1[[#This Row],[StockDisp]]*Tabla1[[#This Row],[UM producto]]</f>
        <v>#VALUE!</v>
      </c>
    </row>
    <row r="3146" spans="1:19" x14ac:dyDescent="0.35">
      <c r="A3146" s="5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6"/>
      <c r="P3146" s="23" t="e">
        <f>TRIM(Tabla1[[#This Row],[Articulo]])</f>
        <v>#VALUE!</v>
      </c>
      <c r="Q3146" s="23" t="e">
        <f>_xlfn.XLOOKUP(Tabla1[[#This Row],[Ean Normalizado]],Consumos!A:A,Consumos!E:E)</f>
        <v>#VALUE!</v>
      </c>
      <c r="R3146" s="38" t="e">
        <f>_xlfn.XLOOKUP(Tabla1[[#This Row],[Ean Normalizado]],tabla_consumos[EAN],tabla_consumos[UM])</f>
        <v>#VALUE!</v>
      </c>
      <c r="S3146" s="38" t="e">
        <f>Tabla1[[#This Row],[StockDisp]]*Tabla1[[#This Row],[UM producto]]</f>
        <v>#VALUE!</v>
      </c>
    </row>
    <row r="3147" spans="1:19" x14ac:dyDescent="0.35">
      <c r="A3147" s="5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6"/>
      <c r="P3147" s="23" t="e">
        <f>TRIM(Tabla1[[#This Row],[Articulo]])</f>
        <v>#VALUE!</v>
      </c>
      <c r="Q3147" s="23" t="e">
        <f>_xlfn.XLOOKUP(Tabla1[[#This Row],[Ean Normalizado]],Consumos!A:A,Consumos!E:E)</f>
        <v>#VALUE!</v>
      </c>
      <c r="R3147" s="38" t="e">
        <f>_xlfn.XLOOKUP(Tabla1[[#This Row],[Ean Normalizado]],tabla_consumos[EAN],tabla_consumos[UM])</f>
        <v>#VALUE!</v>
      </c>
      <c r="S3147" s="38" t="e">
        <f>Tabla1[[#This Row],[StockDisp]]*Tabla1[[#This Row],[UM producto]]</f>
        <v>#VALUE!</v>
      </c>
    </row>
    <row r="3148" spans="1:19" x14ac:dyDescent="0.35">
      <c r="A3148" s="5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6"/>
      <c r="P3148" s="23" t="e">
        <f>TRIM(Tabla1[[#This Row],[Articulo]])</f>
        <v>#VALUE!</v>
      </c>
      <c r="Q3148" s="23" t="e">
        <f>_xlfn.XLOOKUP(Tabla1[[#This Row],[Ean Normalizado]],Consumos!A:A,Consumos!E:E)</f>
        <v>#VALUE!</v>
      </c>
      <c r="R3148" s="38" t="e">
        <f>_xlfn.XLOOKUP(Tabla1[[#This Row],[Ean Normalizado]],tabla_consumos[EAN],tabla_consumos[UM])</f>
        <v>#VALUE!</v>
      </c>
      <c r="S3148" s="38" t="e">
        <f>Tabla1[[#This Row],[StockDisp]]*Tabla1[[#This Row],[UM producto]]</f>
        <v>#VALUE!</v>
      </c>
    </row>
    <row r="3149" spans="1:19" x14ac:dyDescent="0.35">
      <c r="A3149" s="5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6"/>
      <c r="P3149" s="23" t="e">
        <f>TRIM(Tabla1[[#This Row],[Articulo]])</f>
        <v>#VALUE!</v>
      </c>
      <c r="Q3149" s="23" t="e">
        <f>_xlfn.XLOOKUP(Tabla1[[#This Row],[Ean Normalizado]],Consumos!A:A,Consumos!E:E)</f>
        <v>#VALUE!</v>
      </c>
      <c r="R3149" s="38" t="e">
        <f>_xlfn.XLOOKUP(Tabla1[[#This Row],[Ean Normalizado]],tabla_consumos[EAN],tabla_consumos[UM])</f>
        <v>#VALUE!</v>
      </c>
      <c r="S3149" s="38" t="e">
        <f>Tabla1[[#This Row],[StockDisp]]*Tabla1[[#This Row],[UM producto]]</f>
        <v>#VALUE!</v>
      </c>
    </row>
    <row r="3150" spans="1:19" x14ac:dyDescent="0.35">
      <c r="A3150" s="5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6"/>
      <c r="P3150" s="23" t="e">
        <f>TRIM(Tabla1[[#This Row],[Articulo]])</f>
        <v>#VALUE!</v>
      </c>
      <c r="Q3150" s="23" t="e">
        <f>_xlfn.XLOOKUP(Tabla1[[#This Row],[Ean Normalizado]],Consumos!A:A,Consumos!E:E)</f>
        <v>#VALUE!</v>
      </c>
      <c r="R3150" s="38" t="e">
        <f>_xlfn.XLOOKUP(Tabla1[[#This Row],[Ean Normalizado]],tabla_consumos[EAN],tabla_consumos[UM])</f>
        <v>#VALUE!</v>
      </c>
      <c r="S3150" s="38" t="e">
        <f>Tabla1[[#This Row],[StockDisp]]*Tabla1[[#This Row],[UM producto]]</f>
        <v>#VALUE!</v>
      </c>
    </row>
    <row r="3151" spans="1:19" x14ac:dyDescent="0.35">
      <c r="A3151" s="5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6"/>
      <c r="P3151" s="23" t="e">
        <f>TRIM(Tabla1[[#This Row],[Articulo]])</f>
        <v>#VALUE!</v>
      </c>
      <c r="Q3151" s="23" t="e">
        <f>_xlfn.XLOOKUP(Tabla1[[#This Row],[Ean Normalizado]],Consumos!A:A,Consumos!E:E)</f>
        <v>#VALUE!</v>
      </c>
      <c r="R3151" s="38" t="e">
        <f>_xlfn.XLOOKUP(Tabla1[[#This Row],[Ean Normalizado]],tabla_consumos[EAN],tabla_consumos[UM])</f>
        <v>#VALUE!</v>
      </c>
      <c r="S3151" s="38" t="e">
        <f>Tabla1[[#This Row],[StockDisp]]*Tabla1[[#This Row],[UM producto]]</f>
        <v>#VALUE!</v>
      </c>
    </row>
    <row r="3152" spans="1:19" x14ac:dyDescent="0.35">
      <c r="A3152" s="5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6"/>
      <c r="P3152" s="23" t="e">
        <f>TRIM(Tabla1[[#This Row],[Articulo]])</f>
        <v>#VALUE!</v>
      </c>
      <c r="Q3152" s="23" t="e">
        <f>_xlfn.XLOOKUP(Tabla1[[#This Row],[Ean Normalizado]],Consumos!A:A,Consumos!E:E)</f>
        <v>#VALUE!</v>
      </c>
      <c r="R3152" s="38" t="e">
        <f>_xlfn.XLOOKUP(Tabla1[[#This Row],[Ean Normalizado]],tabla_consumos[EAN],tabla_consumos[UM])</f>
        <v>#VALUE!</v>
      </c>
      <c r="S3152" s="38" t="e">
        <f>Tabla1[[#This Row],[StockDisp]]*Tabla1[[#This Row],[UM producto]]</f>
        <v>#VALUE!</v>
      </c>
    </row>
    <row r="3153" spans="1:19" x14ac:dyDescent="0.35">
      <c r="A3153" s="5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6"/>
      <c r="P3153" s="23" t="e">
        <f>TRIM(Tabla1[[#This Row],[Articulo]])</f>
        <v>#VALUE!</v>
      </c>
      <c r="Q3153" s="23" t="e">
        <f>_xlfn.XLOOKUP(Tabla1[[#This Row],[Ean Normalizado]],Consumos!A:A,Consumos!E:E)</f>
        <v>#VALUE!</v>
      </c>
      <c r="R3153" s="38" t="e">
        <f>_xlfn.XLOOKUP(Tabla1[[#This Row],[Ean Normalizado]],tabla_consumos[EAN],tabla_consumos[UM])</f>
        <v>#VALUE!</v>
      </c>
      <c r="S3153" s="38" t="e">
        <f>Tabla1[[#This Row],[StockDisp]]*Tabla1[[#This Row],[UM producto]]</f>
        <v>#VALUE!</v>
      </c>
    </row>
    <row r="3154" spans="1:19" x14ac:dyDescent="0.35">
      <c r="A3154" s="5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6"/>
      <c r="P3154" s="23" t="e">
        <f>TRIM(Tabla1[[#This Row],[Articulo]])</f>
        <v>#VALUE!</v>
      </c>
      <c r="Q3154" s="23" t="e">
        <f>_xlfn.XLOOKUP(Tabla1[[#This Row],[Ean Normalizado]],Consumos!A:A,Consumos!E:E)</f>
        <v>#VALUE!</v>
      </c>
      <c r="R3154" s="38" t="e">
        <f>_xlfn.XLOOKUP(Tabla1[[#This Row],[Ean Normalizado]],tabla_consumos[EAN],tabla_consumos[UM])</f>
        <v>#VALUE!</v>
      </c>
      <c r="S3154" s="38" t="e">
        <f>Tabla1[[#This Row],[StockDisp]]*Tabla1[[#This Row],[UM producto]]</f>
        <v>#VALUE!</v>
      </c>
    </row>
    <row r="3155" spans="1:19" x14ac:dyDescent="0.35">
      <c r="A3155" s="5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6"/>
      <c r="P3155" s="23" t="e">
        <f>TRIM(Tabla1[[#This Row],[Articulo]])</f>
        <v>#VALUE!</v>
      </c>
      <c r="Q3155" s="23" t="e">
        <f>_xlfn.XLOOKUP(Tabla1[[#This Row],[Ean Normalizado]],Consumos!A:A,Consumos!E:E)</f>
        <v>#VALUE!</v>
      </c>
      <c r="R3155" s="38" t="e">
        <f>_xlfn.XLOOKUP(Tabla1[[#This Row],[Ean Normalizado]],tabla_consumos[EAN],tabla_consumos[UM])</f>
        <v>#VALUE!</v>
      </c>
      <c r="S3155" s="38" t="e">
        <f>Tabla1[[#This Row],[StockDisp]]*Tabla1[[#This Row],[UM producto]]</f>
        <v>#VALUE!</v>
      </c>
    </row>
    <row r="3156" spans="1:19" x14ac:dyDescent="0.35">
      <c r="A3156" s="5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6"/>
      <c r="P3156" s="23" t="e">
        <f>TRIM(Tabla1[[#This Row],[Articulo]])</f>
        <v>#VALUE!</v>
      </c>
      <c r="Q3156" s="23" t="e">
        <f>_xlfn.XLOOKUP(Tabla1[[#This Row],[Ean Normalizado]],Consumos!A:A,Consumos!E:E)</f>
        <v>#VALUE!</v>
      </c>
      <c r="R3156" s="38" t="e">
        <f>_xlfn.XLOOKUP(Tabla1[[#This Row],[Ean Normalizado]],tabla_consumos[EAN],tabla_consumos[UM])</f>
        <v>#VALUE!</v>
      </c>
      <c r="S3156" s="38" t="e">
        <f>Tabla1[[#This Row],[StockDisp]]*Tabla1[[#This Row],[UM producto]]</f>
        <v>#VALUE!</v>
      </c>
    </row>
    <row r="3157" spans="1:19" x14ac:dyDescent="0.35">
      <c r="A3157" s="5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6"/>
      <c r="P3157" s="23" t="e">
        <f>TRIM(Tabla1[[#This Row],[Articulo]])</f>
        <v>#VALUE!</v>
      </c>
      <c r="Q3157" s="23" t="e">
        <f>_xlfn.XLOOKUP(Tabla1[[#This Row],[Ean Normalizado]],Consumos!A:A,Consumos!E:E)</f>
        <v>#VALUE!</v>
      </c>
      <c r="R3157" s="38" t="e">
        <f>_xlfn.XLOOKUP(Tabla1[[#This Row],[Ean Normalizado]],tabla_consumos[EAN],tabla_consumos[UM])</f>
        <v>#VALUE!</v>
      </c>
      <c r="S3157" s="38" t="e">
        <f>Tabla1[[#This Row],[StockDisp]]*Tabla1[[#This Row],[UM producto]]</f>
        <v>#VALUE!</v>
      </c>
    </row>
    <row r="3158" spans="1:19" x14ac:dyDescent="0.35">
      <c r="A3158" s="5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6"/>
      <c r="P3158" s="23" t="e">
        <f>TRIM(Tabla1[[#This Row],[Articulo]])</f>
        <v>#VALUE!</v>
      </c>
      <c r="Q3158" s="23" t="e">
        <f>_xlfn.XLOOKUP(Tabla1[[#This Row],[Ean Normalizado]],Consumos!A:A,Consumos!E:E)</f>
        <v>#VALUE!</v>
      </c>
      <c r="R3158" s="38" t="e">
        <f>_xlfn.XLOOKUP(Tabla1[[#This Row],[Ean Normalizado]],tabla_consumos[EAN],tabla_consumos[UM])</f>
        <v>#VALUE!</v>
      </c>
      <c r="S3158" s="38" t="e">
        <f>Tabla1[[#This Row],[StockDisp]]*Tabla1[[#This Row],[UM producto]]</f>
        <v>#VALUE!</v>
      </c>
    </row>
    <row r="3159" spans="1:19" x14ac:dyDescent="0.35">
      <c r="A3159" s="5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6"/>
      <c r="P3159" s="23" t="e">
        <f>TRIM(Tabla1[[#This Row],[Articulo]])</f>
        <v>#VALUE!</v>
      </c>
      <c r="Q3159" s="23" t="e">
        <f>_xlfn.XLOOKUP(Tabla1[[#This Row],[Ean Normalizado]],Consumos!A:A,Consumos!E:E)</f>
        <v>#VALUE!</v>
      </c>
      <c r="R3159" s="38" t="e">
        <f>_xlfn.XLOOKUP(Tabla1[[#This Row],[Ean Normalizado]],tabla_consumos[EAN],tabla_consumos[UM])</f>
        <v>#VALUE!</v>
      </c>
      <c r="S3159" s="38" t="e">
        <f>Tabla1[[#This Row],[StockDisp]]*Tabla1[[#This Row],[UM producto]]</f>
        <v>#VALUE!</v>
      </c>
    </row>
    <row r="3160" spans="1:19" x14ac:dyDescent="0.35">
      <c r="A3160" s="5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6"/>
      <c r="P3160" s="23" t="e">
        <f>TRIM(Tabla1[[#This Row],[Articulo]])</f>
        <v>#VALUE!</v>
      </c>
      <c r="Q3160" s="23" t="e">
        <f>_xlfn.XLOOKUP(Tabla1[[#This Row],[Ean Normalizado]],Consumos!A:A,Consumos!E:E)</f>
        <v>#VALUE!</v>
      </c>
      <c r="R3160" s="38" t="e">
        <f>_xlfn.XLOOKUP(Tabla1[[#This Row],[Ean Normalizado]],tabla_consumos[EAN],tabla_consumos[UM])</f>
        <v>#VALUE!</v>
      </c>
      <c r="S3160" s="38" t="e">
        <f>Tabla1[[#This Row],[StockDisp]]*Tabla1[[#This Row],[UM producto]]</f>
        <v>#VALUE!</v>
      </c>
    </row>
    <row r="3161" spans="1:19" x14ac:dyDescent="0.35">
      <c r="A3161" s="5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6"/>
      <c r="P3161" s="23" t="e">
        <f>TRIM(Tabla1[[#This Row],[Articulo]])</f>
        <v>#VALUE!</v>
      </c>
      <c r="Q3161" s="23" t="e">
        <f>_xlfn.XLOOKUP(Tabla1[[#This Row],[Ean Normalizado]],Consumos!A:A,Consumos!E:E)</f>
        <v>#VALUE!</v>
      </c>
      <c r="R3161" s="38" t="e">
        <f>_xlfn.XLOOKUP(Tabla1[[#This Row],[Ean Normalizado]],tabla_consumos[EAN],tabla_consumos[UM])</f>
        <v>#VALUE!</v>
      </c>
      <c r="S3161" s="38" t="e">
        <f>Tabla1[[#This Row],[StockDisp]]*Tabla1[[#This Row],[UM producto]]</f>
        <v>#VALUE!</v>
      </c>
    </row>
    <row r="3162" spans="1:19" x14ac:dyDescent="0.35">
      <c r="A3162" s="5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6"/>
      <c r="P3162" s="23" t="e">
        <f>TRIM(Tabla1[[#This Row],[Articulo]])</f>
        <v>#VALUE!</v>
      </c>
      <c r="Q3162" s="23" t="e">
        <f>_xlfn.XLOOKUP(Tabla1[[#This Row],[Ean Normalizado]],Consumos!A:A,Consumos!E:E)</f>
        <v>#VALUE!</v>
      </c>
      <c r="R3162" s="38" t="e">
        <f>_xlfn.XLOOKUP(Tabla1[[#This Row],[Ean Normalizado]],tabla_consumos[EAN],tabla_consumos[UM])</f>
        <v>#VALUE!</v>
      </c>
      <c r="S3162" s="38" t="e">
        <f>Tabla1[[#This Row],[StockDisp]]*Tabla1[[#This Row],[UM producto]]</f>
        <v>#VALUE!</v>
      </c>
    </row>
    <row r="3163" spans="1:19" x14ac:dyDescent="0.35">
      <c r="A3163" s="5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6"/>
      <c r="P3163" s="23" t="e">
        <f>TRIM(Tabla1[[#This Row],[Articulo]])</f>
        <v>#VALUE!</v>
      </c>
      <c r="Q3163" s="23" t="e">
        <f>_xlfn.XLOOKUP(Tabla1[[#This Row],[Ean Normalizado]],Consumos!A:A,Consumos!E:E)</f>
        <v>#VALUE!</v>
      </c>
      <c r="R3163" s="38" t="e">
        <f>_xlfn.XLOOKUP(Tabla1[[#This Row],[Ean Normalizado]],tabla_consumos[EAN],tabla_consumos[UM])</f>
        <v>#VALUE!</v>
      </c>
      <c r="S3163" s="38" t="e">
        <f>Tabla1[[#This Row],[StockDisp]]*Tabla1[[#This Row],[UM producto]]</f>
        <v>#VALUE!</v>
      </c>
    </row>
    <row r="3164" spans="1:19" x14ac:dyDescent="0.35">
      <c r="A3164" s="5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6"/>
      <c r="P3164" s="23" t="e">
        <f>TRIM(Tabla1[[#This Row],[Articulo]])</f>
        <v>#VALUE!</v>
      </c>
      <c r="Q3164" s="23" t="e">
        <f>_xlfn.XLOOKUP(Tabla1[[#This Row],[Ean Normalizado]],Consumos!A:A,Consumos!E:E)</f>
        <v>#VALUE!</v>
      </c>
      <c r="R3164" s="38" t="e">
        <f>_xlfn.XLOOKUP(Tabla1[[#This Row],[Ean Normalizado]],tabla_consumos[EAN],tabla_consumos[UM])</f>
        <v>#VALUE!</v>
      </c>
      <c r="S3164" s="38" t="e">
        <f>Tabla1[[#This Row],[StockDisp]]*Tabla1[[#This Row],[UM producto]]</f>
        <v>#VALUE!</v>
      </c>
    </row>
    <row r="3165" spans="1:19" x14ac:dyDescent="0.35">
      <c r="A3165" s="5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6"/>
      <c r="P3165" s="23" t="e">
        <f>TRIM(Tabla1[[#This Row],[Articulo]])</f>
        <v>#VALUE!</v>
      </c>
      <c r="Q3165" s="23" t="e">
        <f>_xlfn.XLOOKUP(Tabla1[[#This Row],[Ean Normalizado]],Consumos!A:A,Consumos!E:E)</f>
        <v>#VALUE!</v>
      </c>
      <c r="R3165" s="38" t="e">
        <f>_xlfn.XLOOKUP(Tabla1[[#This Row],[Ean Normalizado]],tabla_consumos[EAN],tabla_consumos[UM])</f>
        <v>#VALUE!</v>
      </c>
      <c r="S3165" s="38" t="e">
        <f>Tabla1[[#This Row],[StockDisp]]*Tabla1[[#This Row],[UM producto]]</f>
        <v>#VALUE!</v>
      </c>
    </row>
    <row r="3166" spans="1:19" x14ac:dyDescent="0.35">
      <c r="A3166" s="5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6"/>
      <c r="P3166" s="23" t="e">
        <f>TRIM(Tabla1[[#This Row],[Articulo]])</f>
        <v>#VALUE!</v>
      </c>
      <c r="Q3166" s="23" t="e">
        <f>_xlfn.XLOOKUP(Tabla1[[#This Row],[Ean Normalizado]],Consumos!A:A,Consumos!E:E)</f>
        <v>#VALUE!</v>
      </c>
      <c r="R3166" s="38" t="e">
        <f>_xlfn.XLOOKUP(Tabla1[[#This Row],[Ean Normalizado]],tabla_consumos[EAN],tabla_consumos[UM])</f>
        <v>#VALUE!</v>
      </c>
      <c r="S3166" s="38" t="e">
        <f>Tabla1[[#This Row],[StockDisp]]*Tabla1[[#This Row],[UM producto]]</f>
        <v>#VALUE!</v>
      </c>
    </row>
    <row r="3167" spans="1:19" x14ac:dyDescent="0.35">
      <c r="A3167" s="5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6"/>
      <c r="P3167" s="23" t="e">
        <f>TRIM(Tabla1[[#This Row],[Articulo]])</f>
        <v>#VALUE!</v>
      </c>
      <c r="Q3167" s="23" t="e">
        <f>_xlfn.XLOOKUP(Tabla1[[#This Row],[Ean Normalizado]],Consumos!A:A,Consumos!E:E)</f>
        <v>#VALUE!</v>
      </c>
      <c r="R3167" s="38" t="e">
        <f>_xlfn.XLOOKUP(Tabla1[[#This Row],[Ean Normalizado]],tabla_consumos[EAN],tabla_consumos[UM])</f>
        <v>#VALUE!</v>
      </c>
      <c r="S3167" s="38" t="e">
        <f>Tabla1[[#This Row],[StockDisp]]*Tabla1[[#This Row],[UM producto]]</f>
        <v>#VALUE!</v>
      </c>
    </row>
    <row r="3168" spans="1:19" x14ac:dyDescent="0.35">
      <c r="A3168" s="5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6"/>
      <c r="P3168" s="23" t="e">
        <f>TRIM(Tabla1[[#This Row],[Articulo]])</f>
        <v>#VALUE!</v>
      </c>
      <c r="Q3168" s="23" t="e">
        <f>_xlfn.XLOOKUP(Tabla1[[#This Row],[Ean Normalizado]],Consumos!A:A,Consumos!E:E)</f>
        <v>#VALUE!</v>
      </c>
      <c r="R3168" s="38" t="e">
        <f>_xlfn.XLOOKUP(Tabla1[[#This Row],[Ean Normalizado]],tabla_consumos[EAN],tabla_consumos[UM])</f>
        <v>#VALUE!</v>
      </c>
      <c r="S3168" s="38" t="e">
        <f>Tabla1[[#This Row],[StockDisp]]*Tabla1[[#This Row],[UM producto]]</f>
        <v>#VALUE!</v>
      </c>
    </row>
    <row r="3169" spans="1:19" x14ac:dyDescent="0.35">
      <c r="A3169" s="5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6"/>
      <c r="P3169" s="23" t="e">
        <f>TRIM(Tabla1[[#This Row],[Articulo]])</f>
        <v>#VALUE!</v>
      </c>
      <c r="Q3169" s="23" t="e">
        <f>_xlfn.XLOOKUP(Tabla1[[#This Row],[Ean Normalizado]],Consumos!A:A,Consumos!E:E)</f>
        <v>#VALUE!</v>
      </c>
      <c r="R3169" s="38" t="e">
        <f>_xlfn.XLOOKUP(Tabla1[[#This Row],[Ean Normalizado]],tabla_consumos[EAN],tabla_consumos[UM])</f>
        <v>#VALUE!</v>
      </c>
      <c r="S3169" s="38" t="e">
        <f>Tabla1[[#This Row],[StockDisp]]*Tabla1[[#This Row],[UM producto]]</f>
        <v>#VALUE!</v>
      </c>
    </row>
    <row r="3170" spans="1:19" x14ac:dyDescent="0.35">
      <c r="A3170" s="5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6"/>
      <c r="P3170" s="23" t="e">
        <f>TRIM(Tabla1[[#This Row],[Articulo]])</f>
        <v>#VALUE!</v>
      </c>
      <c r="Q3170" s="23" t="e">
        <f>_xlfn.XLOOKUP(Tabla1[[#This Row],[Ean Normalizado]],Consumos!A:A,Consumos!E:E)</f>
        <v>#VALUE!</v>
      </c>
      <c r="R3170" s="38" t="e">
        <f>_xlfn.XLOOKUP(Tabla1[[#This Row],[Ean Normalizado]],tabla_consumos[EAN],tabla_consumos[UM])</f>
        <v>#VALUE!</v>
      </c>
      <c r="S3170" s="38" t="e">
        <f>Tabla1[[#This Row],[StockDisp]]*Tabla1[[#This Row],[UM producto]]</f>
        <v>#VALUE!</v>
      </c>
    </row>
    <row r="3171" spans="1:19" x14ac:dyDescent="0.35">
      <c r="A3171" s="5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6"/>
      <c r="P3171" s="23" t="e">
        <f>TRIM(Tabla1[[#This Row],[Articulo]])</f>
        <v>#VALUE!</v>
      </c>
      <c r="Q3171" s="23" t="e">
        <f>_xlfn.XLOOKUP(Tabla1[[#This Row],[Ean Normalizado]],Consumos!A:A,Consumos!E:E)</f>
        <v>#VALUE!</v>
      </c>
      <c r="R3171" s="38" t="e">
        <f>_xlfn.XLOOKUP(Tabla1[[#This Row],[Ean Normalizado]],tabla_consumos[EAN],tabla_consumos[UM])</f>
        <v>#VALUE!</v>
      </c>
      <c r="S3171" s="38" t="e">
        <f>Tabla1[[#This Row],[StockDisp]]*Tabla1[[#This Row],[UM producto]]</f>
        <v>#VALUE!</v>
      </c>
    </row>
    <row r="3172" spans="1:19" x14ac:dyDescent="0.35">
      <c r="A3172" s="5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6"/>
      <c r="P3172" s="23" t="e">
        <f>TRIM(Tabla1[[#This Row],[Articulo]])</f>
        <v>#VALUE!</v>
      </c>
      <c r="Q3172" s="23" t="e">
        <f>_xlfn.XLOOKUP(Tabla1[[#This Row],[Ean Normalizado]],Consumos!A:A,Consumos!E:E)</f>
        <v>#VALUE!</v>
      </c>
      <c r="R3172" s="38" t="e">
        <f>_xlfn.XLOOKUP(Tabla1[[#This Row],[Ean Normalizado]],tabla_consumos[EAN],tabla_consumos[UM])</f>
        <v>#VALUE!</v>
      </c>
      <c r="S3172" s="38" t="e">
        <f>Tabla1[[#This Row],[StockDisp]]*Tabla1[[#This Row],[UM producto]]</f>
        <v>#VALUE!</v>
      </c>
    </row>
    <row r="3173" spans="1:19" x14ac:dyDescent="0.35">
      <c r="A3173" s="5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6"/>
      <c r="P3173" s="23" t="e">
        <f>TRIM(Tabla1[[#This Row],[Articulo]])</f>
        <v>#VALUE!</v>
      </c>
      <c r="Q3173" s="23" t="e">
        <f>_xlfn.XLOOKUP(Tabla1[[#This Row],[Ean Normalizado]],Consumos!A:A,Consumos!E:E)</f>
        <v>#VALUE!</v>
      </c>
      <c r="R3173" s="38" t="e">
        <f>_xlfn.XLOOKUP(Tabla1[[#This Row],[Ean Normalizado]],tabla_consumos[EAN],tabla_consumos[UM])</f>
        <v>#VALUE!</v>
      </c>
      <c r="S3173" s="38" t="e">
        <f>Tabla1[[#This Row],[StockDisp]]*Tabla1[[#This Row],[UM producto]]</f>
        <v>#VALUE!</v>
      </c>
    </row>
    <row r="3174" spans="1:19" x14ac:dyDescent="0.35">
      <c r="A3174" s="5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6"/>
      <c r="P3174" s="23" t="e">
        <f>TRIM(Tabla1[[#This Row],[Articulo]])</f>
        <v>#VALUE!</v>
      </c>
      <c r="Q3174" s="23" t="e">
        <f>_xlfn.XLOOKUP(Tabla1[[#This Row],[Ean Normalizado]],Consumos!A:A,Consumos!E:E)</f>
        <v>#VALUE!</v>
      </c>
      <c r="R3174" s="38" t="e">
        <f>_xlfn.XLOOKUP(Tabla1[[#This Row],[Ean Normalizado]],tabla_consumos[EAN],tabla_consumos[UM])</f>
        <v>#VALUE!</v>
      </c>
      <c r="S3174" s="38" t="e">
        <f>Tabla1[[#This Row],[StockDisp]]*Tabla1[[#This Row],[UM producto]]</f>
        <v>#VALUE!</v>
      </c>
    </row>
    <row r="3175" spans="1:19" x14ac:dyDescent="0.35">
      <c r="A3175" s="5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6"/>
      <c r="P3175" s="23" t="e">
        <f>TRIM(Tabla1[[#This Row],[Articulo]])</f>
        <v>#VALUE!</v>
      </c>
      <c r="Q3175" s="23" t="e">
        <f>_xlfn.XLOOKUP(Tabla1[[#This Row],[Ean Normalizado]],Consumos!A:A,Consumos!E:E)</f>
        <v>#VALUE!</v>
      </c>
      <c r="R3175" s="38" t="e">
        <f>_xlfn.XLOOKUP(Tabla1[[#This Row],[Ean Normalizado]],tabla_consumos[EAN],tabla_consumos[UM])</f>
        <v>#VALUE!</v>
      </c>
      <c r="S3175" s="38" t="e">
        <f>Tabla1[[#This Row],[StockDisp]]*Tabla1[[#This Row],[UM producto]]</f>
        <v>#VALUE!</v>
      </c>
    </row>
    <row r="3176" spans="1:19" x14ac:dyDescent="0.35">
      <c r="A3176" s="5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6"/>
      <c r="P3176" s="23" t="e">
        <f>TRIM(Tabla1[[#This Row],[Articulo]])</f>
        <v>#VALUE!</v>
      </c>
      <c r="Q3176" s="23" t="e">
        <f>_xlfn.XLOOKUP(Tabla1[[#This Row],[Ean Normalizado]],Consumos!A:A,Consumos!E:E)</f>
        <v>#VALUE!</v>
      </c>
      <c r="R3176" s="38" t="e">
        <f>_xlfn.XLOOKUP(Tabla1[[#This Row],[Ean Normalizado]],tabla_consumos[EAN],tabla_consumos[UM])</f>
        <v>#VALUE!</v>
      </c>
      <c r="S3176" s="38" t="e">
        <f>Tabla1[[#This Row],[StockDisp]]*Tabla1[[#This Row],[UM producto]]</f>
        <v>#VALUE!</v>
      </c>
    </row>
    <row r="3177" spans="1:19" x14ac:dyDescent="0.35">
      <c r="A3177" s="5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6"/>
      <c r="P3177" s="23" t="e">
        <f>TRIM(Tabla1[[#This Row],[Articulo]])</f>
        <v>#VALUE!</v>
      </c>
      <c r="Q3177" s="23" t="e">
        <f>_xlfn.XLOOKUP(Tabla1[[#This Row],[Ean Normalizado]],Consumos!A:A,Consumos!E:E)</f>
        <v>#VALUE!</v>
      </c>
      <c r="R3177" s="38" t="e">
        <f>_xlfn.XLOOKUP(Tabla1[[#This Row],[Ean Normalizado]],tabla_consumos[EAN],tabla_consumos[UM])</f>
        <v>#VALUE!</v>
      </c>
      <c r="S3177" s="38" t="e">
        <f>Tabla1[[#This Row],[StockDisp]]*Tabla1[[#This Row],[UM producto]]</f>
        <v>#VALUE!</v>
      </c>
    </row>
    <row r="3178" spans="1:19" x14ac:dyDescent="0.35">
      <c r="A3178" s="5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6"/>
      <c r="P3178" s="23" t="e">
        <f>TRIM(Tabla1[[#This Row],[Articulo]])</f>
        <v>#VALUE!</v>
      </c>
      <c r="Q3178" s="23" t="e">
        <f>_xlfn.XLOOKUP(Tabla1[[#This Row],[Ean Normalizado]],Consumos!A:A,Consumos!E:E)</f>
        <v>#VALUE!</v>
      </c>
      <c r="R3178" s="38" t="e">
        <f>_xlfn.XLOOKUP(Tabla1[[#This Row],[Ean Normalizado]],tabla_consumos[EAN],tabla_consumos[UM])</f>
        <v>#VALUE!</v>
      </c>
      <c r="S3178" s="38" t="e">
        <f>Tabla1[[#This Row],[StockDisp]]*Tabla1[[#This Row],[UM producto]]</f>
        <v>#VALUE!</v>
      </c>
    </row>
    <row r="3179" spans="1:19" x14ac:dyDescent="0.35">
      <c r="A3179" s="5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6"/>
      <c r="P3179" s="23" t="e">
        <f>TRIM(Tabla1[[#This Row],[Articulo]])</f>
        <v>#VALUE!</v>
      </c>
      <c r="Q3179" s="23" t="e">
        <f>_xlfn.XLOOKUP(Tabla1[[#This Row],[Ean Normalizado]],Consumos!A:A,Consumos!E:E)</f>
        <v>#VALUE!</v>
      </c>
      <c r="R3179" s="38" t="e">
        <f>_xlfn.XLOOKUP(Tabla1[[#This Row],[Ean Normalizado]],tabla_consumos[EAN],tabla_consumos[UM])</f>
        <v>#VALUE!</v>
      </c>
      <c r="S3179" s="38" t="e">
        <f>Tabla1[[#This Row],[StockDisp]]*Tabla1[[#This Row],[UM producto]]</f>
        <v>#VALUE!</v>
      </c>
    </row>
    <row r="3180" spans="1:19" x14ac:dyDescent="0.35">
      <c r="A3180" s="5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6"/>
      <c r="P3180" s="23" t="e">
        <f>TRIM(Tabla1[[#This Row],[Articulo]])</f>
        <v>#VALUE!</v>
      </c>
      <c r="Q3180" s="23" t="e">
        <f>_xlfn.XLOOKUP(Tabla1[[#This Row],[Ean Normalizado]],Consumos!A:A,Consumos!E:E)</f>
        <v>#VALUE!</v>
      </c>
      <c r="R3180" s="38" t="e">
        <f>_xlfn.XLOOKUP(Tabla1[[#This Row],[Ean Normalizado]],tabla_consumos[EAN],tabla_consumos[UM])</f>
        <v>#VALUE!</v>
      </c>
      <c r="S3180" s="38" t="e">
        <f>Tabla1[[#This Row],[StockDisp]]*Tabla1[[#This Row],[UM producto]]</f>
        <v>#VALUE!</v>
      </c>
    </row>
    <row r="3181" spans="1:19" x14ac:dyDescent="0.35">
      <c r="A3181" s="5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6"/>
      <c r="P3181" s="23" t="e">
        <f>TRIM(Tabla1[[#This Row],[Articulo]])</f>
        <v>#VALUE!</v>
      </c>
      <c r="Q3181" s="23" t="e">
        <f>_xlfn.XLOOKUP(Tabla1[[#This Row],[Ean Normalizado]],Consumos!A:A,Consumos!E:E)</f>
        <v>#VALUE!</v>
      </c>
      <c r="R3181" s="38" t="e">
        <f>_xlfn.XLOOKUP(Tabla1[[#This Row],[Ean Normalizado]],tabla_consumos[EAN],tabla_consumos[UM])</f>
        <v>#VALUE!</v>
      </c>
      <c r="S3181" s="38" t="e">
        <f>Tabla1[[#This Row],[StockDisp]]*Tabla1[[#This Row],[UM producto]]</f>
        <v>#VALUE!</v>
      </c>
    </row>
    <row r="3182" spans="1:19" x14ac:dyDescent="0.35">
      <c r="A3182" s="5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6"/>
      <c r="P3182" s="23" t="e">
        <f>TRIM(Tabla1[[#This Row],[Articulo]])</f>
        <v>#VALUE!</v>
      </c>
      <c r="Q3182" s="23" t="e">
        <f>_xlfn.XLOOKUP(Tabla1[[#This Row],[Ean Normalizado]],Consumos!A:A,Consumos!E:E)</f>
        <v>#VALUE!</v>
      </c>
      <c r="R3182" s="38" t="e">
        <f>_xlfn.XLOOKUP(Tabla1[[#This Row],[Ean Normalizado]],tabla_consumos[EAN],tabla_consumos[UM])</f>
        <v>#VALUE!</v>
      </c>
      <c r="S3182" s="38" t="e">
        <f>Tabla1[[#This Row],[StockDisp]]*Tabla1[[#This Row],[UM producto]]</f>
        <v>#VALUE!</v>
      </c>
    </row>
    <row r="3183" spans="1:19" x14ac:dyDescent="0.35">
      <c r="A3183" s="5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6"/>
      <c r="P3183" s="23" t="e">
        <f>TRIM(Tabla1[[#This Row],[Articulo]])</f>
        <v>#VALUE!</v>
      </c>
      <c r="Q3183" s="23" t="e">
        <f>_xlfn.XLOOKUP(Tabla1[[#This Row],[Ean Normalizado]],Consumos!A:A,Consumos!E:E)</f>
        <v>#VALUE!</v>
      </c>
      <c r="R3183" s="38" t="e">
        <f>_xlfn.XLOOKUP(Tabla1[[#This Row],[Ean Normalizado]],tabla_consumos[EAN],tabla_consumos[UM])</f>
        <v>#VALUE!</v>
      </c>
      <c r="S3183" s="38" t="e">
        <f>Tabla1[[#This Row],[StockDisp]]*Tabla1[[#This Row],[UM producto]]</f>
        <v>#VALUE!</v>
      </c>
    </row>
    <row r="3184" spans="1:19" x14ac:dyDescent="0.35">
      <c r="A3184" s="5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6"/>
      <c r="P3184" s="23" t="e">
        <f>TRIM(Tabla1[[#This Row],[Articulo]])</f>
        <v>#VALUE!</v>
      </c>
      <c r="Q3184" s="23" t="e">
        <f>_xlfn.XLOOKUP(Tabla1[[#This Row],[Ean Normalizado]],Consumos!A:A,Consumos!E:E)</f>
        <v>#VALUE!</v>
      </c>
      <c r="R3184" s="38" t="e">
        <f>_xlfn.XLOOKUP(Tabla1[[#This Row],[Ean Normalizado]],tabla_consumos[EAN],tabla_consumos[UM])</f>
        <v>#VALUE!</v>
      </c>
      <c r="S3184" s="38" t="e">
        <f>Tabla1[[#This Row],[StockDisp]]*Tabla1[[#This Row],[UM producto]]</f>
        <v>#VALUE!</v>
      </c>
    </row>
    <row r="3185" spans="1:19" x14ac:dyDescent="0.35">
      <c r="A3185" s="5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6"/>
      <c r="P3185" s="23" t="e">
        <f>TRIM(Tabla1[[#This Row],[Articulo]])</f>
        <v>#VALUE!</v>
      </c>
      <c r="Q3185" s="23" t="e">
        <f>_xlfn.XLOOKUP(Tabla1[[#This Row],[Ean Normalizado]],Consumos!A:A,Consumos!E:E)</f>
        <v>#VALUE!</v>
      </c>
      <c r="R3185" s="38" t="e">
        <f>_xlfn.XLOOKUP(Tabla1[[#This Row],[Ean Normalizado]],tabla_consumos[EAN],tabla_consumos[UM])</f>
        <v>#VALUE!</v>
      </c>
      <c r="S3185" s="38" t="e">
        <f>Tabla1[[#This Row],[StockDisp]]*Tabla1[[#This Row],[UM producto]]</f>
        <v>#VALUE!</v>
      </c>
    </row>
    <row r="3186" spans="1:19" x14ac:dyDescent="0.35">
      <c r="A3186" s="5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6"/>
      <c r="P3186" s="23" t="e">
        <f>TRIM(Tabla1[[#This Row],[Articulo]])</f>
        <v>#VALUE!</v>
      </c>
      <c r="Q3186" s="23" t="e">
        <f>_xlfn.XLOOKUP(Tabla1[[#This Row],[Ean Normalizado]],Consumos!A:A,Consumos!E:E)</f>
        <v>#VALUE!</v>
      </c>
      <c r="R3186" s="38" t="e">
        <f>_xlfn.XLOOKUP(Tabla1[[#This Row],[Ean Normalizado]],tabla_consumos[EAN],tabla_consumos[UM])</f>
        <v>#VALUE!</v>
      </c>
      <c r="S3186" s="38" t="e">
        <f>Tabla1[[#This Row],[StockDisp]]*Tabla1[[#This Row],[UM producto]]</f>
        <v>#VALUE!</v>
      </c>
    </row>
    <row r="3187" spans="1:19" x14ac:dyDescent="0.35">
      <c r="A3187" s="5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6"/>
      <c r="P3187" s="23" t="e">
        <f>TRIM(Tabla1[[#This Row],[Articulo]])</f>
        <v>#VALUE!</v>
      </c>
      <c r="Q3187" s="23" t="e">
        <f>_xlfn.XLOOKUP(Tabla1[[#This Row],[Ean Normalizado]],Consumos!A:A,Consumos!E:E)</f>
        <v>#VALUE!</v>
      </c>
      <c r="R3187" s="38" t="e">
        <f>_xlfn.XLOOKUP(Tabla1[[#This Row],[Ean Normalizado]],tabla_consumos[EAN],tabla_consumos[UM])</f>
        <v>#VALUE!</v>
      </c>
      <c r="S3187" s="38" t="e">
        <f>Tabla1[[#This Row],[StockDisp]]*Tabla1[[#This Row],[UM producto]]</f>
        <v>#VALUE!</v>
      </c>
    </row>
    <row r="3188" spans="1:19" x14ac:dyDescent="0.35">
      <c r="A3188" s="5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6"/>
      <c r="P3188" s="23" t="e">
        <f>TRIM(Tabla1[[#This Row],[Articulo]])</f>
        <v>#VALUE!</v>
      </c>
      <c r="Q3188" s="23" t="e">
        <f>_xlfn.XLOOKUP(Tabla1[[#This Row],[Ean Normalizado]],Consumos!A:A,Consumos!E:E)</f>
        <v>#VALUE!</v>
      </c>
      <c r="R3188" s="38" t="e">
        <f>_xlfn.XLOOKUP(Tabla1[[#This Row],[Ean Normalizado]],tabla_consumos[EAN],tabla_consumos[UM])</f>
        <v>#VALUE!</v>
      </c>
      <c r="S3188" s="38" t="e">
        <f>Tabla1[[#This Row],[StockDisp]]*Tabla1[[#This Row],[UM producto]]</f>
        <v>#VALUE!</v>
      </c>
    </row>
    <row r="3189" spans="1:19" x14ac:dyDescent="0.35">
      <c r="A3189" s="5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6"/>
      <c r="P3189" s="23" t="e">
        <f>TRIM(Tabla1[[#This Row],[Articulo]])</f>
        <v>#VALUE!</v>
      </c>
      <c r="Q3189" s="23" t="e">
        <f>_xlfn.XLOOKUP(Tabla1[[#This Row],[Ean Normalizado]],Consumos!A:A,Consumos!E:E)</f>
        <v>#VALUE!</v>
      </c>
      <c r="R3189" s="38" t="e">
        <f>_xlfn.XLOOKUP(Tabla1[[#This Row],[Ean Normalizado]],tabla_consumos[EAN],tabla_consumos[UM])</f>
        <v>#VALUE!</v>
      </c>
      <c r="S3189" s="38" t="e">
        <f>Tabla1[[#This Row],[StockDisp]]*Tabla1[[#This Row],[UM producto]]</f>
        <v>#VALUE!</v>
      </c>
    </row>
    <row r="3190" spans="1:19" x14ac:dyDescent="0.35">
      <c r="A3190" s="5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6"/>
      <c r="P3190" s="23" t="e">
        <f>TRIM(Tabla1[[#This Row],[Articulo]])</f>
        <v>#VALUE!</v>
      </c>
      <c r="Q3190" s="23" t="e">
        <f>_xlfn.XLOOKUP(Tabla1[[#This Row],[Ean Normalizado]],Consumos!A:A,Consumos!E:E)</f>
        <v>#VALUE!</v>
      </c>
      <c r="R3190" s="38" t="e">
        <f>_xlfn.XLOOKUP(Tabla1[[#This Row],[Ean Normalizado]],tabla_consumos[EAN],tabla_consumos[UM])</f>
        <v>#VALUE!</v>
      </c>
      <c r="S3190" s="38" t="e">
        <f>Tabla1[[#This Row],[StockDisp]]*Tabla1[[#This Row],[UM producto]]</f>
        <v>#VALUE!</v>
      </c>
    </row>
    <row r="3191" spans="1:19" x14ac:dyDescent="0.35">
      <c r="A3191" s="5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6"/>
      <c r="P3191" s="23" t="e">
        <f>TRIM(Tabla1[[#This Row],[Articulo]])</f>
        <v>#VALUE!</v>
      </c>
      <c r="Q3191" s="23" t="e">
        <f>_xlfn.XLOOKUP(Tabla1[[#This Row],[Ean Normalizado]],Consumos!A:A,Consumos!E:E)</f>
        <v>#VALUE!</v>
      </c>
      <c r="R3191" s="38" t="e">
        <f>_xlfn.XLOOKUP(Tabla1[[#This Row],[Ean Normalizado]],tabla_consumos[EAN],tabla_consumos[UM])</f>
        <v>#VALUE!</v>
      </c>
      <c r="S3191" s="38" t="e">
        <f>Tabla1[[#This Row],[StockDisp]]*Tabla1[[#This Row],[UM producto]]</f>
        <v>#VALUE!</v>
      </c>
    </row>
    <row r="3192" spans="1:19" x14ac:dyDescent="0.35">
      <c r="A3192" s="5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6"/>
      <c r="P3192" s="23" t="e">
        <f>TRIM(Tabla1[[#This Row],[Articulo]])</f>
        <v>#VALUE!</v>
      </c>
      <c r="Q3192" s="23" t="e">
        <f>_xlfn.XLOOKUP(Tabla1[[#This Row],[Ean Normalizado]],Consumos!A:A,Consumos!E:E)</f>
        <v>#VALUE!</v>
      </c>
      <c r="R3192" s="38" t="e">
        <f>_xlfn.XLOOKUP(Tabla1[[#This Row],[Ean Normalizado]],tabla_consumos[EAN],tabla_consumos[UM])</f>
        <v>#VALUE!</v>
      </c>
      <c r="S3192" s="38" t="e">
        <f>Tabla1[[#This Row],[StockDisp]]*Tabla1[[#This Row],[UM producto]]</f>
        <v>#VALUE!</v>
      </c>
    </row>
    <row r="3193" spans="1:19" x14ac:dyDescent="0.35">
      <c r="A3193" s="5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6"/>
      <c r="P3193" s="23" t="e">
        <f>TRIM(Tabla1[[#This Row],[Articulo]])</f>
        <v>#VALUE!</v>
      </c>
      <c r="Q3193" s="23" t="e">
        <f>_xlfn.XLOOKUP(Tabla1[[#This Row],[Ean Normalizado]],Consumos!A:A,Consumos!E:E)</f>
        <v>#VALUE!</v>
      </c>
      <c r="R3193" s="38" t="e">
        <f>_xlfn.XLOOKUP(Tabla1[[#This Row],[Ean Normalizado]],tabla_consumos[EAN],tabla_consumos[UM])</f>
        <v>#VALUE!</v>
      </c>
      <c r="S3193" s="38" t="e">
        <f>Tabla1[[#This Row],[StockDisp]]*Tabla1[[#This Row],[UM producto]]</f>
        <v>#VALUE!</v>
      </c>
    </row>
    <row r="3194" spans="1:19" x14ac:dyDescent="0.35">
      <c r="A3194" s="5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6"/>
      <c r="P3194" s="23" t="e">
        <f>TRIM(Tabla1[[#This Row],[Articulo]])</f>
        <v>#VALUE!</v>
      </c>
      <c r="Q3194" s="23" t="e">
        <f>_xlfn.XLOOKUP(Tabla1[[#This Row],[Ean Normalizado]],Consumos!A:A,Consumos!E:E)</f>
        <v>#VALUE!</v>
      </c>
      <c r="R3194" s="38" t="e">
        <f>_xlfn.XLOOKUP(Tabla1[[#This Row],[Ean Normalizado]],tabla_consumos[EAN],tabla_consumos[UM])</f>
        <v>#VALUE!</v>
      </c>
      <c r="S3194" s="38" t="e">
        <f>Tabla1[[#This Row],[StockDisp]]*Tabla1[[#This Row],[UM producto]]</f>
        <v>#VALUE!</v>
      </c>
    </row>
    <row r="3195" spans="1:19" x14ac:dyDescent="0.35">
      <c r="A3195" s="5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6"/>
      <c r="P3195" s="23" t="e">
        <f>TRIM(Tabla1[[#This Row],[Articulo]])</f>
        <v>#VALUE!</v>
      </c>
      <c r="Q3195" s="23" t="e">
        <f>_xlfn.XLOOKUP(Tabla1[[#This Row],[Ean Normalizado]],Consumos!A:A,Consumos!E:E)</f>
        <v>#VALUE!</v>
      </c>
      <c r="R3195" s="38" t="e">
        <f>_xlfn.XLOOKUP(Tabla1[[#This Row],[Ean Normalizado]],tabla_consumos[EAN],tabla_consumos[UM])</f>
        <v>#VALUE!</v>
      </c>
      <c r="S3195" s="38" t="e">
        <f>Tabla1[[#This Row],[StockDisp]]*Tabla1[[#This Row],[UM producto]]</f>
        <v>#VALUE!</v>
      </c>
    </row>
    <row r="3196" spans="1:19" x14ac:dyDescent="0.35">
      <c r="A3196" s="5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6"/>
      <c r="P3196" s="23" t="e">
        <f>TRIM(Tabla1[[#This Row],[Articulo]])</f>
        <v>#VALUE!</v>
      </c>
      <c r="Q3196" s="23" t="e">
        <f>_xlfn.XLOOKUP(Tabla1[[#This Row],[Ean Normalizado]],Consumos!A:A,Consumos!E:E)</f>
        <v>#VALUE!</v>
      </c>
      <c r="R3196" s="38" t="e">
        <f>_xlfn.XLOOKUP(Tabla1[[#This Row],[Ean Normalizado]],tabla_consumos[EAN],tabla_consumos[UM])</f>
        <v>#VALUE!</v>
      </c>
      <c r="S3196" s="38" t="e">
        <f>Tabla1[[#This Row],[StockDisp]]*Tabla1[[#This Row],[UM producto]]</f>
        <v>#VALUE!</v>
      </c>
    </row>
    <row r="3197" spans="1:19" x14ac:dyDescent="0.35">
      <c r="A3197" s="5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6"/>
      <c r="P3197" s="23" t="e">
        <f>TRIM(Tabla1[[#This Row],[Articulo]])</f>
        <v>#VALUE!</v>
      </c>
      <c r="Q3197" s="23" t="e">
        <f>_xlfn.XLOOKUP(Tabla1[[#This Row],[Ean Normalizado]],Consumos!A:A,Consumos!E:E)</f>
        <v>#VALUE!</v>
      </c>
      <c r="R3197" s="38" t="e">
        <f>_xlfn.XLOOKUP(Tabla1[[#This Row],[Ean Normalizado]],tabla_consumos[EAN],tabla_consumos[UM])</f>
        <v>#VALUE!</v>
      </c>
      <c r="S3197" s="38" t="e">
        <f>Tabla1[[#This Row],[StockDisp]]*Tabla1[[#This Row],[UM producto]]</f>
        <v>#VALUE!</v>
      </c>
    </row>
    <row r="3198" spans="1:19" x14ac:dyDescent="0.35">
      <c r="A3198" s="5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6"/>
      <c r="P3198" s="23" t="e">
        <f>TRIM(Tabla1[[#This Row],[Articulo]])</f>
        <v>#VALUE!</v>
      </c>
      <c r="Q3198" s="23" t="e">
        <f>_xlfn.XLOOKUP(Tabla1[[#This Row],[Ean Normalizado]],Consumos!A:A,Consumos!E:E)</f>
        <v>#VALUE!</v>
      </c>
      <c r="R3198" s="38" t="e">
        <f>_xlfn.XLOOKUP(Tabla1[[#This Row],[Ean Normalizado]],tabla_consumos[EAN],tabla_consumos[UM])</f>
        <v>#VALUE!</v>
      </c>
      <c r="S3198" s="38" t="e">
        <f>Tabla1[[#This Row],[StockDisp]]*Tabla1[[#This Row],[UM producto]]</f>
        <v>#VALUE!</v>
      </c>
    </row>
    <row r="3199" spans="1:19" x14ac:dyDescent="0.35">
      <c r="A3199" s="5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6"/>
      <c r="P3199" s="23" t="e">
        <f>TRIM(Tabla1[[#This Row],[Articulo]])</f>
        <v>#VALUE!</v>
      </c>
      <c r="Q3199" s="23" t="e">
        <f>_xlfn.XLOOKUP(Tabla1[[#This Row],[Ean Normalizado]],Consumos!A:A,Consumos!E:E)</f>
        <v>#VALUE!</v>
      </c>
      <c r="R3199" s="38" t="e">
        <f>_xlfn.XLOOKUP(Tabla1[[#This Row],[Ean Normalizado]],tabla_consumos[EAN],tabla_consumos[UM])</f>
        <v>#VALUE!</v>
      </c>
      <c r="S3199" s="38" t="e">
        <f>Tabla1[[#This Row],[StockDisp]]*Tabla1[[#This Row],[UM producto]]</f>
        <v>#VALUE!</v>
      </c>
    </row>
    <row r="3200" spans="1:19" x14ac:dyDescent="0.35">
      <c r="A3200" s="5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6"/>
      <c r="P3200" s="23" t="e">
        <f>TRIM(Tabla1[[#This Row],[Articulo]])</f>
        <v>#VALUE!</v>
      </c>
      <c r="Q3200" s="23" t="e">
        <f>_xlfn.XLOOKUP(Tabla1[[#This Row],[Ean Normalizado]],Consumos!A:A,Consumos!E:E)</f>
        <v>#VALUE!</v>
      </c>
      <c r="R3200" s="38" t="e">
        <f>_xlfn.XLOOKUP(Tabla1[[#This Row],[Ean Normalizado]],tabla_consumos[EAN],tabla_consumos[UM])</f>
        <v>#VALUE!</v>
      </c>
      <c r="S3200" s="38" t="e">
        <f>Tabla1[[#This Row],[StockDisp]]*Tabla1[[#This Row],[UM producto]]</f>
        <v>#VALUE!</v>
      </c>
    </row>
    <row r="3201" spans="1:19" x14ac:dyDescent="0.35">
      <c r="A3201" s="5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6"/>
      <c r="P3201" s="23" t="e">
        <f>TRIM(Tabla1[[#This Row],[Articulo]])</f>
        <v>#VALUE!</v>
      </c>
      <c r="Q3201" s="23" t="e">
        <f>_xlfn.XLOOKUP(Tabla1[[#This Row],[Ean Normalizado]],Consumos!A:A,Consumos!E:E)</f>
        <v>#VALUE!</v>
      </c>
      <c r="R3201" s="38" t="e">
        <f>_xlfn.XLOOKUP(Tabla1[[#This Row],[Ean Normalizado]],tabla_consumos[EAN],tabla_consumos[UM])</f>
        <v>#VALUE!</v>
      </c>
      <c r="S3201" s="38" t="e">
        <f>Tabla1[[#This Row],[StockDisp]]*Tabla1[[#This Row],[UM producto]]</f>
        <v>#VALUE!</v>
      </c>
    </row>
    <row r="3202" spans="1:19" x14ac:dyDescent="0.35">
      <c r="A3202" s="5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6"/>
      <c r="P3202" s="23" t="e">
        <f>TRIM(Tabla1[[#This Row],[Articulo]])</f>
        <v>#VALUE!</v>
      </c>
      <c r="Q3202" s="23" t="e">
        <f>_xlfn.XLOOKUP(Tabla1[[#This Row],[Ean Normalizado]],Consumos!A:A,Consumos!E:E)</f>
        <v>#VALUE!</v>
      </c>
      <c r="R3202" s="38" t="e">
        <f>_xlfn.XLOOKUP(Tabla1[[#This Row],[Ean Normalizado]],tabla_consumos[EAN],tabla_consumos[UM])</f>
        <v>#VALUE!</v>
      </c>
      <c r="S3202" s="38" t="e">
        <f>Tabla1[[#This Row],[StockDisp]]*Tabla1[[#This Row],[UM producto]]</f>
        <v>#VALUE!</v>
      </c>
    </row>
    <row r="3203" spans="1:19" x14ac:dyDescent="0.35">
      <c r="A3203" s="5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6"/>
      <c r="P3203" s="23" t="e">
        <f>TRIM(Tabla1[[#This Row],[Articulo]])</f>
        <v>#VALUE!</v>
      </c>
      <c r="Q3203" s="23" t="e">
        <f>_xlfn.XLOOKUP(Tabla1[[#This Row],[Ean Normalizado]],Consumos!A:A,Consumos!E:E)</f>
        <v>#VALUE!</v>
      </c>
      <c r="R3203" s="38" t="e">
        <f>_xlfn.XLOOKUP(Tabla1[[#This Row],[Ean Normalizado]],tabla_consumos[EAN],tabla_consumos[UM])</f>
        <v>#VALUE!</v>
      </c>
      <c r="S3203" s="38" t="e">
        <f>Tabla1[[#This Row],[StockDisp]]*Tabla1[[#This Row],[UM producto]]</f>
        <v>#VALUE!</v>
      </c>
    </row>
    <row r="3204" spans="1:19" x14ac:dyDescent="0.35">
      <c r="A3204" s="5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6"/>
      <c r="P3204" s="23" t="e">
        <f>TRIM(Tabla1[[#This Row],[Articulo]])</f>
        <v>#VALUE!</v>
      </c>
      <c r="Q3204" s="23" t="e">
        <f>_xlfn.XLOOKUP(Tabla1[[#This Row],[Ean Normalizado]],Consumos!A:A,Consumos!E:E)</f>
        <v>#VALUE!</v>
      </c>
      <c r="R3204" s="38" t="e">
        <f>_xlfn.XLOOKUP(Tabla1[[#This Row],[Ean Normalizado]],tabla_consumos[EAN],tabla_consumos[UM])</f>
        <v>#VALUE!</v>
      </c>
      <c r="S3204" s="38" t="e">
        <f>Tabla1[[#This Row],[StockDisp]]*Tabla1[[#This Row],[UM producto]]</f>
        <v>#VALUE!</v>
      </c>
    </row>
    <row r="3205" spans="1:19" x14ac:dyDescent="0.35">
      <c r="A3205" s="5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6"/>
      <c r="P3205" s="23" t="e">
        <f>TRIM(Tabla1[[#This Row],[Articulo]])</f>
        <v>#VALUE!</v>
      </c>
      <c r="Q3205" s="23" t="e">
        <f>_xlfn.XLOOKUP(Tabla1[[#This Row],[Ean Normalizado]],Consumos!A:A,Consumos!E:E)</f>
        <v>#VALUE!</v>
      </c>
      <c r="R3205" s="38" t="e">
        <f>_xlfn.XLOOKUP(Tabla1[[#This Row],[Ean Normalizado]],tabla_consumos[EAN],tabla_consumos[UM])</f>
        <v>#VALUE!</v>
      </c>
      <c r="S3205" s="38" t="e">
        <f>Tabla1[[#This Row],[StockDisp]]*Tabla1[[#This Row],[UM producto]]</f>
        <v>#VALUE!</v>
      </c>
    </row>
    <row r="3206" spans="1:19" x14ac:dyDescent="0.35">
      <c r="A3206" s="5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6"/>
      <c r="P3206" s="23" t="e">
        <f>TRIM(Tabla1[[#This Row],[Articulo]])</f>
        <v>#VALUE!</v>
      </c>
      <c r="Q3206" s="23" t="e">
        <f>_xlfn.XLOOKUP(Tabla1[[#This Row],[Ean Normalizado]],Consumos!A:A,Consumos!E:E)</f>
        <v>#VALUE!</v>
      </c>
      <c r="R3206" s="38" t="e">
        <f>_xlfn.XLOOKUP(Tabla1[[#This Row],[Ean Normalizado]],tabla_consumos[EAN],tabla_consumos[UM])</f>
        <v>#VALUE!</v>
      </c>
      <c r="S3206" s="38" t="e">
        <f>Tabla1[[#This Row],[StockDisp]]*Tabla1[[#This Row],[UM producto]]</f>
        <v>#VALUE!</v>
      </c>
    </row>
    <row r="3207" spans="1:19" x14ac:dyDescent="0.35">
      <c r="A3207" s="5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6"/>
      <c r="P3207" s="23" t="e">
        <f>TRIM(Tabla1[[#This Row],[Articulo]])</f>
        <v>#VALUE!</v>
      </c>
      <c r="Q3207" s="23" t="e">
        <f>_xlfn.XLOOKUP(Tabla1[[#This Row],[Ean Normalizado]],Consumos!A:A,Consumos!E:E)</f>
        <v>#VALUE!</v>
      </c>
      <c r="R3207" s="38" t="e">
        <f>_xlfn.XLOOKUP(Tabla1[[#This Row],[Ean Normalizado]],tabla_consumos[EAN],tabla_consumos[UM])</f>
        <v>#VALUE!</v>
      </c>
      <c r="S3207" s="38" t="e">
        <f>Tabla1[[#This Row],[StockDisp]]*Tabla1[[#This Row],[UM producto]]</f>
        <v>#VALUE!</v>
      </c>
    </row>
    <row r="3208" spans="1:19" x14ac:dyDescent="0.35">
      <c r="A3208" s="5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6"/>
      <c r="P3208" s="23" t="e">
        <f>TRIM(Tabla1[[#This Row],[Articulo]])</f>
        <v>#VALUE!</v>
      </c>
      <c r="Q3208" s="23" t="e">
        <f>_xlfn.XLOOKUP(Tabla1[[#This Row],[Ean Normalizado]],Consumos!A:A,Consumos!E:E)</f>
        <v>#VALUE!</v>
      </c>
      <c r="R3208" s="38" t="e">
        <f>_xlfn.XLOOKUP(Tabla1[[#This Row],[Ean Normalizado]],tabla_consumos[EAN],tabla_consumos[UM])</f>
        <v>#VALUE!</v>
      </c>
      <c r="S3208" s="38" t="e">
        <f>Tabla1[[#This Row],[StockDisp]]*Tabla1[[#This Row],[UM producto]]</f>
        <v>#VALUE!</v>
      </c>
    </row>
    <row r="3209" spans="1:19" x14ac:dyDescent="0.35">
      <c r="A3209" s="5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6"/>
      <c r="P3209" s="23" t="e">
        <f>TRIM(Tabla1[[#This Row],[Articulo]])</f>
        <v>#VALUE!</v>
      </c>
      <c r="Q3209" s="23" t="e">
        <f>_xlfn.XLOOKUP(Tabla1[[#This Row],[Ean Normalizado]],Consumos!A:A,Consumos!E:E)</f>
        <v>#VALUE!</v>
      </c>
      <c r="R3209" s="38" t="e">
        <f>_xlfn.XLOOKUP(Tabla1[[#This Row],[Ean Normalizado]],tabla_consumos[EAN],tabla_consumos[UM])</f>
        <v>#VALUE!</v>
      </c>
      <c r="S3209" s="38" t="e">
        <f>Tabla1[[#This Row],[StockDisp]]*Tabla1[[#This Row],[UM producto]]</f>
        <v>#VALUE!</v>
      </c>
    </row>
    <row r="3210" spans="1:19" x14ac:dyDescent="0.35">
      <c r="A3210" s="5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6"/>
      <c r="P3210" s="23" t="e">
        <f>TRIM(Tabla1[[#This Row],[Articulo]])</f>
        <v>#VALUE!</v>
      </c>
      <c r="Q3210" s="23" t="e">
        <f>_xlfn.XLOOKUP(Tabla1[[#This Row],[Ean Normalizado]],Consumos!A:A,Consumos!E:E)</f>
        <v>#VALUE!</v>
      </c>
      <c r="R3210" s="38" t="e">
        <f>_xlfn.XLOOKUP(Tabla1[[#This Row],[Ean Normalizado]],tabla_consumos[EAN],tabla_consumos[UM])</f>
        <v>#VALUE!</v>
      </c>
      <c r="S3210" s="38" t="e">
        <f>Tabla1[[#This Row],[StockDisp]]*Tabla1[[#This Row],[UM producto]]</f>
        <v>#VALUE!</v>
      </c>
    </row>
    <row r="3211" spans="1:19" x14ac:dyDescent="0.35">
      <c r="A3211" s="5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6"/>
      <c r="P3211" s="23" t="e">
        <f>TRIM(Tabla1[[#This Row],[Articulo]])</f>
        <v>#VALUE!</v>
      </c>
      <c r="Q3211" s="23" t="e">
        <f>_xlfn.XLOOKUP(Tabla1[[#This Row],[Ean Normalizado]],Consumos!A:A,Consumos!E:E)</f>
        <v>#VALUE!</v>
      </c>
      <c r="R3211" s="38" t="e">
        <f>_xlfn.XLOOKUP(Tabla1[[#This Row],[Ean Normalizado]],tabla_consumos[EAN],tabla_consumos[UM])</f>
        <v>#VALUE!</v>
      </c>
      <c r="S3211" s="38" t="e">
        <f>Tabla1[[#This Row],[StockDisp]]*Tabla1[[#This Row],[UM producto]]</f>
        <v>#VALUE!</v>
      </c>
    </row>
    <row r="3212" spans="1:19" x14ac:dyDescent="0.35">
      <c r="A3212" s="5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6"/>
      <c r="P3212" s="23" t="e">
        <f>TRIM(Tabla1[[#This Row],[Articulo]])</f>
        <v>#VALUE!</v>
      </c>
      <c r="Q3212" s="23" t="e">
        <f>_xlfn.XLOOKUP(Tabla1[[#This Row],[Ean Normalizado]],Consumos!A:A,Consumos!E:E)</f>
        <v>#VALUE!</v>
      </c>
      <c r="R3212" s="38" t="e">
        <f>_xlfn.XLOOKUP(Tabla1[[#This Row],[Ean Normalizado]],tabla_consumos[EAN],tabla_consumos[UM])</f>
        <v>#VALUE!</v>
      </c>
      <c r="S3212" s="38" t="e">
        <f>Tabla1[[#This Row],[StockDisp]]*Tabla1[[#This Row],[UM producto]]</f>
        <v>#VALUE!</v>
      </c>
    </row>
    <row r="3213" spans="1:19" x14ac:dyDescent="0.35">
      <c r="A3213" s="5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6"/>
      <c r="P3213" s="23" t="e">
        <f>TRIM(Tabla1[[#This Row],[Articulo]])</f>
        <v>#VALUE!</v>
      </c>
      <c r="Q3213" s="23" t="e">
        <f>_xlfn.XLOOKUP(Tabla1[[#This Row],[Ean Normalizado]],Consumos!A:A,Consumos!E:E)</f>
        <v>#VALUE!</v>
      </c>
      <c r="R3213" s="38" t="e">
        <f>_xlfn.XLOOKUP(Tabla1[[#This Row],[Ean Normalizado]],tabla_consumos[EAN],tabla_consumos[UM])</f>
        <v>#VALUE!</v>
      </c>
      <c r="S3213" s="38" t="e">
        <f>Tabla1[[#This Row],[StockDisp]]*Tabla1[[#This Row],[UM producto]]</f>
        <v>#VALUE!</v>
      </c>
    </row>
    <row r="3214" spans="1:19" x14ac:dyDescent="0.35">
      <c r="A3214" s="5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6"/>
      <c r="P3214" s="23" t="e">
        <f>TRIM(Tabla1[[#This Row],[Articulo]])</f>
        <v>#VALUE!</v>
      </c>
      <c r="Q3214" s="23" t="e">
        <f>_xlfn.XLOOKUP(Tabla1[[#This Row],[Ean Normalizado]],Consumos!A:A,Consumos!E:E)</f>
        <v>#VALUE!</v>
      </c>
      <c r="R3214" s="38" t="e">
        <f>_xlfn.XLOOKUP(Tabla1[[#This Row],[Ean Normalizado]],tabla_consumos[EAN],tabla_consumos[UM])</f>
        <v>#VALUE!</v>
      </c>
      <c r="S3214" s="38" t="e">
        <f>Tabla1[[#This Row],[StockDisp]]*Tabla1[[#This Row],[UM producto]]</f>
        <v>#VALUE!</v>
      </c>
    </row>
    <row r="3215" spans="1:19" x14ac:dyDescent="0.35">
      <c r="A3215" s="5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6"/>
      <c r="P3215" s="23" t="e">
        <f>TRIM(Tabla1[[#This Row],[Articulo]])</f>
        <v>#VALUE!</v>
      </c>
      <c r="Q3215" s="23" t="e">
        <f>_xlfn.XLOOKUP(Tabla1[[#This Row],[Ean Normalizado]],Consumos!A:A,Consumos!E:E)</f>
        <v>#VALUE!</v>
      </c>
      <c r="R3215" s="38" t="e">
        <f>_xlfn.XLOOKUP(Tabla1[[#This Row],[Ean Normalizado]],tabla_consumos[EAN],tabla_consumos[UM])</f>
        <v>#VALUE!</v>
      </c>
      <c r="S3215" s="38" t="e">
        <f>Tabla1[[#This Row],[StockDisp]]*Tabla1[[#This Row],[UM producto]]</f>
        <v>#VALUE!</v>
      </c>
    </row>
    <row r="3216" spans="1:19" x14ac:dyDescent="0.35">
      <c r="A3216" s="5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6"/>
      <c r="P3216" s="23" t="e">
        <f>TRIM(Tabla1[[#This Row],[Articulo]])</f>
        <v>#VALUE!</v>
      </c>
      <c r="Q3216" s="23" t="e">
        <f>_xlfn.XLOOKUP(Tabla1[[#This Row],[Ean Normalizado]],Consumos!A:A,Consumos!E:E)</f>
        <v>#VALUE!</v>
      </c>
      <c r="R3216" s="38" t="e">
        <f>_xlfn.XLOOKUP(Tabla1[[#This Row],[Ean Normalizado]],tabla_consumos[EAN],tabla_consumos[UM])</f>
        <v>#VALUE!</v>
      </c>
      <c r="S3216" s="38" t="e">
        <f>Tabla1[[#This Row],[StockDisp]]*Tabla1[[#This Row],[UM producto]]</f>
        <v>#VALUE!</v>
      </c>
    </row>
    <row r="3217" spans="1:19" x14ac:dyDescent="0.35">
      <c r="A3217" s="5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6"/>
      <c r="P3217" s="23" t="e">
        <f>TRIM(Tabla1[[#This Row],[Articulo]])</f>
        <v>#VALUE!</v>
      </c>
      <c r="Q3217" s="23" t="e">
        <f>_xlfn.XLOOKUP(Tabla1[[#This Row],[Ean Normalizado]],Consumos!A:A,Consumos!E:E)</f>
        <v>#VALUE!</v>
      </c>
      <c r="R3217" s="38" t="e">
        <f>_xlfn.XLOOKUP(Tabla1[[#This Row],[Ean Normalizado]],tabla_consumos[EAN],tabla_consumos[UM])</f>
        <v>#VALUE!</v>
      </c>
      <c r="S3217" s="38" t="e">
        <f>Tabla1[[#This Row],[StockDisp]]*Tabla1[[#This Row],[UM producto]]</f>
        <v>#VALUE!</v>
      </c>
    </row>
    <row r="3218" spans="1:19" x14ac:dyDescent="0.35">
      <c r="A3218" s="5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6"/>
      <c r="P3218" s="23" t="e">
        <f>TRIM(Tabla1[[#This Row],[Articulo]])</f>
        <v>#VALUE!</v>
      </c>
      <c r="Q3218" s="23" t="e">
        <f>_xlfn.XLOOKUP(Tabla1[[#This Row],[Ean Normalizado]],Consumos!A:A,Consumos!E:E)</f>
        <v>#VALUE!</v>
      </c>
      <c r="R3218" s="38" t="e">
        <f>_xlfn.XLOOKUP(Tabla1[[#This Row],[Ean Normalizado]],tabla_consumos[EAN],tabla_consumos[UM])</f>
        <v>#VALUE!</v>
      </c>
      <c r="S3218" s="38" t="e">
        <f>Tabla1[[#This Row],[StockDisp]]*Tabla1[[#This Row],[UM producto]]</f>
        <v>#VALUE!</v>
      </c>
    </row>
    <row r="3219" spans="1:19" x14ac:dyDescent="0.35">
      <c r="A3219" s="5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6"/>
      <c r="P3219" s="23" t="e">
        <f>TRIM(Tabla1[[#This Row],[Articulo]])</f>
        <v>#VALUE!</v>
      </c>
      <c r="Q3219" s="23" t="e">
        <f>_xlfn.XLOOKUP(Tabla1[[#This Row],[Ean Normalizado]],Consumos!A:A,Consumos!E:E)</f>
        <v>#VALUE!</v>
      </c>
      <c r="R3219" s="38" t="e">
        <f>_xlfn.XLOOKUP(Tabla1[[#This Row],[Ean Normalizado]],tabla_consumos[EAN],tabla_consumos[UM])</f>
        <v>#VALUE!</v>
      </c>
      <c r="S3219" s="38" t="e">
        <f>Tabla1[[#This Row],[StockDisp]]*Tabla1[[#This Row],[UM producto]]</f>
        <v>#VALUE!</v>
      </c>
    </row>
    <row r="3220" spans="1:19" x14ac:dyDescent="0.35">
      <c r="A3220" s="5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6"/>
      <c r="P3220" s="23" t="e">
        <f>TRIM(Tabla1[[#This Row],[Articulo]])</f>
        <v>#VALUE!</v>
      </c>
      <c r="Q3220" s="23" t="e">
        <f>_xlfn.XLOOKUP(Tabla1[[#This Row],[Ean Normalizado]],Consumos!A:A,Consumos!E:E)</f>
        <v>#VALUE!</v>
      </c>
      <c r="R3220" s="38" t="e">
        <f>_xlfn.XLOOKUP(Tabla1[[#This Row],[Ean Normalizado]],tabla_consumos[EAN],tabla_consumos[UM])</f>
        <v>#VALUE!</v>
      </c>
      <c r="S3220" s="38" t="e">
        <f>Tabla1[[#This Row],[StockDisp]]*Tabla1[[#This Row],[UM producto]]</f>
        <v>#VALUE!</v>
      </c>
    </row>
    <row r="3221" spans="1:19" x14ac:dyDescent="0.35">
      <c r="A3221" s="5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6"/>
      <c r="P3221" s="23" t="e">
        <f>TRIM(Tabla1[[#This Row],[Articulo]])</f>
        <v>#VALUE!</v>
      </c>
      <c r="Q3221" s="23" t="e">
        <f>_xlfn.XLOOKUP(Tabla1[[#This Row],[Ean Normalizado]],Consumos!A:A,Consumos!E:E)</f>
        <v>#VALUE!</v>
      </c>
      <c r="R3221" s="38" t="e">
        <f>_xlfn.XLOOKUP(Tabla1[[#This Row],[Ean Normalizado]],tabla_consumos[EAN],tabla_consumos[UM])</f>
        <v>#VALUE!</v>
      </c>
      <c r="S3221" s="38" t="e">
        <f>Tabla1[[#This Row],[StockDisp]]*Tabla1[[#This Row],[UM producto]]</f>
        <v>#VALUE!</v>
      </c>
    </row>
    <row r="3222" spans="1:19" x14ac:dyDescent="0.35">
      <c r="A3222" s="5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6"/>
      <c r="P3222" s="23" t="e">
        <f>TRIM(Tabla1[[#This Row],[Articulo]])</f>
        <v>#VALUE!</v>
      </c>
      <c r="Q3222" s="23" t="e">
        <f>_xlfn.XLOOKUP(Tabla1[[#This Row],[Ean Normalizado]],Consumos!A:A,Consumos!E:E)</f>
        <v>#VALUE!</v>
      </c>
      <c r="R3222" s="38" t="e">
        <f>_xlfn.XLOOKUP(Tabla1[[#This Row],[Ean Normalizado]],tabla_consumos[EAN],tabla_consumos[UM])</f>
        <v>#VALUE!</v>
      </c>
      <c r="S3222" s="38" t="e">
        <f>Tabla1[[#This Row],[StockDisp]]*Tabla1[[#This Row],[UM producto]]</f>
        <v>#VALUE!</v>
      </c>
    </row>
    <row r="3223" spans="1:19" x14ac:dyDescent="0.35">
      <c r="A3223" s="5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6"/>
      <c r="P3223" s="23" t="e">
        <f>TRIM(Tabla1[[#This Row],[Articulo]])</f>
        <v>#VALUE!</v>
      </c>
      <c r="Q3223" s="23" t="e">
        <f>_xlfn.XLOOKUP(Tabla1[[#This Row],[Ean Normalizado]],Consumos!A:A,Consumos!E:E)</f>
        <v>#VALUE!</v>
      </c>
      <c r="R3223" s="38" t="e">
        <f>_xlfn.XLOOKUP(Tabla1[[#This Row],[Ean Normalizado]],tabla_consumos[EAN],tabla_consumos[UM])</f>
        <v>#VALUE!</v>
      </c>
      <c r="S3223" s="38" t="e">
        <f>Tabla1[[#This Row],[StockDisp]]*Tabla1[[#This Row],[UM producto]]</f>
        <v>#VALUE!</v>
      </c>
    </row>
    <row r="3224" spans="1:19" x14ac:dyDescent="0.35">
      <c r="A3224" s="5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6"/>
      <c r="P3224" s="23" t="e">
        <f>TRIM(Tabla1[[#This Row],[Articulo]])</f>
        <v>#VALUE!</v>
      </c>
      <c r="Q3224" s="23" t="e">
        <f>_xlfn.XLOOKUP(Tabla1[[#This Row],[Ean Normalizado]],Consumos!A:A,Consumos!E:E)</f>
        <v>#VALUE!</v>
      </c>
      <c r="R3224" s="38" t="e">
        <f>_xlfn.XLOOKUP(Tabla1[[#This Row],[Ean Normalizado]],tabla_consumos[EAN],tabla_consumos[UM])</f>
        <v>#VALUE!</v>
      </c>
      <c r="S3224" s="38" t="e">
        <f>Tabla1[[#This Row],[StockDisp]]*Tabla1[[#This Row],[UM producto]]</f>
        <v>#VALUE!</v>
      </c>
    </row>
    <row r="3225" spans="1:19" x14ac:dyDescent="0.35">
      <c r="A3225" s="5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6"/>
      <c r="P3225" s="23" t="e">
        <f>TRIM(Tabla1[[#This Row],[Articulo]])</f>
        <v>#VALUE!</v>
      </c>
      <c r="Q3225" s="23" t="e">
        <f>_xlfn.XLOOKUP(Tabla1[[#This Row],[Ean Normalizado]],Consumos!A:A,Consumos!E:E)</f>
        <v>#VALUE!</v>
      </c>
      <c r="R3225" s="38" t="e">
        <f>_xlfn.XLOOKUP(Tabla1[[#This Row],[Ean Normalizado]],tabla_consumos[EAN],tabla_consumos[UM])</f>
        <v>#VALUE!</v>
      </c>
      <c r="S3225" s="38" t="e">
        <f>Tabla1[[#This Row],[StockDisp]]*Tabla1[[#This Row],[UM producto]]</f>
        <v>#VALUE!</v>
      </c>
    </row>
    <row r="3226" spans="1:19" x14ac:dyDescent="0.35">
      <c r="A3226" s="5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6"/>
      <c r="P3226" s="23" t="e">
        <f>TRIM(Tabla1[[#This Row],[Articulo]])</f>
        <v>#VALUE!</v>
      </c>
      <c r="Q3226" s="23" t="e">
        <f>_xlfn.XLOOKUP(Tabla1[[#This Row],[Ean Normalizado]],Consumos!A:A,Consumos!E:E)</f>
        <v>#VALUE!</v>
      </c>
      <c r="R3226" s="38" t="e">
        <f>_xlfn.XLOOKUP(Tabla1[[#This Row],[Ean Normalizado]],tabla_consumos[EAN],tabla_consumos[UM])</f>
        <v>#VALUE!</v>
      </c>
      <c r="S3226" s="38" t="e">
        <f>Tabla1[[#This Row],[StockDisp]]*Tabla1[[#This Row],[UM producto]]</f>
        <v>#VALUE!</v>
      </c>
    </row>
    <row r="3227" spans="1:19" x14ac:dyDescent="0.35">
      <c r="A3227" s="5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6"/>
      <c r="P3227" s="23" t="e">
        <f>TRIM(Tabla1[[#This Row],[Articulo]])</f>
        <v>#VALUE!</v>
      </c>
      <c r="Q3227" s="23" t="e">
        <f>_xlfn.XLOOKUP(Tabla1[[#This Row],[Ean Normalizado]],Consumos!A:A,Consumos!E:E)</f>
        <v>#VALUE!</v>
      </c>
      <c r="R3227" s="38" t="e">
        <f>_xlfn.XLOOKUP(Tabla1[[#This Row],[Ean Normalizado]],tabla_consumos[EAN],tabla_consumos[UM])</f>
        <v>#VALUE!</v>
      </c>
      <c r="S3227" s="38" t="e">
        <f>Tabla1[[#This Row],[StockDisp]]*Tabla1[[#This Row],[UM producto]]</f>
        <v>#VALUE!</v>
      </c>
    </row>
    <row r="3228" spans="1:19" x14ac:dyDescent="0.35">
      <c r="A3228" s="5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6"/>
      <c r="P3228" s="23" t="e">
        <f>TRIM(Tabla1[[#This Row],[Articulo]])</f>
        <v>#VALUE!</v>
      </c>
      <c r="Q3228" s="23" t="e">
        <f>_xlfn.XLOOKUP(Tabla1[[#This Row],[Ean Normalizado]],Consumos!A:A,Consumos!E:E)</f>
        <v>#VALUE!</v>
      </c>
      <c r="R3228" s="38" t="e">
        <f>_xlfn.XLOOKUP(Tabla1[[#This Row],[Ean Normalizado]],tabla_consumos[EAN],tabla_consumos[UM])</f>
        <v>#VALUE!</v>
      </c>
      <c r="S3228" s="38" t="e">
        <f>Tabla1[[#This Row],[StockDisp]]*Tabla1[[#This Row],[UM producto]]</f>
        <v>#VALUE!</v>
      </c>
    </row>
    <row r="3229" spans="1:19" x14ac:dyDescent="0.35">
      <c r="A3229" s="5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6"/>
      <c r="P3229" s="23" t="e">
        <f>TRIM(Tabla1[[#This Row],[Articulo]])</f>
        <v>#VALUE!</v>
      </c>
      <c r="Q3229" s="23" t="e">
        <f>_xlfn.XLOOKUP(Tabla1[[#This Row],[Ean Normalizado]],Consumos!A:A,Consumos!E:E)</f>
        <v>#VALUE!</v>
      </c>
      <c r="R3229" s="38" t="e">
        <f>_xlfn.XLOOKUP(Tabla1[[#This Row],[Ean Normalizado]],tabla_consumos[EAN],tabla_consumos[UM])</f>
        <v>#VALUE!</v>
      </c>
      <c r="S3229" s="38" t="e">
        <f>Tabla1[[#This Row],[StockDisp]]*Tabla1[[#This Row],[UM producto]]</f>
        <v>#VALUE!</v>
      </c>
    </row>
    <row r="3230" spans="1:19" x14ac:dyDescent="0.35">
      <c r="A3230" s="5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6"/>
      <c r="P3230" s="23" t="e">
        <f>TRIM(Tabla1[[#This Row],[Articulo]])</f>
        <v>#VALUE!</v>
      </c>
      <c r="Q3230" s="23" t="e">
        <f>_xlfn.XLOOKUP(Tabla1[[#This Row],[Ean Normalizado]],Consumos!A:A,Consumos!E:E)</f>
        <v>#VALUE!</v>
      </c>
      <c r="R3230" s="38" t="e">
        <f>_xlfn.XLOOKUP(Tabla1[[#This Row],[Ean Normalizado]],tabla_consumos[EAN],tabla_consumos[UM])</f>
        <v>#VALUE!</v>
      </c>
      <c r="S3230" s="38" t="e">
        <f>Tabla1[[#This Row],[StockDisp]]*Tabla1[[#This Row],[UM producto]]</f>
        <v>#VALUE!</v>
      </c>
    </row>
    <row r="3231" spans="1:19" x14ac:dyDescent="0.35">
      <c r="A3231" s="5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6"/>
      <c r="P3231" s="23" t="e">
        <f>TRIM(Tabla1[[#This Row],[Articulo]])</f>
        <v>#VALUE!</v>
      </c>
      <c r="Q3231" s="23" t="e">
        <f>_xlfn.XLOOKUP(Tabla1[[#This Row],[Ean Normalizado]],Consumos!A:A,Consumos!E:E)</f>
        <v>#VALUE!</v>
      </c>
      <c r="R3231" s="38" t="e">
        <f>_xlfn.XLOOKUP(Tabla1[[#This Row],[Ean Normalizado]],tabla_consumos[EAN],tabla_consumos[UM])</f>
        <v>#VALUE!</v>
      </c>
      <c r="S3231" s="38" t="e">
        <f>Tabla1[[#This Row],[StockDisp]]*Tabla1[[#This Row],[UM producto]]</f>
        <v>#VALUE!</v>
      </c>
    </row>
    <row r="3232" spans="1:19" x14ac:dyDescent="0.35">
      <c r="A3232" s="5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6"/>
      <c r="P3232" s="23" t="e">
        <f>TRIM(Tabla1[[#This Row],[Articulo]])</f>
        <v>#VALUE!</v>
      </c>
      <c r="Q3232" s="23" t="e">
        <f>_xlfn.XLOOKUP(Tabla1[[#This Row],[Ean Normalizado]],Consumos!A:A,Consumos!E:E)</f>
        <v>#VALUE!</v>
      </c>
      <c r="R3232" s="38" t="e">
        <f>_xlfn.XLOOKUP(Tabla1[[#This Row],[Ean Normalizado]],tabla_consumos[EAN],tabla_consumos[UM])</f>
        <v>#VALUE!</v>
      </c>
      <c r="S3232" s="38" t="e">
        <f>Tabla1[[#This Row],[StockDisp]]*Tabla1[[#This Row],[UM producto]]</f>
        <v>#VALUE!</v>
      </c>
    </row>
    <row r="3233" spans="1:19" x14ac:dyDescent="0.35">
      <c r="A3233" s="5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6"/>
      <c r="P3233" s="23" t="e">
        <f>TRIM(Tabla1[[#This Row],[Articulo]])</f>
        <v>#VALUE!</v>
      </c>
      <c r="Q3233" s="23" t="e">
        <f>_xlfn.XLOOKUP(Tabla1[[#This Row],[Ean Normalizado]],Consumos!A:A,Consumos!E:E)</f>
        <v>#VALUE!</v>
      </c>
      <c r="R3233" s="38" t="e">
        <f>_xlfn.XLOOKUP(Tabla1[[#This Row],[Ean Normalizado]],tabla_consumos[EAN],tabla_consumos[UM])</f>
        <v>#VALUE!</v>
      </c>
      <c r="S3233" s="38" t="e">
        <f>Tabla1[[#This Row],[StockDisp]]*Tabla1[[#This Row],[UM producto]]</f>
        <v>#VALUE!</v>
      </c>
    </row>
    <row r="3234" spans="1:19" x14ac:dyDescent="0.35">
      <c r="A3234" s="5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6"/>
      <c r="P3234" s="23" t="e">
        <f>TRIM(Tabla1[[#This Row],[Articulo]])</f>
        <v>#VALUE!</v>
      </c>
      <c r="Q3234" s="23" t="e">
        <f>_xlfn.XLOOKUP(Tabla1[[#This Row],[Ean Normalizado]],Consumos!A:A,Consumos!E:E)</f>
        <v>#VALUE!</v>
      </c>
      <c r="R3234" s="38" t="e">
        <f>_xlfn.XLOOKUP(Tabla1[[#This Row],[Ean Normalizado]],tabla_consumos[EAN],tabla_consumos[UM])</f>
        <v>#VALUE!</v>
      </c>
      <c r="S3234" s="38" t="e">
        <f>Tabla1[[#This Row],[StockDisp]]*Tabla1[[#This Row],[UM producto]]</f>
        <v>#VALUE!</v>
      </c>
    </row>
    <row r="3235" spans="1:19" x14ac:dyDescent="0.35">
      <c r="A3235" s="5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6"/>
      <c r="P3235" s="23" t="e">
        <f>TRIM(Tabla1[[#This Row],[Articulo]])</f>
        <v>#VALUE!</v>
      </c>
      <c r="Q3235" s="23" t="e">
        <f>_xlfn.XLOOKUP(Tabla1[[#This Row],[Ean Normalizado]],Consumos!A:A,Consumos!E:E)</f>
        <v>#VALUE!</v>
      </c>
      <c r="R3235" s="38" t="e">
        <f>_xlfn.XLOOKUP(Tabla1[[#This Row],[Ean Normalizado]],tabla_consumos[EAN],tabla_consumos[UM])</f>
        <v>#VALUE!</v>
      </c>
      <c r="S3235" s="38" t="e">
        <f>Tabla1[[#This Row],[StockDisp]]*Tabla1[[#This Row],[UM producto]]</f>
        <v>#VALUE!</v>
      </c>
    </row>
    <row r="3236" spans="1:19" x14ac:dyDescent="0.35">
      <c r="A3236" s="5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6"/>
      <c r="P3236" s="23" t="e">
        <f>TRIM(Tabla1[[#This Row],[Articulo]])</f>
        <v>#VALUE!</v>
      </c>
      <c r="Q3236" s="23" t="e">
        <f>_xlfn.XLOOKUP(Tabla1[[#This Row],[Ean Normalizado]],Consumos!A:A,Consumos!E:E)</f>
        <v>#VALUE!</v>
      </c>
      <c r="R3236" s="38" t="e">
        <f>_xlfn.XLOOKUP(Tabla1[[#This Row],[Ean Normalizado]],tabla_consumos[EAN],tabla_consumos[UM])</f>
        <v>#VALUE!</v>
      </c>
      <c r="S3236" s="38" t="e">
        <f>Tabla1[[#This Row],[StockDisp]]*Tabla1[[#This Row],[UM producto]]</f>
        <v>#VALUE!</v>
      </c>
    </row>
    <row r="3237" spans="1:19" x14ac:dyDescent="0.35">
      <c r="A3237" s="5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6"/>
      <c r="P3237" s="23" t="e">
        <f>TRIM(Tabla1[[#This Row],[Articulo]])</f>
        <v>#VALUE!</v>
      </c>
      <c r="Q3237" s="23" t="e">
        <f>_xlfn.XLOOKUP(Tabla1[[#This Row],[Ean Normalizado]],Consumos!A:A,Consumos!E:E)</f>
        <v>#VALUE!</v>
      </c>
      <c r="R3237" s="38" t="e">
        <f>_xlfn.XLOOKUP(Tabla1[[#This Row],[Ean Normalizado]],tabla_consumos[EAN],tabla_consumos[UM])</f>
        <v>#VALUE!</v>
      </c>
      <c r="S3237" s="38" t="e">
        <f>Tabla1[[#This Row],[StockDisp]]*Tabla1[[#This Row],[UM producto]]</f>
        <v>#VALUE!</v>
      </c>
    </row>
    <row r="3238" spans="1:19" x14ac:dyDescent="0.35">
      <c r="A3238" s="5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6"/>
      <c r="P3238" s="23" t="e">
        <f>TRIM(Tabla1[[#This Row],[Articulo]])</f>
        <v>#VALUE!</v>
      </c>
      <c r="Q3238" s="23" t="e">
        <f>_xlfn.XLOOKUP(Tabla1[[#This Row],[Ean Normalizado]],Consumos!A:A,Consumos!E:E)</f>
        <v>#VALUE!</v>
      </c>
      <c r="R3238" s="38" t="e">
        <f>_xlfn.XLOOKUP(Tabla1[[#This Row],[Ean Normalizado]],tabla_consumos[EAN],tabla_consumos[UM])</f>
        <v>#VALUE!</v>
      </c>
      <c r="S3238" s="38" t="e">
        <f>Tabla1[[#This Row],[StockDisp]]*Tabla1[[#This Row],[UM producto]]</f>
        <v>#VALUE!</v>
      </c>
    </row>
    <row r="3239" spans="1:19" x14ac:dyDescent="0.35">
      <c r="A3239" s="5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6"/>
      <c r="P3239" s="23" t="e">
        <f>TRIM(Tabla1[[#This Row],[Articulo]])</f>
        <v>#VALUE!</v>
      </c>
      <c r="Q3239" s="23" t="e">
        <f>_xlfn.XLOOKUP(Tabla1[[#This Row],[Ean Normalizado]],Consumos!A:A,Consumos!E:E)</f>
        <v>#VALUE!</v>
      </c>
      <c r="R3239" s="38" t="e">
        <f>_xlfn.XLOOKUP(Tabla1[[#This Row],[Ean Normalizado]],tabla_consumos[EAN],tabla_consumos[UM])</f>
        <v>#VALUE!</v>
      </c>
      <c r="S3239" s="38" t="e">
        <f>Tabla1[[#This Row],[StockDisp]]*Tabla1[[#This Row],[UM producto]]</f>
        <v>#VALUE!</v>
      </c>
    </row>
    <row r="3240" spans="1:19" x14ac:dyDescent="0.35">
      <c r="A3240" s="5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6"/>
      <c r="P3240" s="23" t="e">
        <f>TRIM(Tabla1[[#This Row],[Articulo]])</f>
        <v>#VALUE!</v>
      </c>
      <c r="Q3240" s="23" t="e">
        <f>_xlfn.XLOOKUP(Tabla1[[#This Row],[Ean Normalizado]],Consumos!A:A,Consumos!E:E)</f>
        <v>#VALUE!</v>
      </c>
      <c r="R3240" s="38" t="e">
        <f>_xlfn.XLOOKUP(Tabla1[[#This Row],[Ean Normalizado]],tabla_consumos[EAN],tabla_consumos[UM])</f>
        <v>#VALUE!</v>
      </c>
      <c r="S3240" s="38" t="e">
        <f>Tabla1[[#This Row],[StockDisp]]*Tabla1[[#This Row],[UM producto]]</f>
        <v>#VALUE!</v>
      </c>
    </row>
    <row r="3241" spans="1:19" x14ac:dyDescent="0.35">
      <c r="A3241" s="5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6"/>
      <c r="P3241" s="23" t="e">
        <f>TRIM(Tabla1[[#This Row],[Articulo]])</f>
        <v>#VALUE!</v>
      </c>
      <c r="Q3241" s="23" t="e">
        <f>_xlfn.XLOOKUP(Tabla1[[#This Row],[Ean Normalizado]],Consumos!A:A,Consumos!E:E)</f>
        <v>#VALUE!</v>
      </c>
      <c r="R3241" s="38" t="e">
        <f>_xlfn.XLOOKUP(Tabla1[[#This Row],[Ean Normalizado]],tabla_consumos[EAN],tabla_consumos[UM])</f>
        <v>#VALUE!</v>
      </c>
      <c r="S3241" s="38" t="e">
        <f>Tabla1[[#This Row],[StockDisp]]*Tabla1[[#This Row],[UM producto]]</f>
        <v>#VALUE!</v>
      </c>
    </row>
    <row r="3242" spans="1:19" x14ac:dyDescent="0.35">
      <c r="A3242" s="5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6"/>
      <c r="P3242" s="23" t="e">
        <f>TRIM(Tabla1[[#This Row],[Articulo]])</f>
        <v>#VALUE!</v>
      </c>
      <c r="Q3242" s="23" t="e">
        <f>_xlfn.XLOOKUP(Tabla1[[#This Row],[Ean Normalizado]],Consumos!A:A,Consumos!E:E)</f>
        <v>#VALUE!</v>
      </c>
      <c r="R3242" s="38" t="e">
        <f>_xlfn.XLOOKUP(Tabla1[[#This Row],[Ean Normalizado]],tabla_consumos[EAN],tabla_consumos[UM])</f>
        <v>#VALUE!</v>
      </c>
      <c r="S3242" s="38" t="e">
        <f>Tabla1[[#This Row],[StockDisp]]*Tabla1[[#This Row],[UM producto]]</f>
        <v>#VALUE!</v>
      </c>
    </row>
    <row r="3243" spans="1:19" x14ac:dyDescent="0.35">
      <c r="A3243" s="5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6"/>
      <c r="P3243" s="23" t="e">
        <f>TRIM(Tabla1[[#This Row],[Articulo]])</f>
        <v>#VALUE!</v>
      </c>
      <c r="Q3243" s="23" t="e">
        <f>_xlfn.XLOOKUP(Tabla1[[#This Row],[Ean Normalizado]],Consumos!A:A,Consumos!E:E)</f>
        <v>#VALUE!</v>
      </c>
      <c r="R3243" s="38" t="e">
        <f>_xlfn.XLOOKUP(Tabla1[[#This Row],[Ean Normalizado]],tabla_consumos[EAN],tabla_consumos[UM])</f>
        <v>#VALUE!</v>
      </c>
      <c r="S3243" s="38" t="e">
        <f>Tabla1[[#This Row],[StockDisp]]*Tabla1[[#This Row],[UM producto]]</f>
        <v>#VALUE!</v>
      </c>
    </row>
    <row r="3244" spans="1:19" x14ac:dyDescent="0.35">
      <c r="A3244" s="5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6"/>
      <c r="P3244" s="23" t="e">
        <f>TRIM(Tabla1[[#This Row],[Articulo]])</f>
        <v>#VALUE!</v>
      </c>
      <c r="Q3244" s="23" t="e">
        <f>_xlfn.XLOOKUP(Tabla1[[#This Row],[Ean Normalizado]],Consumos!A:A,Consumos!E:E)</f>
        <v>#VALUE!</v>
      </c>
      <c r="R3244" s="38" t="e">
        <f>_xlfn.XLOOKUP(Tabla1[[#This Row],[Ean Normalizado]],tabla_consumos[EAN],tabla_consumos[UM])</f>
        <v>#VALUE!</v>
      </c>
      <c r="S3244" s="38" t="e">
        <f>Tabla1[[#This Row],[StockDisp]]*Tabla1[[#This Row],[UM producto]]</f>
        <v>#VALUE!</v>
      </c>
    </row>
    <row r="3245" spans="1:19" x14ac:dyDescent="0.35">
      <c r="A3245" s="5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6"/>
      <c r="P3245" s="23" t="e">
        <f>TRIM(Tabla1[[#This Row],[Articulo]])</f>
        <v>#VALUE!</v>
      </c>
      <c r="Q3245" s="23" t="e">
        <f>_xlfn.XLOOKUP(Tabla1[[#This Row],[Ean Normalizado]],Consumos!A:A,Consumos!E:E)</f>
        <v>#VALUE!</v>
      </c>
      <c r="R3245" s="38" t="e">
        <f>_xlfn.XLOOKUP(Tabla1[[#This Row],[Ean Normalizado]],tabla_consumos[EAN],tabla_consumos[UM])</f>
        <v>#VALUE!</v>
      </c>
      <c r="S3245" s="38" t="e">
        <f>Tabla1[[#This Row],[StockDisp]]*Tabla1[[#This Row],[UM producto]]</f>
        <v>#VALUE!</v>
      </c>
    </row>
    <row r="3246" spans="1:19" x14ac:dyDescent="0.35">
      <c r="A3246" s="5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6"/>
      <c r="P3246" s="23" t="e">
        <f>TRIM(Tabla1[[#This Row],[Articulo]])</f>
        <v>#VALUE!</v>
      </c>
      <c r="Q3246" s="23" t="e">
        <f>_xlfn.XLOOKUP(Tabla1[[#This Row],[Ean Normalizado]],Consumos!A:A,Consumos!E:E)</f>
        <v>#VALUE!</v>
      </c>
      <c r="R3246" s="38" t="e">
        <f>_xlfn.XLOOKUP(Tabla1[[#This Row],[Ean Normalizado]],tabla_consumos[EAN],tabla_consumos[UM])</f>
        <v>#VALUE!</v>
      </c>
      <c r="S3246" s="38" t="e">
        <f>Tabla1[[#This Row],[StockDisp]]*Tabla1[[#This Row],[UM producto]]</f>
        <v>#VALUE!</v>
      </c>
    </row>
    <row r="3247" spans="1:19" x14ac:dyDescent="0.35">
      <c r="A3247" s="5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6"/>
      <c r="P3247" s="23" t="e">
        <f>TRIM(Tabla1[[#This Row],[Articulo]])</f>
        <v>#VALUE!</v>
      </c>
      <c r="Q3247" s="23" t="e">
        <f>_xlfn.XLOOKUP(Tabla1[[#This Row],[Ean Normalizado]],Consumos!A:A,Consumos!E:E)</f>
        <v>#VALUE!</v>
      </c>
      <c r="R3247" s="38" t="e">
        <f>_xlfn.XLOOKUP(Tabla1[[#This Row],[Ean Normalizado]],tabla_consumos[EAN],tabla_consumos[UM])</f>
        <v>#VALUE!</v>
      </c>
      <c r="S3247" s="38" t="e">
        <f>Tabla1[[#This Row],[StockDisp]]*Tabla1[[#This Row],[UM producto]]</f>
        <v>#VALUE!</v>
      </c>
    </row>
    <row r="3248" spans="1:19" x14ac:dyDescent="0.35">
      <c r="A3248" s="5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6"/>
      <c r="P3248" s="23" t="e">
        <f>TRIM(Tabla1[[#This Row],[Articulo]])</f>
        <v>#VALUE!</v>
      </c>
      <c r="Q3248" s="23" t="e">
        <f>_xlfn.XLOOKUP(Tabla1[[#This Row],[Ean Normalizado]],Consumos!A:A,Consumos!E:E)</f>
        <v>#VALUE!</v>
      </c>
      <c r="R3248" s="38" t="e">
        <f>_xlfn.XLOOKUP(Tabla1[[#This Row],[Ean Normalizado]],tabla_consumos[EAN],tabla_consumos[UM])</f>
        <v>#VALUE!</v>
      </c>
      <c r="S3248" s="38" t="e">
        <f>Tabla1[[#This Row],[StockDisp]]*Tabla1[[#This Row],[UM producto]]</f>
        <v>#VALUE!</v>
      </c>
    </row>
    <row r="3249" spans="1:19" x14ac:dyDescent="0.35">
      <c r="A3249" s="5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6"/>
      <c r="P3249" s="23" t="e">
        <f>TRIM(Tabla1[[#This Row],[Articulo]])</f>
        <v>#VALUE!</v>
      </c>
      <c r="Q3249" s="23" t="e">
        <f>_xlfn.XLOOKUP(Tabla1[[#This Row],[Ean Normalizado]],Consumos!A:A,Consumos!E:E)</f>
        <v>#VALUE!</v>
      </c>
      <c r="R3249" s="38" t="e">
        <f>_xlfn.XLOOKUP(Tabla1[[#This Row],[Ean Normalizado]],tabla_consumos[EAN],tabla_consumos[UM])</f>
        <v>#VALUE!</v>
      </c>
      <c r="S3249" s="38" t="e">
        <f>Tabla1[[#This Row],[StockDisp]]*Tabla1[[#This Row],[UM producto]]</f>
        <v>#VALUE!</v>
      </c>
    </row>
    <row r="3250" spans="1:19" x14ac:dyDescent="0.35">
      <c r="A3250" s="5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6"/>
      <c r="P3250" s="23" t="e">
        <f>TRIM(Tabla1[[#This Row],[Articulo]])</f>
        <v>#VALUE!</v>
      </c>
      <c r="Q3250" s="23" t="e">
        <f>_xlfn.XLOOKUP(Tabla1[[#This Row],[Ean Normalizado]],Consumos!A:A,Consumos!E:E)</f>
        <v>#VALUE!</v>
      </c>
      <c r="R3250" s="38" t="e">
        <f>_xlfn.XLOOKUP(Tabla1[[#This Row],[Ean Normalizado]],tabla_consumos[EAN],tabla_consumos[UM])</f>
        <v>#VALUE!</v>
      </c>
      <c r="S3250" s="38" t="e">
        <f>Tabla1[[#This Row],[StockDisp]]*Tabla1[[#This Row],[UM producto]]</f>
        <v>#VALUE!</v>
      </c>
    </row>
    <row r="3251" spans="1:19" x14ac:dyDescent="0.35">
      <c r="A3251" s="5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6"/>
      <c r="P3251" s="23" t="e">
        <f>TRIM(Tabla1[[#This Row],[Articulo]])</f>
        <v>#VALUE!</v>
      </c>
      <c r="Q3251" s="23" t="e">
        <f>_xlfn.XLOOKUP(Tabla1[[#This Row],[Ean Normalizado]],Consumos!A:A,Consumos!E:E)</f>
        <v>#VALUE!</v>
      </c>
      <c r="R3251" s="38" t="e">
        <f>_xlfn.XLOOKUP(Tabla1[[#This Row],[Ean Normalizado]],tabla_consumos[EAN],tabla_consumos[UM])</f>
        <v>#VALUE!</v>
      </c>
      <c r="S3251" s="38" t="e">
        <f>Tabla1[[#This Row],[StockDisp]]*Tabla1[[#This Row],[UM producto]]</f>
        <v>#VALUE!</v>
      </c>
    </row>
    <row r="3252" spans="1:19" x14ac:dyDescent="0.35">
      <c r="A3252" s="5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6"/>
      <c r="P3252" s="23" t="e">
        <f>TRIM(Tabla1[[#This Row],[Articulo]])</f>
        <v>#VALUE!</v>
      </c>
      <c r="Q3252" s="23" t="e">
        <f>_xlfn.XLOOKUP(Tabla1[[#This Row],[Ean Normalizado]],Consumos!A:A,Consumos!E:E)</f>
        <v>#VALUE!</v>
      </c>
      <c r="R3252" s="38" t="e">
        <f>_xlfn.XLOOKUP(Tabla1[[#This Row],[Ean Normalizado]],tabla_consumos[EAN],tabla_consumos[UM])</f>
        <v>#VALUE!</v>
      </c>
      <c r="S3252" s="38" t="e">
        <f>Tabla1[[#This Row],[StockDisp]]*Tabla1[[#This Row],[UM producto]]</f>
        <v>#VALUE!</v>
      </c>
    </row>
    <row r="3253" spans="1:19" x14ac:dyDescent="0.35">
      <c r="A3253" s="5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6"/>
      <c r="P3253" s="23" t="e">
        <f>TRIM(Tabla1[[#This Row],[Articulo]])</f>
        <v>#VALUE!</v>
      </c>
      <c r="Q3253" s="23" t="e">
        <f>_xlfn.XLOOKUP(Tabla1[[#This Row],[Ean Normalizado]],Consumos!A:A,Consumos!E:E)</f>
        <v>#VALUE!</v>
      </c>
      <c r="R3253" s="38" t="e">
        <f>_xlfn.XLOOKUP(Tabla1[[#This Row],[Ean Normalizado]],tabla_consumos[EAN],tabla_consumos[UM])</f>
        <v>#VALUE!</v>
      </c>
      <c r="S3253" s="38" t="e">
        <f>Tabla1[[#This Row],[StockDisp]]*Tabla1[[#This Row],[UM producto]]</f>
        <v>#VALUE!</v>
      </c>
    </row>
    <row r="3254" spans="1:19" x14ac:dyDescent="0.35">
      <c r="A3254" s="5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6"/>
      <c r="P3254" s="23" t="e">
        <f>TRIM(Tabla1[[#This Row],[Articulo]])</f>
        <v>#VALUE!</v>
      </c>
      <c r="Q3254" s="23" t="e">
        <f>_xlfn.XLOOKUP(Tabla1[[#This Row],[Ean Normalizado]],Consumos!A:A,Consumos!E:E)</f>
        <v>#VALUE!</v>
      </c>
      <c r="R3254" s="38" t="e">
        <f>_xlfn.XLOOKUP(Tabla1[[#This Row],[Ean Normalizado]],tabla_consumos[EAN],tabla_consumos[UM])</f>
        <v>#VALUE!</v>
      </c>
      <c r="S3254" s="38" t="e">
        <f>Tabla1[[#This Row],[StockDisp]]*Tabla1[[#This Row],[UM producto]]</f>
        <v>#VALUE!</v>
      </c>
    </row>
    <row r="3255" spans="1:19" x14ac:dyDescent="0.35">
      <c r="A3255" s="5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6"/>
      <c r="P3255" s="23" t="e">
        <f>TRIM(Tabla1[[#This Row],[Articulo]])</f>
        <v>#VALUE!</v>
      </c>
      <c r="Q3255" s="23" t="e">
        <f>_xlfn.XLOOKUP(Tabla1[[#This Row],[Ean Normalizado]],Consumos!A:A,Consumos!E:E)</f>
        <v>#VALUE!</v>
      </c>
      <c r="R3255" s="38" t="e">
        <f>_xlfn.XLOOKUP(Tabla1[[#This Row],[Ean Normalizado]],tabla_consumos[EAN],tabla_consumos[UM])</f>
        <v>#VALUE!</v>
      </c>
      <c r="S3255" s="38" t="e">
        <f>Tabla1[[#This Row],[StockDisp]]*Tabla1[[#This Row],[UM producto]]</f>
        <v>#VALUE!</v>
      </c>
    </row>
    <row r="3256" spans="1:19" x14ac:dyDescent="0.35">
      <c r="A3256" s="5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6"/>
      <c r="P3256" s="23" t="e">
        <f>TRIM(Tabla1[[#This Row],[Articulo]])</f>
        <v>#VALUE!</v>
      </c>
      <c r="Q3256" s="23" t="e">
        <f>_xlfn.XLOOKUP(Tabla1[[#This Row],[Ean Normalizado]],Consumos!A:A,Consumos!E:E)</f>
        <v>#VALUE!</v>
      </c>
      <c r="R3256" s="38" t="e">
        <f>_xlfn.XLOOKUP(Tabla1[[#This Row],[Ean Normalizado]],tabla_consumos[EAN],tabla_consumos[UM])</f>
        <v>#VALUE!</v>
      </c>
      <c r="S3256" s="38" t="e">
        <f>Tabla1[[#This Row],[StockDisp]]*Tabla1[[#This Row],[UM producto]]</f>
        <v>#VALUE!</v>
      </c>
    </row>
    <row r="3257" spans="1:19" x14ac:dyDescent="0.35">
      <c r="A3257" s="5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6"/>
      <c r="P3257" s="23" t="e">
        <f>TRIM(Tabla1[[#This Row],[Articulo]])</f>
        <v>#VALUE!</v>
      </c>
      <c r="Q3257" s="23" t="e">
        <f>_xlfn.XLOOKUP(Tabla1[[#This Row],[Ean Normalizado]],Consumos!A:A,Consumos!E:E)</f>
        <v>#VALUE!</v>
      </c>
      <c r="R3257" s="38" t="e">
        <f>_xlfn.XLOOKUP(Tabla1[[#This Row],[Ean Normalizado]],tabla_consumos[EAN],tabla_consumos[UM])</f>
        <v>#VALUE!</v>
      </c>
      <c r="S3257" s="38" t="e">
        <f>Tabla1[[#This Row],[StockDisp]]*Tabla1[[#This Row],[UM producto]]</f>
        <v>#VALUE!</v>
      </c>
    </row>
    <row r="3258" spans="1:19" x14ac:dyDescent="0.35">
      <c r="A3258" s="5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6"/>
      <c r="P3258" s="23" t="e">
        <f>TRIM(Tabla1[[#This Row],[Articulo]])</f>
        <v>#VALUE!</v>
      </c>
      <c r="Q3258" s="23" t="e">
        <f>_xlfn.XLOOKUP(Tabla1[[#This Row],[Ean Normalizado]],Consumos!A:A,Consumos!E:E)</f>
        <v>#VALUE!</v>
      </c>
      <c r="R3258" s="38" t="e">
        <f>_xlfn.XLOOKUP(Tabla1[[#This Row],[Ean Normalizado]],tabla_consumos[EAN],tabla_consumos[UM])</f>
        <v>#VALUE!</v>
      </c>
      <c r="S3258" s="38" t="e">
        <f>Tabla1[[#This Row],[StockDisp]]*Tabla1[[#This Row],[UM producto]]</f>
        <v>#VALUE!</v>
      </c>
    </row>
    <row r="3259" spans="1:19" x14ac:dyDescent="0.35">
      <c r="A3259" s="5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6"/>
      <c r="P3259" s="23" t="e">
        <f>TRIM(Tabla1[[#This Row],[Articulo]])</f>
        <v>#VALUE!</v>
      </c>
      <c r="Q3259" s="23" t="e">
        <f>_xlfn.XLOOKUP(Tabla1[[#This Row],[Ean Normalizado]],Consumos!A:A,Consumos!E:E)</f>
        <v>#VALUE!</v>
      </c>
      <c r="R3259" s="38" t="e">
        <f>_xlfn.XLOOKUP(Tabla1[[#This Row],[Ean Normalizado]],tabla_consumos[EAN],tabla_consumos[UM])</f>
        <v>#VALUE!</v>
      </c>
      <c r="S3259" s="38" t="e">
        <f>Tabla1[[#This Row],[StockDisp]]*Tabla1[[#This Row],[UM producto]]</f>
        <v>#VALUE!</v>
      </c>
    </row>
    <row r="3260" spans="1:19" x14ac:dyDescent="0.35">
      <c r="A3260" s="5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6"/>
      <c r="P3260" s="23" t="e">
        <f>TRIM(Tabla1[[#This Row],[Articulo]])</f>
        <v>#VALUE!</v>
      </c>
      <c r="Q3260" s="23" t="e">
        <f>_xlfn.XLOOKUP(Tabla1[[#This Row],[Ean Normalizado]],Consumos!A:A,Consumos!E:E)</f>
        <v>#VALUE!</v>
      </c>
      <c r="R3260" s="38" t="e">
        <f>_xlfn.XLOOKUP(Tabla1[[#This Row],[Ean Normalizado]],tabla_consumos[EAN],tabla_consumos[UM])</f>
        <v>#VALUE!</v>
      </c>
      <c r="S3260" s="38" t="e">
        <f>Tabla1[[#This Row],[StockDisp]]*Tabla1[[#This Row],[UM producto]]</f>
        <v>#VALUE!</v>
      </c>
    </row>
    <row r="3261" spans="1:19" x14ac:dyDescent="0.35">
      <c r="A3261" s="5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6"/>
      <c r="P3261" s="23" t="e">
        <f>TRIM(Tabla1[[#This Row],[Articulo]])</f>
        <v>#VALUE!</v>
      </c>
      <c r="Q3261" s="23" t="e">
        <f>_xlfn.XLOOKUP(Tabla1[[#This Row],[Ean Normalizado]],Consumos!A:A,Consumos!E:E)</f>
        <v>#VALUE!</v>
      </c>
      <c r="R3261" s="38" t="e">
        <f>_xlfn.XLOOKUP(Tabla1[[#This Row],[Ean Normalizado]],tabla_consumos[EAN],tabla_consumos[UM])</f>
        <v>#VALUE!</v>
      </c>
      <c r="S3261" s="38" t="e">
        <f>Tabla1[[#This Row],[StockDisp]]*Tabla1[[#This Row],[UM producto]]</f>
        <v>#VALUE!</v>
      </c>
    </row>
    <row r="3262" spans="1:19" x14ac:dyDescent="0.35">
      <c r="A3262" s="5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6"/>
      <c r="P3262" s="23" t="e">
        <f>TRIM(Tabla1[[#This Row],[Articulo]])</f>
        <v>#VALUE!</v>
      </c>
      <c r="Q3262" s="23" t="e">
        <f>_xlfn.XLOOKUP(Tabla1[[#This Row],[Ean Normalizado]],Consumos!A:A,Consumos!E:E)</f>
        <v>#VALUE!</v>
      </c>
      <c r="R3262" s="38" t="e">
        <f>_xlfn.XLOOKUP(Tabla1[[#This Row],[Ean Normalizado]],tabla_consumos[EAN],tabla_consumos[UM])</f>
        <v>#VALUE!</v>
      </c>
      <c r="S3262" s="38" t="e">
        <f>Tabla1[[#This Row],[StockDisp]]*Tabla1[[#This Row],[UM producto]]</f>
        <v>#VALUE!</v>
      </c>
    </row>
    <row r="3263" spans="1:19" x14ac:dyDescent="0.35">
      <c r="A3263" s="5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6"/>
      <c r="P3263" s="23" t="e">
        <f>TRIM(Tabla1[[#This Row],[Articulo]])</f>
        <v>#VALUE!</v>
      </c>
      <c r="Q3263" s="23" t="e">
        <f>_xlfn.XLOOKUP(Tabla1[[#This Row],[Ean Normalizado]],Consumos!A:A,Consumos!E:E)</f>
        <v>#VALUE!</v>
      </c>
      <c r="R3263" s="38" t="e">
        <f>_xlfn.XLOOKUP(Tabla1[[#This Row],[Ean Normalizado]],tabla_consumos[EAN],tabla_consumos[UM])</f>
        <v>#VALUE!</v>
      </c>
      <c r="S3263" s="38" t="e">
        <f>Tabla1[[#This Row],[StockDisp]]*Tabla1[[#This Row],[UM producto]]</f>
        <v>#VALUE!</v>
      </c>
    </row>
    <row r="3264" spans="1:19" x14ac:dyDescent="0.35">
      <c r="A3264" s="5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6"/>
      <c r="P3264" s="23" t="e">
        <f>TRIM(Tabla1[[#This Row],[Articulo]])</f>
        <v>#VALUE!</v>
      </c>
      <c r="Q3264" s="23" t="e">
        <f>_xlfn.XLOOKUP(Tabla1[[#This Row],[Ean Normalizado]],Consumos!A:A,Consumos!E:E)</f>
        <v>#VALUE!</v>
      </c>
      <c r="R3264" s="38" t="e">
        <f>_xlfn.XLOOKUP(Tabla1[[#This Row],[Ean Normalizado]],tabla_consumos[EAN],tabla_consumos[UM])</f>
        <v>#VALUE!</v>
      </c>
      <c r="S3264" s="38" t="e">
        <f>Tabla1[[#This Row],[StockDisp]]*Tabla1[[#This Row],[UM producto]]</f>
        <v>#VALUE!</v>
      </c>
    </row>
    <row r="3265" spans="1:19" x14ac:dyDescent="0.35">
      <c r="A3265" s="5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6"/>
      <c r="P3265" s="23" t="e">
        <f>TRIM(Tabla1[[#This Row],[Articulo]])</f>
        <v>#VALUE!</v>
      </c>
      <c r="Q3265" s="23" t="e">
        <f>_xlfn.XLOOKUP(Tabla1[[#This Row],[Ean Normalizado]],Consumos!A:A,Consumos!E:E)</f>
        <v>#VALUE!</v>
      </c>
      <c r="R3265" s="38" t="e">
        <f>_xlfn.XLOOKUP(Tabla1[[#This Row],[Ean Normalizado]],tabla_consumos[EAN],tabla_consumos[UM])</f>
        <v>#VALUE!</v>
      </c>
      <c r="S3265" s="38" t="e">
        <f>Tabla1[[#This Row],[StockDisp]]*Tabla1[[#This Row],[UM producto]]</f>
        <v>#VALUE!</v>
      </c>
    </row>
    <row r="3266" spans="1:19" x14ac:dyDescent="0.35">
      <c r="A3266" s="5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6"/>
      <c r="P3266" s="23" t="e">
        <f>TRIM(Tabla1[[#This Row],[Articulo]])</f>
        <v>#VALUE!</v>
      </c>
      <c r="Q3266" s="23" t="e">
        <f>_xlfn.XLOOKUP(Tabla1[[#This Row],[Ean Normalizado]],Consumos!A:A,Consumos!E:E)</f>
        <v>#VALUE!</v>
      </c>
      <c r="R3266" s="38" t="e">
        <f>_xlfn.XLOOKUP(Tabla1[[#This Row],[Ean Normalizado]],tabla_consumos[EAN],tabla_consumos[UM])</f>
        <v>#VALUE!</v>
      </c>
      <c r="S3266" s="38" t="e">
        <f>Tabla1[[#This Row],[StockDisp]]*Tabla1[[#This Row],[UM producto]]</f>
        <v>#VALUE!</v>
      </c>
    </row>
    <row r="3267" spans="1:19" x14ac:dyDescent="0.35">
      <c r="A3267" s="5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6"/>
      <c r="P3267" s="23" t="e">
        <f>TRIM(Tabla1[[#This Row],[Articulo]])</f>
        <v>#VALUE!</v>
      </c>
      <c r="Q3267" s="23" t="e">
        <f>_xlfn.XLOOKUP(Tabla1[[#This Row],[Ean Normalizado]],Consumos!A:A,Consumos!E:E)</f>
        <v>#VALUE!</v>
      </c>
      <c r="R3267" s="38" t="e">
        <f>_xlfn.XLOOKUP(Tabla1[[#This Row],[Ean Normalizado]],tabla_consumos[EAN],tabla_consumos[UM])</f>
        <v>#VALUE!</v>
      </c>
      <c r="S3267" s="38" t="e">
        <f>Tabla1[[#This Row],[StockDisp]]*Tabla1[[#This Row],[UM producto]]</f>
        <v>#VALUE!</v>
      </c>
    </row>
    <row r="3268" spans="1:19" x14ac:dyDescent="0.35">
      <c r="A3268" s="5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6"/>
      <c r="P3268" s="23" t="e">
        <f>TRIM(Tabla1[[#This Row],[Articulo]])</f>
        <v>#VALUE!</v>
      </c>
      <c r="Q3268" s="23" t="e">
        <f>_xlfn.XLOOKUP(Tabla1[[#This Row],[Ean Normalizado]],Consumos!A:A,Consumos!E:E)</f>
        <v>#VALUE!</v>
      </c>
      <c r="R3268" s="38" t="e">
        <f>_xlfn.XLOOKUP(Tabla1[[#This Row],[Ean Normalizado]],tabla_consumos[EAN],tabla_consumos[UM])</f>
        <v>#VALUE!</v>
      </c>
      <c r="S3268" s="38" t="e">
        <f>Tabla1[[#This Row],[StockDisp]]*Tabla1[[#This Row],[UM producto]]</f>
        <v>#VALUE!</v>
      </c>
    </row>
    <row r="3269" spans="1:19" x14ac:dyDescent="0.35">
      <c r="A3269" s="5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6"/>
      <c r="P3269" s="23" t="e">
        <f>TRIM(Tabla1[[#This Row],[Articulo]])</f>
        <v>#VALUE!</v>
      </c>
      <c r="Q3269" s="23" t="e">
        <f>_xlfn.XLOOKUP(Tabla1[[#This Row],[Ean Normalizado]],Consumos!A:A,Consumos!E:E)</f>
        <v>#VALUE!</v>
      </c>
      <c r="R3269" s="38" t="e">
        <f>_xlfn.XLOOKUP(Tabla1[[#This Row],[Ean Normalizado]],tabla_consumos[EAN],tabla_consumos[UM])</f>
        <v>#VALUE!</v>
      </c>
      <c r="S3269" s="38" t="e">
        <f>Tabla1[[#This Row],[StockDisp]]*Tabla1[[#This Row],[UM producto]]</f>
        <v>#VALUE!</v>
      </c>
    </row>
    <row r="3270" spans="1:19" x14ac:dyDescent="0.35">
      <c r="A3270" s="5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6"/>
      <c r="P3270" s="23" t="e">
        <f>TRIM(Tabla1[[#This Row],[Articulo]])</f>
        <v>#VALUE!</v>
      </c>
      <c r="Q3270" s="23" t="e">
        <f>_xlfn.XLOOKUP(Tabla1[[#This Row],[Ean Normalizado]],Consumos!A:A,Consumos!E:E)</f>
        <v>#VALUE!</v>
      </c>
      <c r="R3270" s="38" t="e">
        <f>_xlfn.XLOOKUP(Tabla1[[#This Row],[Ean Normalizado]],tabla_consumos[EAN],tabla_consumos[UM])</f>
        <v>#VALUE!</v>
      </c>
      <c r="S3270" s="38" t="e">
        <f>Tabla1[[#This Row],[StockDisp]]*Tabla1[[#This Row],[UM producto]]</f>
        <v>#VALUE!</v>
      </c>
    </row>
    <row r="3271" spans="1:19" x14ac:dyDescent="0.35">
      <c r="A3271" s="5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6"/>
      <c r="P3271" s="23" t="e">
        <f>TRIM(Tabla1[[#This Row],[Articulo]])</f>
        <v>#VALUE!</v>
      </c>
      <c r="Q3271" s="23" t="e">
        <f>_xlfn.XLOOKUP(Tabla1[[#This Row],[Ean Normalizado]],Consumos!A:A,Consumos!E:E)</f>
        <v>#VALUE!</v>
      </c>
      <c r="R3271" s="38" t="e">
        <f>_xlfn.XLOOKUP(Tabla1[[#This Row],[Ean Normalizado]],tabla_consumos[EAN],tabla_consumos[UM])</f>
        <v>#VALUE!</v>
      </c>
      <c r="S3271" s="38" t="e">
        <f>Tabla1[[#This Row],[StockDisp]]*Tabla1[[#This Row],[UM producto]]</f>
        <v>#VALUE!</v>
      </c>
    </row>
    <row r="3272" spans="1:19" x14ac:dyDescent="0.35">
      <c r="A3272" s="5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6"/>
      <c r="P3272" s="23" t="e">
        <f>TRIM(Tabla1[[#This Row],[Articulo]])</f>
        <v>#VALUE!</v>
      </c>
      <c r="Q3272" s="23" t="e">
        <f>_xlfn.XLOOKUP(Tabla1[[#This Row],[Ean Normalizado]],Consumos!A:A,Consumos!E:E)</f>
        <v>#VALUE!</v>
      </c>
      <c r="R3272" s="38" t="e">
        <f>_xlfn.XLOOKUP(Tabla1[[#This Row],[Ean Normalizado]],tabla_consumos[EAN],tabla_consumos[UM])</f>
        <v>#VALUE!</v>
      </c>
      <c r="S3272" s="38" t="e">
        <f>Tabla1[[#This Row],[StockDisp]]*Tabla1[[#This Row],[UM producto]]</f>
        <v>#VALUE!</v>
      </c>
    </row>
    <row r="3273" spans="1:19" x14ac:dyDescent="0.35">
      <c r="A3273" s="5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6"/>
      <c r="P3273" s="23" t="e">
        <f>TRIM(Tabla1[[#This Row],[Articulo]])</f>
        <v>#VALUE!</v>
      </c>
      <c r="Q3273" s="23" t="e">
        <f>_xlfn.XLOOKUP(Tabla1[[#This Row],[Ean Normalizado]],Consumos!A:A,Consumos!E:E)</f>
        <v>#VALUE!</v>
      </c>
      <c r="R3273" s="38" t="e">
        <f>_xlfn.XLOOKUP(Tabla1[[#This Row],[Ean Normalizado]],tabla_consumos[EAN],tabla_consumos[UM])</f>
        <v>#VALUE!</v>
      </c>
      <c r="S3273" s="38" t="e">
        <f>Tabla1[[#This Row],[StockDisp]]*Tabla1[[#This Row],[UM producto]]</f>
        <v>#VALUE!</v>
      </c>
    </row>
    <row r="3274" spans="1:19" x14ac:dyDescent="0.35">
      <c r="A3274" s="5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6"/>
      <c r="P3274" s="23" t="e">
        <f>TRIM(Tabla1[[#This Row],[Articulo]])</f>
        <v>#VALUE!</v>
      </c>
      <c r="Q3274" s="23" t="e">
        <f>_xlfn.XLOOKUP(Tabla1[[#This Row],[Ean Normalizado]],Consumos!A:A,Consumos!E:E)</f>
        <v>#VALUE!</v>
      </c>
      <c r="R3274" s="38" t="e">
        <f>_xlfn.XLOOKUP(Tabla1[[#This Row],[Ean Normalizado]],tabla_consumos[EAN],tabla_consumos[UM])</f>
        <v>#VALUE!</v>
      </c>
      <c r="S3274" s="38" t="e">
        <f>Tabla1[[#This Row],[StockDisp]]*Tabla1[[#This Row],[UM producto]]</f>
        <v>#VALUE!</v>
      </c>
    </row>
    <row r="3275" spans="1:19" x14ac:dyDescent="0.35">
      <c r="A3275" s="5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6"/>
      <c r="P3275" s="23" t="e">
        <f>TRIM(Tabla1[[#This Row],[Articulo]])</f>
        <v>#VALUE!</v>
      </c>
      <c r="Q3275" s="23" t="e">
        <f>_xlfn.XLOOKUP(Tabla1[[#This Row],[Ean Normalizado]],Consumos!A:A,Consumos!E:E)</f>
        <v>#VALUE!</v>
      </c>
      <c r="R3275" s="38" t="e">
        <f>_xlfn.XLOOKUP(Tabla1[[#This Row],[Ean Normalizado]],tabla_consumos[EAN],tabla_consumos[UM])</f>
        <v>#VALUE!</v>
      </c>
      <c r="S3275" s="38" t="e">
        <f>Tabla1[[#This Row],[StockDisp]]*Tabla1[[#This Row],[UM producto]]</f>
        <v>#VALUE!</v>
      </c>
    </row>
    <row r="3276" spans="1:19" x14ac:dyDescent="0.35">
      <c r="A3276" s="5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6"/>
      <c r="P3276" s="23" t="e">
        <f>TRIM(Tabla1[[#This Row],[Articulo]])</f>
        <v>#VALUE!</v>
      </c>
      <c r="Q3276" s="23" t="e">
        <f>_xlfn.XLOOKUP(Tabla1[[#This Row],[Ean Normalizado]],Consumos!A:A,Consumos!E:E)</f>
        <v>#VALUE!</v>
      </c>
      <c r="R3276" s="38" t="e">
        <f>_xlfn.XLOOKUP(Tabla1[[#This Row],[Ean Normalizado]],tabla_consumos[EAN],tabla_consumos[UM])</f>
        <v>#VALUE!</v>
      </c>
      <c r="S3276" s="38" t="e">
        <f>Tabla1[[#This Row],[StockDisp]]*Tabla1[[#This Row],[UM producto]]</f>
        <v>#VALUE!</v>
      </c>
    </row>
    <row r="3277" spans="1:19" x14ac:dyDescent="0.35">
      <c r="A3277" s="5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6"/>
      <c r="P3277" s="23" t="e">
        <f>TRIM(Tabla1[[#This Row],[Articulo]])</f>
        <v>#VALUE!</v>
      </c>
      <c r="Q3277" s="23" t="e">
        <f>_xlfn.XLOOKUP(Tabla1[[#This Row],[Ean Normalizado]],Consumos!A:A,Consumos!E:E)</f>
        <v>#VALUE!</v>
      </c>
      <c r="R3277" s="38" t="e">
        <f>_xlfn.XLOOKUP(Tabla1[[#This Row],[Ean Normalizado]],tabla_consumos[EAN],tabla_consumos[UM])</f>
        <v>#VALUE!</v>
      </c>
      <c r="S3277" s="38" t="e">
        <f>Tabla1[[#This Row],[StockDisp]]*Tabla1[[#This Row],[UM producto]]</f>
        <v>#VALUE!</v>
      </c>
    </row>
    <row r="3278" spans="1:19" x14ac:dyDescent="0.35">
      <c r="A3278" s="5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6"/>
      <c r="P3278" s="23" t="e">
        <f>TRIM(Tabla1[[#This Row],[Articulo]])</f>
        <v>#VALUE!</v>
      </c>
      <c r="Q3278" s="23" t="e">
        <f>_xlfn.XLOOKUP(Tabla1[[#This Row],[Ean Normalizado]],Consumos!A:A,Consumos!E:E)</f>
        <v>#VALUE!</v>
      </c>
      <c r="R3278" s="38" t="e">
        <f>_xlfn.XLOOKUP(Tabla1[[#This Row],[Ean Normalizado]],tabla_consumos[EAN],tabla_consumos[UM])</f>
        <v>#VALUE!</v>
      </c>
      <c r="S3278" s="38" t="e">
        <f>Tabla1[[#This Row],[StockDisp]]*Tabla1[[#This Row],[UM producto]]</f>
        <v>#VALUE!</v>
      </c>
    </row>
    <row r="3279" spans="1:19" x14ac:dyDescent="0.35">
      <c r="A3279" s="5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6"/>
      <c r="P3279" s="23" t="e">
        <f>TRIM(Tabla1[[#This Row],[Articulo]])</f>
        <v>#VALUE!</v>
      </c>
      <c r="Q3279" s="23" t="e">
        <f>_xlfn.XLOOKUP(Tabla1[[#This Row],[Ean Normalizado]],Consumos!A:A,Consumos!E:E)</f>
        <v>#VALUE!</v>
      </c>
      <c r="R3279" s="38" t="e">
        <f>_xlfn.XLOOKUP(Tabla1[[#This Row],[Ean Normalizado]],tabla_consumos[EAN],tabla_consumos[UM])</f>
        <v>#VALUE!</v>
      </c>
      <c r="S3279" s="38" t="e">
        <f>Tabla1[[#This Row],[StockDisp]]*Tabla1[[#This Row],[UM producto]]</f>
        <v>#VALUE!</v>
      </c>
    </row>
    <row r="3280" spans="1:19" x14ac:dyDescent="0.35">
      <c r="A3280" s="5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6"/>
      <c r="P3280" s="23" t="e">
        <f>TRIM(Tabla1[[#This Row],[Articulo]])</f>
        <v>#VALUE!</v>
      </c>
      <c r="Q3280" s="23" t="e">
        <f>_xlfn.XLOOKUP(Tabla1[[#This Row],[Ean Normalizado]],Consumos!A:A,Consumos!E:E)</f>
        <v>#VALUE!</v>
      </c>
      <c r="R3280" s="38" t="e">
        <f>_xlfn.XLOOKUP(Tabla1[[#This Row],[Ean Normalizado]],tabla_consumos[EAN],tabla_consumos[UM])</f>
        <v>#VALUE!</v>
      </c>
      <c r="S3280" s="38" t="e">
        <f>Tabla1[[#This Row],[StockDisp]]*Tabla1[[#This Row],[UM producto]]</f>
        <v>#VALUE!</v>
      </c>
    </row>
    <row r="3281" spans="1:19" x14ac:dyDescent="0.35">
      <c r="A3281" s="5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6"/>
      <c r="P3281" s="23" t="e">
        <f>TRIM(Tabla1[[#This Row],[Articulo]])</f>
        <v>#VALUE!</v>
      </c>
      <c r="Q3281" s="23" t="e">
        <f>_xlfn.XLOOKUP(Tabla1[[#This Row],[Ean Normalizado]],Consumos!A:A,Consumos!E:E)</f>
        <v>#VALUE!</v>
      </c>
      <c r="R3281" s="38" t="e">
        <f>_xlfn.XLOOKUP(Tabla1[[#This Row],[Ean Normalizado]],tabla_consumos[EAN],tabla_consumos[UM])</f>
        <v>#VALUE!</v>
      </c>
      <c r="S3281" s="38" t="e">
        <f>Tabla1[[#This Row],[StockDisp]]*Tabla1[[#This Row],[UM producto]]</f>
        <v>#VALUE!</v>
      </c>
    </row>
    <row r="3282" spans="1:19" x14ac:dyDescent="0.35">
      <c r="A3282" s="5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6"/>
      <c r="P3282" s="23" t="e">
        <f>TRIM(Tabla1[[#This Row],[Articulo]])</f>
        <v>#VALUE!</v>
      </c>
      <c r="Q3282" s="23" t="e">
        <f>_xlfn.XLOOKUP(Tabla1[[#This Row],[Ean Normalizado]],Consumos!A:A,Consumos!E:E)</f>
        <v>#VALUE!</v>
      </c>
      <c r="R3282" s="38" t="e">
        <f>_xlfn.XLOOKUP(Tabla1[[#This Row],[Ean Normalizado]],tabla_consumos[EAN],tabla_consumos[UM])</f>
        <v>#VALUE!</v>
      </c>
      <c r="S3282" s="38" t="e">
        <f>Tabla1[[#This Row],[StockDisp]]*Tabla1[[#This Row],[UM producto]]</f>
        <v>#VALUE!</v>
      </c>
    </row>
    <row r="3283" spans="1:19" x14ac:dyDescent="0.35">
      <c r="A3283" s="5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6"/>
      <c r="P3283" s="23" t="e">
        <f>TRIM(Tabla1[[#This Row],[Articulo]])</f>
        <v>#VALUE!</v>
      </c>
      <c r="Q3283" s="23" t="e">
        <f>_xlfn.XLOOKUP(Tabla1[[#This Row],[Ean Normalizado]],Consumos!A:A,Consumos!E:E)</f>
        <v>#VALUE!</v>
      </c>
      <c r="R3283" s="38" t="e">
        <f>_xlfn.XLOOKUP(Tabla1[[#This Row],[Ean Normalizado]],tabla_consumos[EAN],tabla_consumos[UM])</f>
        <v>#VALUE!</v>
      </c>
      <c r="S3283" s="38" t="e">
        <f>Tabla1[[#This Row],[StockDisp]]*Tabla1[[#This Row],[UM producto]]</f>
        <v>#VALUE!</v>
      </c>
    </row>
    <row r="3284" spans="1:19" x14ac:dyDescent="0.35">
      <c r="A3284" s="5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6"/>
      <c r="P3284" s="23" t="e">
        <f>TRIM(Tabla1[[#This Row],[Articulo]])</f>
        <v>#VALUE!</v>
      </c>
      <c r="Q3284" s="23" t="e">
        <f>_xlfn.XLOOKUP(Tabla1[[#This Row],[Ean Normalizado]],Consumos!A:A,Consumos!E:E)</f>
        <v>#VALUE!</v>
      </c>
      <c r="R3284" s="38" t="e">
        <f>_xlfn.XLOOKUP(Tabla1[[#This Row],[Ean Normalizado]],tabla_consumos[EAN],tabla_consumos[UM])</f>
        <v>#VALUE!</v>
      </c>
      <c r="S3284" s="38" t="e">
        <f>Tabla1[[#This Row],[StockDisp]]*Tabla1[[#This Row],[UM producto]]</f>
        <v>#VALUE!</v>
      </c>
    </row>
    <row r="3285" spans="1:19" x14ac:dyDescent="0.35">
      <c r="A3285" s="5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6"/>
      <c r="P3285" s="23" t="e">
        <f>TRIM(Tabla1[[#This Row],[Articulo]])</f>
        <v>#VALUE!</v>
      </c>
      <c r="Q3285" s="23" t="e">
        <f>_xlfn.XLOOKUP(Tabla1[[#This Row],[Ean Normalizado]],Consumos!A:A,Consumos!E:E)</f>
        <v>#VALUE!</v>
      </c>
      <c r="R3285" s="38" t="e">
        <f>_xlfn.XLOOKUP(Tabla1[[#This Row],[Ean Normalizado]],tabla_consumos[EAN],tabla_consumos[UM])</f>
        <v>#VALUE!</v>
      </c>
      <c r="S3285" s="38" t="e">
        <f>Tabla1[[#This Row],[StockDisp]]*Tabla1[[#This Row],[UM producto]]</f>
        <v>#VALUE!</v>
      </c>
    </row>
    <row r="3286" spans="1:19" x14ac:dyDescent="0.35">
      <c r="A3286" s="5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6"/>
      <c r="P3286" s="23" t="e">
        <f>TRIM(Tabla1[[#This Row],[Articulo]])</f>
        <v>#VALUE!</v>
      </c>
      <c r="Q3286" s="23" t="e">
        <f>_xlfn.XLOOKUP(Tabla1[[#This Row],[Ean Normalizado]],Consumos!A:A,Consumos!E:E)</f>
        <v>#VALUE!</v>
      </c>
      <c r="R3286" s="38" t="e">
        <f>_xlfn.XLOOKUP(Tabla1[[#This Row],[Ean Normalizado]],tabla_consumos[EAN],tabla_consumos[UM])</f>
        <v>#VALUE!</v>
      </c>
      <c r="S3286" s="38" t="e">
        <f>Tabla1[[#This Row],[StockDisp]]*Tabla1[[#This Row],[UM producto]]</f>
        <v>#VALUE!</v>
      </c>
    </row>
    <row r="3287" spans="1:19" x14ac:dyDescent="0.35">
      <c r="A3287" s="5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6"/>
      <c r="P3287" s="23" t="e">
        <f>TRIM(Tabla1[[#This Row],[Articulo]])</f>
        <v>#VALUE!</v>
      </c>
      <c r="Q3287" s="23" t="e">
        <f>_xlfn.XLOOKUP(Tabla1[[#This Row],[Ean Normalizado]],Consumos!A:A,Consumos!E:E)</f>
        <v>#VALUE!</v>
      </c>
      <c r="R3287" s="38" t="e">
        <f>_xlfn.XLOOKUP(Tabla1[[#This Row],[Ean Normalizado]],tabla_consumos[EAN],tabla_consumos[UM])</f>
        <v>#VALUE!</v>
      </c>
      <c r="S3287" s="38" t="e">
        <f>Tabla1[[#This Row],[StockDisp]]*Tabla1[[#This Row],[UM producto]]</f>
        <v>#VALUE!</v>
      </c>
    </row>
    <row r="3288" spans="1:19" x14ac:dyDescent="0.35">
      <c r="A3288" s="5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6"/>
      <c r="P3288" s="23" t="e">
        <f>TRIM(Tabla1[[#This Row],[Articulo]])</f>
        <v>#VALUE!</v>
      </c>
      <c r="Q3288" s="23" t="e">
        <f>_xlfn.XLOOKUP(Tabla1[[#This Row],[Ean Normalizado]],Consumos!A:A,Consumos!E:E)</f>
        <v>#VALUE!</v>
      </c>
      <c r="R3288" s="38" t="e">
        <f>_xlfn.XLOOKUP(Tabla1[[#This Row],[Ean Normalizado]],tabla_consumos[EAN],tabla_consumos[UM])</f>
        <v>#VALUE!</v>
      </c>
      <c r="S3288" s="38" t="e">
        <f>Tabla1[[#This Row],[StockDisp]]*Tabla1[[#This Row],[UM producto]]</f>
        <v>#VALUE!</v>
      </c>
    </row>
    <row r="3289" spans="1:19" x14ac:dyDescent="0.35">
      <c r="A3289" s="5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6"/>
      <c r="P3289" s="23" t="e">
        <f>TRIM(Tabla1[[#This Row],[Articulo]])</f>
        <v>#VALUE!</v>
      </c>
      <c r="Q3289" s="23" t="e">
        <f>_xlfn.XLOOKUP(Tabla1[[#This Row],[Ean Normalizado]],Consumos!A:A,Consumos!E:E)</f>
        <v>#VALUE!</v>
      </c>
      <c r="R3289" s="38" t="e">
        <f>_xlfn.XLOOKUP(Tabla1[[#This Row],[Ean Normalizado]],tabla_consumos[EAN],tabla_consumos[UM])</f>
        <v>#VALUE!</v>
      </c>
      <c r="S3289" s="38" t="e">
        <f>Tabla1[[#This Row],[StockDisp]]*Tabla1[[#This Row],[UM producto]]</f>
        <v>#VALUE!</v>
      </c>
    </row>
    <row r="3290" spans="1:19" x14ac:dyDescent="0.35">
      <c r="A3290" s="5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6"/>
      <c r="P3290" s="23" t="e">
        <f>TRIM(Tabla1[[#This Row],[Articulo]])</f>
        <v>#VALUE!</v>
      </c>
      <c r="Q3290" s="23" t="e">
        <f>_xlfn.XLOOKUP(Tabla1[[#This Row],[Ean Normalizado]],Consumos!A:A,Consumos!E:E)</f>
        <v>#VALUE!</v>
      </c>
      <c r="R3290" s="38" t="e">
        <f>_xlfn.XLOOKUP(Tabla1[[#This Row],[Ean Normalizado]],tabla_consumos[EAN],tabla_consumos[UM])</f>
        <v>#VALUE!</v>
      </c>
      <c r="S3290" s="38" t="e">
        <f>Tabla1[[#This Row],[StockDisp]]*Tabla1[[#This Row],[UM producto]]</f>
        <v>#VALUE!</v>
      </c>
    </row>
    <row r="3291" spans="1:19" x14ac:dyDescent="0.35">
      <c r="A3291" s="5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6"/>
      <c r="P3291" s="23" t="e">
        <f>TRIM(Tabla1[[#This Row],[Articulo]])</f>
        <v>#VALUE!</v>
      </c>
      <c r="Q3291" s="23" t="e">
        <f>_xlfn.XLOOKUP(Tabla1[[#This Row],[Ean Normalizado]],Consumos!A:A,Consumos!E:E)</f>
        <v>#VALUE!</v>
      </c>
      <c r="R3291" s="38" t="e">
        <f>_xlfn.XLOOKUP(Tabla1[[#This Row],[Ean Normalizado]],tabla_consumos[EAN],tabla_consumos[UM])</f>
        <v>#VALUE!</v>
      </c>
      <c r="S3291" s="38" t="e">
        <f>Tabla1[[#This Row],[StockDisp]]*Tabla1[[#This Row],[UM producto]]</f>
        <v>#VALUE!</v>
      </c>
    </row>
    <row r="3292" spans="1:19" x14ac:dyDescent="0.35">
      <c r="A3292" s="5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6"/>
      <c r="P3292" s="23" t="e">
        <f>TRIM(Tabla1[[#This Row],[Articulo]])</f>
        <v>#VALUE!</v>
      </c>
      <c r="Q3292" s="23" t="e">
        <f>_xlfn.XLOOKUP(Tabla1[[#This Row],[Ean Normalizado]],Consumos!A:A,Consumos!E:E)</f>
        <v>#VALUE!</v>
      </c>
      <c r="R3292" s="38" t="e">
        <f>_xlfn.XLOOKUP(Tabla1[[#This Row],[Ean Normalizado]],tabla_consumos[EAN],tabla_consumos[UM])</f>
        <v>#VALUE!</v>
      </c>
      <c r="S3292" s="38" t="e">
        <f>Tabla1[[#This Row],[StockDisp]]*Tabla1[[#This Row],[UM producto]]</f>
        <v>#VALUE!</v>
      </c>
    </row>
    <row r="3293" spans="1:19" x14ac:dyDescent="0.35">
      <c r="A3293" s="5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6"/>
      <c r="P3293" s="23" t="e">
        <f>TRIM(Tabla1[[#This Row],[Articulo]])</f>
        <v>#VALUE!</v>
      </c>
      <c r="Q3293" s="23" t="e">
        <f>_xlfn.XLOOKUP(Tabla1[[#This Row],[Ean Normalizado]],Consumos!A:A,Consumos!E:E)</f>
        <v>#VALUE!</v>
      </c>
      <c r="R3293" s="38" t="e">
        <f>_xlfn.XLOOKUP(Tabla1[[#This Row],[Ean Normalizado]],tabla_consumos[EAN],tabla_consumos[UM])</f>
        <v>#VALUE!</v>
      </c>
      <c r="S3293" s="38" t="e">
        <f>Tabla1[[#This Row],[StockDisp]]*Tabla1[[#This Row],[UM producto]]</f>
        <v>#VALUE!</v>
      </c>
    </row>
    <row r="3294" spans="1:19" x14ac:dyDescent="0.35">
      <c r="A3294" s="5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6"/>
      <c r="P3294" s="23" t="e">
        <f>TRIM(Tabla1[[#This Row],[Articulo]])</f>
        <v>#VALUE!</v>
      </c>
      <c r="Q3294" s="23" t="e">
        <f>_xlfn.XLOOKUP(Tabla1[[#This Row],[Ean Normalizado]],Consumos!A:A,Consumos!E:E)</f>
        <v>#VALUE!</v>
      </c>
      <c r="R3294" s="38" t="e">
        <f>_xlfn.XLOOKUP(Tabla1[[#This Row],[Ean Normalizado]],tabla_consumos[EAN],tabla_consumos[UM])</f>
        <v>#VALUE!</v>
      </c>
      <c r="S3294" s="38" t="e">
        <f>Tabla1[[#This Row],[StockDisp]]*Tabla1[[#This Row],[UM producto]]</f>
        <v>#VALUE!</v>
      </c>
    </row>
    <row r="3295" spans="1:19" x14ac:dyDescent="0.35">
      <c r="A3295" s="5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6"/>
      <c r="P3295" s="23" t="e">
        <f>TRIM(Tabla1[[#This Row],[Articulo]])</f>
        <v>#VALUE!</v>
      </c>
      <c r="Q3295" s="23" t="e">
        <f>_xlfn.XLOOKUP(Tabla1[[#This Row],[Ean Normalizado]],Consumos!A:A,Consumos!E:E)</f>
        <v>#VALUE!</v>
      </c>
      <c r="R3295" s="38" t="e">
        <f>_xlfn.XLOOKUP(Tabla1[[#This Row],[Ean Normalizado]],tabla_consumos[EAN],tabla_consumos[UM])</f>
        <v>#VALUE!</v>
      </c>
      <c r="S3295" s="38" t="e">
        <f>Tabla1[[#This Row],[StockDisp]]*Tabla1[[#This Row],[UM producto]]</f>
        <v>#VALUE!</v>
      </c>
    </row>
    <row r="3296" spans="1:19" x14ac:dyDescent="0.35">
      <c r="A3296" s="5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6"/>
      <c r="P3296" s="23" t="e">
        <f>TRIM(Tabla1[[#This Row],[Articulo]])</f>
        <v>#VALUE!</v>
      </c>
      <c r="Q3296" s="23" t="e">
        <f>_xlfn.XLOOKUP(Tabla1[[#This Row],[Ean Normalizado]],Consumos!A:A,Consumos!E:E)</f>
        <v>#VALUE!</v>
      </c>
      <c r="R3296" s="38" t="e">
        <f>_xlfn.XLOOKUP(Tabla1[[#This Row],[Ean Normalizado]],tabla_consumos[EAN],tabla_consumos[UM])</f>
        <v>#VALUE!</v>
      </c>
      <c r="S3296" s="38" t="e">
        <f>Tabla1[[#This Row],[StockDisp]]*Tabla1[[#This Row],[UM producto]]</f>
        <v>#VALUE!</v>
      </c>
    </row>
    <row r="3297" spans="1:19" x14ac:dyDescent="0.35">
      <c r="A3297" s="5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6"/>
      <c r="P3297" s="23" t="e">
        <f>TRIM(Tabla1[[#This Row],[Articulo]])</f>
        <v>#VALUE!</v>
      </c>
      <c r="Q3297" s="23" t="e">
        <f>_xlfn.XLOOKUP(Tabla1[[#This Row],[Ean Normalizado]],Consumos!A:A,Consumos!E:E)</f>
        <v>#VALUE!</v>
      </c>
      <c r="R3297" s="38" t="e">
        <f>_xlfn.XLOOKUP(Tabla1[[#This Row],[Ean Normalizado]],tabla_consumos[EAN],tabla_consumos[UM])</f>
        <v>#VALUE!</v>
      </c>
      <c r="S3297" s="38" t="e">
        <f>Tabla1[[#This Row],[StockDisp]]*Tabla1[[#This Row],[UM producto]]</f>
        <v>#VALUE!</v>
      </c>
    </row>
    <row r="3298" spans="1:19" x14ac:dyDescent="0.35">
      <c r="A3298" s="5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6"/>
      <c r="P3298" s="23" t="e">
        <f>TRIM(Tabla1[[#This Row],[Articulo]])</f>
        <v>#VALUE!</v>
      </c>
      <c r="Q3298" s="23" t="e">
        <f>_xlfn.XLOOKUP(Tabla1[[#This Row],[Ean Normalizado]],Consumos!A:A,Consumos!E:E)</f>
        <v>#VALUE!</v>
      </c>
      <c r="R3298" s="38" t="e">
        <f>_xlfn.XLOOKUP(Tabla1[[#This Row],[Ean Normalizado]],tabla_consumos[EAN],tabla_consumos[UM])</f>
        <v>#VALUE!</v>
      </c>
      <c r="S3298" s="38" t="e">
        <f>Tabla1[[#This Row],[StockDisp]]*Tabla1[[#This Row],[UM producto]]</f>
        <v>#VALUE!</v>
      </c>
    </row>
    <row r="3299" spans="1:19" x14ac:dyDescent="0.35">
      <c r="A3299" s="5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6"/>
      <c r="P3299" s="23" t="e">
        <f>TRIM(Tabla1[[#This Row],[Articulo]])</f>
        <v>#VALUE!</v>
      </c>
      <c r="Q3299" s="23" t="e">
        <f>_xlfn.XLOOKUP(Tabla1[[#This Row],[Ean Normalizado]],Consumos!A:A,Consumos!E:E)</f>
        <v>#VALUE!</v>
      </c>
      <c r="R3299" s="38" t="e">
        <f>_xlfn.XLOOKUP(Tabla1[[#This Row],[Ean Normalizado]],tabla_consumos[EAN],tabla_consumos[UM])</f>
        <v>#VALUE!</v>
      </c>
      <c r="S3299" s="38" t="e">
        <f>Tabla1[[#This Row],[StockDisp]]*Tabla1[[#This Row],[UM producto]]</f>
        <v>#VALUE!</v>
      </c>
    </row>
    <row r="3300" spans="1:19" x14ac:dyDescent="0.35">
      <c r="A3300" s="5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6"/>
      <c r="P3300" s="23" t="e">
        <f>TRIM(Tabla1[[#This Row],[Articulo]])</f>
        <v>#VALUE!</v>
      </c>
      <c r="Q3300" s="23" t="e">
        <f>_xlfn.XLOOKUP(Tabla1[[#This Row],[Ean Normalizado]],Consumos!A:A,Consumos!E:E)</f>
        <v>#VALUE!</v>
      </c>
      <c r="R3300" s="38" t="e">
        <f>_xlfn.XLOOKUP(Tabla1[[#This Row],[Ean Normalizado]],tabla_consumos[EAN],tabla_consumos[UM])</f>
        <v>#VALUE!</v>
      </c>
      <c r="S3300" s="38" t="e">
        <f>Tabla1[[#This Row],[StockDisp]]*Tabla1[[#This Row],[UM producto]]</f>
        <v>#VALUE!</v>
      </c>
    </row>
    <row r="3301" spans="1:19" x14ac:dyDescent="0.35">
      <c r="A3301" s="5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6"/>
      <c r="P3301" s="23" t="e">
        <f>TRIM(Tabla1[[#This Row],[Articulo]])</f>
        <v>#VALUE!</v>
      </c>
      <c r="Q3301" s="23" t="e">
        <f>_xlfn.XLOOKUP(Tabla1[[#This Row],[Ean Normalizado]],Consumos!A:A,Consumos!E:E)</f>
        <v>#VALUE!</v>
      </c>
      <c r="R3301" s="38" t="e">
        <f>_xlfn.XLOOKUP(Tabla1[[#This Row],[Ean Normalizado]],tabla_consumos[EAN],tabla_consumos[UM])</f>
        <v>#VALUE!</v>
      </c>
      <c r="S3301" s="38" t="e">
        <f>Tabla1[[#This Row],[StockDisp]]*Tabla1[[#This Row],[UM producto]]</f>
        <v>#VALUE!</v>
      </c>
    </row>
    <row r="3302" spans="1:19" x14ac:dyDescent="0.35">
      <c r="A3302" s="5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6"/>
      <c r="P3302" s="23" t="e">
        <f>TRIM(Tabla1[[#This Row],[Articulo]])</f>
        <v>#VALUE!</v>
      </c>
      <c r="Q3302" s="23" t="e">
        <f>_xlfn.XLOOKUP(Tabla1[[#This Row],[Ean Normalizado]],Consumos!A:A,Consumos!E:E)</f>
        <v>#VALUE!</v>
      </c>
      <c r="R3302" s="38" t="e">
        <f>_xlfn.XLOOKUP(Tabla1[[#This Row],[Ean Normalizado]],tabla_consumos[EAN],tabla_consumos[UM])</f>
        <v>#VALUE!</v>
      </c>
      <c r="S3302" s="38" t="e">
        <f>Tabla1[[#This Row],[StockDisp]]*Tabla1[[#This Row],[UM producto]]</f>
        <v>#VALUE!</v>
      </c>
    </row>
    <row r="3303" spans="1:19" x14ac:dyDescent="0.35">
      <c r="A3303" s="5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6"/>
      <c r="P3303" s="23" t="e">
        <f>TRIM(Tabla1[[#This Row],[Articulo]])</f>
        <v>#VALUE!</v>
      </c>
      <c r="Q3303" s="23" t="e">
        <f>_xlfn.XLOOKUP(Tabla1[[#This Row],[Ean Normalizado]],Consumos!A:A,Consumos!E:E)</f>
        <v>#VALUE!</v>
      </c>
      <c r="R3303" s="38" t="e">
        <f>_xlfn.XLOOKUP(Tabla1[[#This Row],[Ean Normalizado]],tabla_consumos[EAN],tabla_consumos[UM])</f>
        <v>#VALUE!</v>
      </c>
      <c r="S3303" s="38" t="e">
        <f>Tabla1[[#This Row],[StockDisp]]*Tabla1[[#This Row],[UM producto]]</f>
        <v>#VALUE!</v>
      </c>
    </row>
    <row r="3304" spans="1:19" x14ac:dyDescent="0.35">
      <c r="A3304" s="5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6"/>
      <c r="P3304" s="23" t="e">
        <f>TRIM(Tabla1[[#This Row],[Articulo]])</f>
        <v>#VALUE!</v>
      </c>
      <c r="Q3304" s="23" t="e">
        <f>_xlfn.XLOOKUP(Tabla1[[#This Row],[Ean Normalizado]],Consumos!A:A,Consumos!E:E)</f>
        <v>#VALUE!</v>
      </c>
      <c r="R3304" s="38" t="e">
        <f>_xlfn.XLOOKUP(Tabla1[[#This Row],[Ean Normalizado]],tabla_consumos[EAN],tabla_consumos[UM])</f>
        <v>#VALUE!</v>
      </c>
      <c r="S3304" s="38" t="e">
        <f>Tabla1[[#This Row],[StockDisp]]*Tabla1[[#This Row],[UM producto]]</f>
        <v>#VALUE!</v>
      </c>
    </row>
    <row r="3305" spans="1:19" x14ac:dyDescent="0.35">
      <c r="A3305" s="5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6"/>
      <c r="P3305" s="23" t="e">
        <f>TRIM(Tabla1[[#This Row],[Articulo]])</f>
        <v>#VALUE!</v>
      </c>
      <c r="Q3305" s="23" t="e">
        <f>_xlfn.XLOOKUP(Tabla1[[#This Row],[Ean Normalizado]],Consumos!A:A,Consumos!E:E)</f>
        <v>#VALUE!</v>
      </c>
      <c r="R3305" s="38" t="e">
        <f>_xlfn.XLOOKUP(Tabla1[[#This Row],[Ean Normalizado]],tabla_consumos[EAN],tabla_consumos[UM])</f>
        <v>#VALUE!</v>
      </c>
      <c r="S3305" s="38" t="e">
        <f>Tabla1[[#This Row],[StockDisp]]*Tabla1[[#This Row],[UM producto]]</f>
        <v>#VALUE!</v>
      </c>
    </row>
    <row r="3306" spans="1:19" x14ac:dyDescent="0.35">
      <c r="A3306" s="5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6"/>
      <c r="P3306" s="23" t="e">
        <f>TRIM(Tabla1[[#This Row],[Articulo]])</f>
        <v>#VALUE!</v>
      </c>
      <c r="Q3306" s="23" t="e">
        <f>_xlfn.XLOOKUP(Tabla1[[#This Row],[Ean Normalizado]],Consumos!A:A,Consumos!E:E)</f>
        <v>#VALUE!</v>
      </c>
      <c r="R3306" s="38" t="e">
        <f>_xlfn.XLOOKUP(Tabla1[[#This Row],[Ean Normalizado]],tabla_consumos[EAN],tabla_consumos[UM])</f>
        <v>#VALUE!</v>
      </c>
      <c r="S3306" s="38" t="e">
        <f>Tabla1[[#This Row],[StockDisp]]*Tabla1[[#This Row],[UM producto]]</f>
        <v>#VALUE!</v>
      </c>
    </row>
    <row r="3307" spans="1:19" x14ac:dyDescent="0.35">
      <c r="A3307" s="5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6"/>
      <c r="P3307" s="23" t="e">
        <f>TRIM(Tabla1[[#This Row],[Articulo]])</f>
        <v>#VALUE!</v>
      </c>
      <c r="Q3307" s="23" t="e">
        <f>_xlfn.XLOOKUP(Tabla1[[#This Row],[Ean Normalizado]],Consumos!A:A,Consumos!E:E)</f>
        <v>#VALUE!</v>
      </c>
      <c r="R3307" s="38" t="e">
        <f>_xlfn.XLOOKUP(Tabla1[[#This Row],[Ean Normalizado]],tabla_consumos[EAN],tabla_consumos[UM])</f>
        <v>#VALUE!</v>
      </c>
      <c r="S3307" s="38" t="e">
        <f>Tabla1[[#This Row],[StockDisp]]*Tabla1[[#This Row],[UM producto]]</f>
        <v>#VALUE!</v>
      </c>
    </row>
    <row r="3308" spans="1:19" x14ac:dyDescent="0.35">
      <c r="A3308" s="5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6"/>
      <c r="P3308" s="23" t="e">
        <f>TRIM(Tabla1[[#This Row],[Articulo]])</f>
        <v>#VALUE!</v>
      </c>
      <c r="Q3308" s="23" t="e">
        <f>_xlfn.XLOOKUP(Tabla1[[#This Row],[Ean Normalizado]],Consumos!A:A,Consumos!E:E)</f>
        <v>#VALUE!</v>
      </c>
      <c r="R3308" s="38" t="e">
        <f>_xlfn.XLOOKUP(Tabla1[[#This Row],[Ean Normalizado]],tabla_consumos[EAN],tabla_consumos[UM])</f>
        <v>#VALUE!</v>
      </c>
      <c r="S3308" s="38" t="e">
        <f>Tabla1[[#This Row],[StockDisp]]*Tabla1[[#This Row],[UM producto]]</f>
        <v>#VALUE!</v>
      </c>
    </row>
    <row r="3309" spans="1:19" x14ac:dyDescent="0.35">
      <c r="A3309" s="5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6"/>
      <c r="P3309" s="23" t="e">
        <f>TRIM(Tabla1[[#This Row],[Articulo]])</f>
        <v>#VALUE!</v>
      </c>
      <c r="Q3309" s="23" t="e">
        <f>_xlfn.XLOOKUP(Tabla1[[#This Row],[Ean Normalizado]],Consumos!A:A,Consumos!E:E)</f>
        <v>#VALUE!</v>
      </c>
      <c r="R3309" s="38" t="e">
        <f>_xlfn.XLOOKUP(Tabla1[[#This Row],[Ean Normalizado]],tabla_consumos[EAN],tabla_consumos[UM])</f>
        <v>#VALUE!</v>
      </c>
      <c r="S3309" s="38" t="e">
        <f>Tabla1[[#This Row],[StockDisp]]*Tabla1[[#This Row],[UM producto]]</f>
        <v>#VALUE!</v>
      </c>
    </row>
    <row r="3310" spans="1:19" x14ac:dyDescent="0.35">
      <c r="A3310" s="5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6"/>
      <c r="P3310" s="23" t="e">
        <f>TRIM(Tabla1[[#This Row],[Articulo]])</f>
        <v>#VALUE!</v>
      </c>
      <c r="Q3310" s="23" t="e">
        <f>_xlfn.XLOOKUP(Tabla1[[#This Row],[Ean Normalizado]],Consumos!A:A,Consumos!E:E)</f>
        <v>#VALUE!</v>
      </c>
      <c r="R3310" s="38" t="e">
        <f>_xlfn.XLOOKUP(Tabla1[[#This Row],[Ean Normalizado]],tabla_consumos[EAN],tabla_consumos[UM])</f>
        <v>#VALUE!</v>
      </c>
      <c r="S3310" s="38" t="e">
        <f>Tabla1[[#This Row],[StockDisp]]*Tabla1[[#This Row],[UM producto]]</f>
        <v>#VALUE!</v>
      </c>
    </row>
    <row r="3311" spans="1:19" x14ac:dyDescent="0.35">
      <c r="A3311" s="5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6"/>
      <c r="P3311" s="23" t="e">
        <f>TRIM(Tabla1[[#This Row],[Articulo]])</f>
        <v>#VALUE!</v>
      </c>
      <c r="Q3311" s="23" t="e">
        <f>_xlfn.XLOOKUP(Tabla1[[#This Row],[Ean Normalizado]],Consumos!A:A,Consumos!E:E)</f>
        <v>#VALUE!</v>
      </c>
      <c r="R3311" s="38" t="e">
        <f>_xlfn.XLOOKUP(Tabla1[[#This Row],[Ean Normalizado]],tabla_consumos[EAN],tabla_consumos[UM])</f>
        <v>#VALUE!</v>
      </c>
      <c r="S3311" s="38" t="e">
        <f>Tabla1[[#This Row],[StockDisp]]*Tabla1[[#This Row],[UM producto]]</f>
        <v>#VALUE!</v>
      </c>
    </row>
    <row r="3312" spans="1:19" x14ac:dyDescent="0.35">
      <c r="A3312" s="5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6"/>
      <c r="P3312" s="23" t="e">
        <f>TRIM(Tabla1[[#This Row],[Articulo]])</f>
        <v>#VALUE!</v>
      </c>
      <c r="Q3312" s="23" t="e">
        <f>_xlfn.XLOOKUP(Tabla1[[#This Row],[Ean Normalizado]],Consumos!A:A,Consumos!E:E)</f>
        <v>#VALUE!</v>
      </c>
      <c r="R3312" s="38" t="e">
        <f>_xlfn.XLOOKUP(Tabla1[[#This Row],[Ean Normalizado]],tabla_consumos[EAN],tabla_consumos[UM])</f>
        <v>#VALUE!</v>
      </c>
      <c r="S3312" s="38" t="e">
        <f>Tabla1[[#This Row],[StockDisp]]*Tabla1[[#This Row],[UM producto]]</f>
        <v>#VALUE!</v>
      </c>
    </row>
    <row r="3313" spans="1:19" x14ac:dyDescent="0.35">
      <c r="A3313" s="5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6"/>
      <c r="P3313" s="23" t="e">
        <f>TRIM(Tabla1[[#This Row],[Articulo]])</f>
        <v>#VALUE!</v>
      </c>
      <c r="Q3313" s="23" t="e">
        <f>_xlfn.XLOOKUP(Tabla1[[#This Row],[Ean Normalizado]],Consumos!A:A,Consumos!E:E)</f>
        <v>#VALUE!</v>
      </c>
      <c r="R3313" s="38" t="e">
        <f>_xlfn.XLOOKUP(Tabla1[[#This Row],[Ean Normalizado]],tabla_consumos[EAN],tabla_consumos[UM])</f>
        <v>#VALUE!</v>
      </c>
      <c r="S3313" s="38" t="e">
        <f>Tabla1[[#This Row],[StockDisp]]*Tabla1[[#This Row],[UM producto]]</f>
        <v>#VALUE!</v>
      </c>
    </row>
    <row r="3314" spans="1:19" x14ac:dyDescent="0.35">
      <c r="A3314" s="5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6"/>
      <c r="P3314" s="23" t="e">
        <f>TRIM(Tabla1[[#This Row],[Articulo]])</f>
        <v>#VALUE!</v>
      </c>
      <c r="Q3314" s="23" t="e">
        <f>_xlfn.XLOOKUP(Tabla1[[#This Row],[Ean Normalizado]],Consumos!A:A,Consumos!E:E)</f>
        <v>#VALUE!</v>
      </c>
      <c r="R3314" s="38" t="e">
        <f>_xlfn.XLOOKUP(Tabla1[[#This Row],[Ean Normalizado]],tabla_consumos[EAN],tabla_consumos[UM])</f>
        <v>#VALUE!</v>
      </c>
      <c r="S3314" s="38" t="e">
        <f>Tabla1[[#This Row],[StockDisp]]*Tabla1[[#This Row],[UM producto]]</f>
        <v>#VALUE!</v>
      </c>
    </row>
    <row r="3315" spans="1:19" x14ac:dyDescent="0.35">
      <c r="A3315" s="5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6"/>
      <c r="P3315" s="23" t="e">
        <f>TRIM(Tabla1[[#This Row],[Articulo]])</f>
        <v>#VALUE!</v>
      </c>
      <c r="Q3315" s="23" t="e">
        <f>_xlfn.XLOOKUP(Tabla1[[#This Row],[Ean Normalizado]],Consumos!A:A,Consumos!E:E)</f>
        <v>#VALUE!</v>
      </c>
      <c r="R3315" s="38" t="e">
        <f>_xlfn.XLOOKUP(Tabla1[[#This Row],[Ean Normalizado]],tabla_consumos[EAN],tabla_consumos[UM])</f>
        <v>#VALUE!</v>
      </c>
      <c r="S3315" s="38" t="e">
        <f>Tabla1[[#This Row],[StockDisp]]*Tabla1[[#This Row],[UM producto]]</f>
        <v>#VALUE!</v>
      </c>
    </row>
    <row r="3316" spans="1:19" x14ac:dyDescent="0.35">
      <c r="A3316" s="5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6"/>
      <c r="P3316" s="23" t="e">
        <f>TRIM(Tabla1[[#This Row],[Articulo]])</f>
        <v>#VALUE!</v>
      </c>
      <c r="Q3316" s="23" t="e">
        <f>_xlfn.XLOOKUP(Tabla1[[#This Row],[Ean Normalizado]],Consumos!A:A,Consumos!E:E)</f>
        <v>#VALUE!</v>
      </c>
      <c r="R3316" s="38" t="e">
        <f>_xlfn.XLOOKUP(Tabla1[[#This Row],[Ean Normalizado]],tabla_consumos[EAN],tabla_consumos[UM])</f>
        <v>#VALUE!</v>
      </c>
      <c r="S3316" s="38" t="e">
        <f>Tabla1[[#This Row],[StockDisp]]*Tabla1[[#This Row],[UM producto]]</f>
        <v>#VALUE!</v>
      </c>
    </row>
    <row r="3317" spans="1:19" x14ac:dyDescent="0.35">
      <c r="A3317" s="5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6"/>
      <c r="P3317" s="23" t="e">
        <f>TRIM(Tabla1[[#This Row],[Articulo]])</f>
        <v>#VALUE!</v>
      </c>
      <c r="Q3317" s="23" t="e">
        <f>_xlfn.XLOOKUP(Tabla1[[#This Row],[Ean Normalizado]],Consumos!A:A,Consumos!E:E)</f>
        <v>#VALUE!</v>
      </c>
      <c r="R3317" s="38" t="e">
        <f>_xlfn.XLOOKUP(Tabla1[[#This Row],[Ean Normalizado]],tabla_consumos[EAN],tabla_consumos[UM])</f>
        <v>#VALUE!</v>
      </c>
      <c r="S3317" s="38" t="e">
        <f>Tabla1[[#This Row],[StockDisp]]*Tabla1[[#This Row],[UM producto]]</f>
        <v>#VALUE!</v>
      </c>
    </row>
    <row r="3318" spans="1:19" x14ac:dyDescent="0.35">
      <c r="A3318" s="5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6"/>
      <c r="P3318" s="23" t="e">
        <f>TRIM(Tabla1[[#This Row],[Articulo]])</f>
        <v>#VALUE!</v>
      </c>
      <c r="Q3318" s="23" t="e">
        <f>_xlfn.XLOOKUP(Tabla1[[#This Row],[Ean Normalizado]],Consumos!A:A,Consumos!E:E)</f>
        <v>#VALUE!</v>
      </c>
      <c r="R3318" s="38" t="e">
        <f>_xlfn.XLOOKUP(Tabla1[[#This Row],[Ean Normalizado]],tabla_consumos[EAN],tabla_consumos[UM])</f>
        <v>#VALUE!</v>
      </c>
      <c r="S3318" s="38" t="e">
        <f>Tabla1[[#This Row],[StockDisp]]*Tabla1[[#This Row],[UM producto]]</f>
        <v>#VALUE!</v>
      </c>
    </row>
    <row r="3319" spans="1:19" x14ac:dyDescent="0.35">
      <c r="A3319" s="5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6"/>
      <c r="P3319" s="23" t="e">
        <f>TRIM(Tabla1[[#This Row],[Articulo]])</f>
        <v>#VALUE!</v>
      </c>
      <c r="Q3319" s="23" t="e">
        <f>_xlfn.XLOOKUP(Tabla1[[#This Row],[Ean Normalizado]],Consumos!A:A,Consumos!E:E)</f>
        <v>#VALUE!</v>
      </c>
      <c r="R3319" s="38" t="e">
        <f>_xlfn.XLOOKUP(Tabla1[[#This Row],[Ean Normalizado]],tabla_consumos[EAN],tabla_consumos[UM])</f>
        <v>#VALUE!</v>
      </c>
      <c r="S3319" s="38" t="e">
        <f>Tabla1[[#This Row],[StockDisp]]*Tabla1[[#This Row],[UM producto]]</f>
        <v>#VALUE!</v>
      </c>
    </row>
    <row r="3320" spans="1:19" x14ac:dyDescent="0.35">
      <c r="A3320" s="5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6"/>
      <c r="P3320" s="23" t="e">
        <f>TRIM(Tabla1[[#This Row],[Articulo]])</f>
        <v>#VALUE!</v>
      </c>
      <c r="Q3320" s="23" t="e">
        <f>_xlfn.XLOOKUP(Tabla1[[#This Row],[Ean Normalizado]],Consumos!A:A,Consumos!E:E)</f>
        <v>#VALUE!</v>
      </c>
      <c r="R3320" s="38" t="e">
        <f>_xlfn.XLOOKUP(Tabla1[[#This Row],[Ean Normalizado]],tabla_consumos[EAN],tabla_consumos[UM])</f>
        <v>#VALUE!</v>
      </c>
      <c r="S3320" s="38" t="e">
        <f>Tabla1[[#This Row],[StockDisp]]*Tabla1[[#This Row],[UM producto]]</f>
        <v>#VALUE!</v>
      </c>
    </row>
    <row r="3321" spans="1:19" x14ac:dyDescent="0.35">
      <c r="A3321" s="5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6"/>
      <c r="P3321" s="23" t="e">
        <f>TRIM(Tabla1[[#This Row],[Articulo]])</f>
        <v>#VALUE!</v>
      </c>
      <c r="Q3321" s="23" t="e">
        <f>_xlfn.XLOOKUP(Tabla1[[#This Row],[Ean Normalizado]],Consumos!A:A,Consumos!E:E)</f>
        <v>#VALUE!</v>
      </c>
      <c r="R3321" s="38" t="e">
        <f>_xlfn.XLOOKUP(Tabla1[[#This Row],[Ean Normalizado]],tabla_consumos[EAN],tabla_consumos[UM])</f>
        <v>#VALUE!</v>
      </c>
      <c r="S3321" s="38" t="e">
        <f>Tabla1[[#This Row],[StockDisp]]*Tabla1[[#This Row],[UM producto]]</f>
        <v>#VALUE!</v>
      </c>
    </row>
    <row r="3322" spans="1:19" x14ac:dyDescent="0.35">
      <c r="A3322" s="5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6"/>
      <c r="P3322" s="23" t="e">
        <f>TRIM(Tabla1[[#This Row],[Articulo]])</f>
        <v>#VALUE!</v>
      </c>
      <c r="Q3322" s="23" t="e">
        <f>_xlfn.XLOOKUP(Tabla1[[#This Row],[Ean Normalizado]],Consumos!A:A,Consumos!E:E)</f>
        <v>#VALUE!</v>
      </c>
      <c r="R3322" s="38" t="e">
        <f>_xlfn.XLOOKUP(Tabla1[[#This Row],[Ean Normalizado]],tabla_consumos[EAN],tabla_consumos[UM])</f>
        <v>#VALUE!</v>
      </c>
      <c r="S3322" s="38" t="e">
        <f>Tabla1[[#This Row],[StockDisp]]*Tabla1[[#This Row],[UM producto]]</f>
        <v>#VALUE!</v>
      </c>
    </row>
    <row r="3323" spans="1:19" x14ac:dyDescent="0.35">
      <c r="A3323" s="5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6"/>
      <c r="P3323" s="23" t="e">
        <f>TRIM(Tabla1[[#This Row],[Articulo]])</f>
        <v>#VALUE!</v>
      </c>
      <c r="Q3323" s="23" t="e">
        <f>_xlfn.XLOOKUP(Tabla1[[#This Row],[Ean Normalizado]],Consumos!A:A,Consumos!E:E)</f>
        <v>#VALUE!</v>
      </c>
      <c r="R3323" s="38" t="e">
        <f>_xlfn.XLOOKUP(Tabla1[[#This Row],[Ean Normalizado]],tabla_consumos[EAN],tabla_consumos[UM])</f>
        <v>#VALUE!</v>
      </c>
      <c r="S3323" s="38" t="e">
        <f>Tabla1[[#This Row],[StockDisp]]*Tabla1[[#This Row],[UM producto]]</f>
        <v>#VALUE!</v>
      </c>
    </row>
    <row r="3324" spans="1:19" x14ac:dyDescent="0.35">
      <c r="A3324" s="5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6"/>
      <c r="P3324" s="23" t="e">
        <f>TRIM(Tabla1[[#This Row],[Articulo]])</f>
        <v>#VALUE!</v>
      </c>
      <c r="Q3324" s="23" t="e">
        <f>_xlfn.XLOOKUP(Tabla1[[#This Row],[Ean Normalizado]],Consumos!A:A,Consumos!E:E)</f>
        <v>#VALUE!</v>
      </c>
      <c r="R3324" s="38" t="e">
        <f>_xlfn.XLOOKUP(Tabla1[[#This Row],[Ean Normalizado]],tabla_consumos[EAN],tabla_consumos[UM])</f>
        <v>#VALUE!</v>
      </c>
      <c r="S3324" s="38" t="e">
        <f>Tabla1[[#This Row],[StockDisp]]*Tabla1[[#This Row],[UM producto]]</f>
        <v>#VALUE!</v>
      </c>
    </row>
    <row r="3325" spans="1:19" x14ac:dyDescent="0.35">
      <c r="A3325" s="5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6"/>
      <c r="P3325" s="23" t="e">
        <f>TRIM(Tabla1[[#This Row],[Articulo]])</f>
        <v>#VALUE!</v>
      </c>
      <c r="Q3325" s="23" t="e">
        <f>_xlfn.XLOOKUP(Tabla1[[#This Row],[Ean Normalizado]],Consumos!A:A,Consumos!E:E)</f>
        <v>#VALUE!</v>
      </c>
      <c r="R3325" s="38" t="e">
        <f>_xlfn.XLOOKUP(Tabla1[[#This Row],[Ean Normalizado]],tabla_consumos[EAN],tabla_consumos[UM])</f>
        <v>#VALUE!</v>
      </c>
      <c r="S3325" s="38" t="e">
        <f>Tabla1[[#This Row],[StockDisp]]*Tabla1[[#This Row],[UM producto]]</f>
        <v>#VALUE!</v>
      </c>
    </row>
    <row r="3326" spans="1:19" x14ac:dyDescent="0.35">
      <c r="A3326" s="5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6"/>
      <c r="P3326" s="23" t="e">
        <f>TRIM(Tabla1[[#This Row],[Articulo]])</f>
        <v>#VALUE!</v>
      </c>
      <c r="Q3326" s="23" t="e">
        <f>_xlfn.XLOOKUP(Tabla1[[#This Row],[Ean Normalizado]],Consumos!A:A,Consumos!E:E)</f>
        <v>#VALUE!</v>
      </c>
      <c r="R3326" s="38" t="e">
        <f>_xlfn.XLOOKUP(Tabla1[[#This Row],[Ean Normalizado]],tabla_consumos[EAN],tabla_consumos[UM])</f>
        <v>#VALUE!</v>
      </c>
      <c r="S3326" s="38" t="e">
        <f>Tabla1[[#This Row],[StockDisp]]*Tabla1[[#This Row],[UM producto]]</f>
        <v>#VALUE!</v>
      </c>
    </row>
    <row r="3327" spans="1:19" x14ac:dyDescent="0.35">
      <c r="A3327" s="5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6"/>
      <c r="P3327" s="23" t="e">
        <f>TRIM(Tabla1[[#This Row],[Articulo]])</f>
        <v>#VALUE!</v>
      </c>
      <c r="Q3327" s="23" t="e">
        <f>_xlfn.XLOOKUP(Tabla1[[#This Row],[Ean Normalizado]],Consumos!A:A,Consumos!E:E)</f>
        <v>#VALUE!</v>
      </c>
      <c r="R3327" s="38" t="e">
        <f>_xlfn.XLOOKUP(Tabla1[[#This Row],[Ean Normalizado]],tabla_consumos[EAN],tabla_consumos[UM])</f>
        <v>#VALUE!</v>
      </c>
      <c r="S3327" s="38" t="e">
        <f>Tabla1[[#This Row],[StockDisp]]*Tabla1[[#This Row],[UM producto]]</f>
        <v>#VALUE!</v>
      </c>
    </row>
    <row r="3328" spans="1:19" x14ac:dyDescent="0.35">
      <c r="A3328" s="5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6"/>
      <c r="P3328" s="23" t="e">
        <f>TRIM(Tabla1[[#This Row],[Articulo]])</f>
        <v>#VALUE!</v>
      </c>
      <c r="Q3328" s="23" t="e">
        <f>_xlfn.XLOOKUP(Tabla1[[#This Row],[Ean Normalizado]],Consumos!A:A,Consumos!E:E)</f>
        <v>#VALUE!</v>
      </c>
      <c r="R3328" s="38" t="e">
        <f>_xlfn.XLOOKUP(Tabla1[[#This Row],[Ean Normalizado]],tabla_consumos[EAN],tabla_consumos[UM])</f>
        <v>#VALUE!</v>
      </c>
      <c r="S3328" s="38" t="e">
        <f>Tabla1[[#This Row],[StockDisp]]*Tabla1[[#This Row],[UM producto]]</f>
        <v>#VALUE!</v>
      </c>
    </row>
    <row r="3329" spans="1:19" x14ac:dyDescent="0.35">
      <c r="A3329" s="5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6"/>
      <c r="P3329" s="23" t="e">
        <f>TRIM(Tabla1[[#This Row],[Articulo]])</f>
        <v>#VALUE!</v>
      </c>
      <c r="Q3329" s="23" t="e">
        <f>_xlfn.XLOOKUP(Tabla1[[#This Row],[Ean Normalizado]],Consumos!A:A,Consumos!E:E)</f>
        <v>#VALUE!</v>
      </c>
      <c r="R3329" s="38" t="e">
        <f>_xlfn.XLOOKUP(Tabla1[[#This Row],[Ean Normalizado]],tabla_consumos[EAN],tabla_consumos[UM])</f>
        <v>#VALUE!</v>
      </c>
      <c r="S3329" s="38" t="e">
        <f>Tabla1[[#This Row],[StockDisp]]*Tabla1[[#This Row],[UM producto]]</f>
        <v>#VALUE!</v>
      </c>
    </row>
    <row r="3330" spans="1:19" x14ac:dyDescent="0.35">
      <c r="A3330" s="5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6"/>
      <c r="P3330" s="23" t="e">
        <f>TRIM(Tabla1[[#This Row],[Articulo]])</f>
        <v>#VALUE!</v>
      </c>
      <c r="Q3330" s="23" t="e">
        <f>_xlfn.XLOOKUP(Tabla1[[#This Row],[Ean Normalizado]],Consumos!A:A,Consumos!E:E)</f>
        <v>#VALUE!</v>
      </c>
      <c r="R3330" s="38" t="e">
        <f>_xlfn.XLOOKUP(Tabla1[[#This Row],[Ean Normalizado]],tabla_consumos[EAN],tabla_consumos[UM])</f>
        <v>#VALUE!</v>
      </c>
      <c r="S3330" s="38" t="e">
        <f>Tabla1[[#This Row],[StockDisp]]*Tabla1[[#This Row],[UM producto]]</f>
        <v>#VALUE!</v>
      </c>
    </row>
    <row r="3331" spans="1:19" x14ac:dyDescent="0.35">
      <c r="A3331" s="5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6"/>
      <c r="P3331" s="23" t="e">
        <f>TRIM(Tabla1[[#This Row],[Articulo]])</f>
        <v>#VALUE!</v>
      </c>
      <c r="Q3331" s="23" t="e">
        <f>_xlfn.XLOOKUP(Tabla1[[#This Row],[Ean Normalizado]],Consumos!A:A,Consumos!E:E)</f>
        <v>#VALUE!</v>
      </c>
      <c r="R3331" s="38" t="e">
        <f>_xlfn.XLOOKUP(Tabla1[[#This Row],[Ean Normalizado]],tabla_consumos[EAN],tabla_consumos[UM])</f>
        <v>#VALUE!</v>
      </c>
      <c r="S3331" s="38" t="e">
        <f>Tabla1[[#This Row],[StockDisp]]*Tabla1[[#This Row],[UM producto]]</f>
        <v>#VALUE!</v>
      </c>
    </row>
    <row r="3332" spans="1:19" x14ac:dyDescent="0.35">
      <c r="A3332" s="5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6"/>
      <c r="P3332" s="23" t="e">
        <f>TRIM(Tabla1[[#This Row],[Articulo]])</f>
        <v>#VALUE!</v>
      </c>
      <c r="Q3332" s="23" t="e">
        <f>_xlfn.XLOOKUP(Tabla1[[#This Row],[Ean Normalizado]],Consumos!A:A,Consumos!E:E)</f>
        <v>#VALUE!</v>
      </c>
      <c r="R3332" s="38" t="e">
        <f>_xlfn.XLOOKUP(Tabla1[[#This Row],[Ean Normalizado]],tabla_consumos[EAN],tabla_consumos[UM])</f>
        <v>#VALUE!</v>
      </c>
      <c r="S3332" s="38" t="e">
        <f>Tabla1[[#This Row],[StockDisp]]*Tabla1[[#This Row],[UM producto]]</f>
        <v>#VALUE!</v>
      </c>
    </row>
    <row r="3333" spans="1:19" x14ac:dyDescent="0.35">
      <c r="A3333" s="5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6"/>
      <c r="P3333" s="23" t="e">
        <f>TRIM(Tabla1[[#This Row],[Articulo]])</f>
        <v>#VALUE!</v>
      </c>
      <c r="Q3333" s="23" t="e">
        <f>_xlfn.XLOOKUP(Tabla1[[#This Row],[Ean Normalizado]],Consumos!A:A,Consumos!E:E)</f>
        <v>#VALUE!</v>
      </c>
      <c r="R3333" s="38" t="e">
        <f>_xlfn.XLOOKUP(Tabla1[[#This Row],[Ean Normalizado]],tabla_consumos[EAN],tabla_consumos[UM])</f>
        <v>#VALUE!</v>
      </c>
      <c r="S3333" s="38" t="e">
        <f>Tabla1[[#This Row],[StockDisp]]*Tabla1[[#This Row],[UM producto]]</f>
        <v>#VALUE!</v>
      </c>
    </row>
    <row r="3334" spans="1:19" x14ac:dyDescent="0.35">
      <c r="A3334" s="5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6"/>
      <c r="P3334" s="23" t="e">
        <f>TRIM(Tabla1[[#This Row],[Articulo]])</f>
        <v>#VALUE!</v>
      </c>
      <c r="Q3334" s="23" t="e">
        <f>_xlfn.XLOOKUP(Tabla1[[#This Row],[Ean Normalizado]],Consumos!A:A,Consumos!E:E)</f>
        <v>#VALUE!</v>
      </c>
      <c r="R3334" s="38" t="e">
        <f>_xlfn.XLOOKUP(Tabla1[[#This Row],[Ean Normalizado]],tabla_consumos[EAN],tabla_consumos[UM])</f>
        <v>#VALUE!</v>
      </c>
      <c r="S3334" s="38" t="e">
        <f>Tabla1[[#This Row],[StockDisp]]*Tabla1[[#This Row],[UM producto]]</f>
        <v>#VALUE!</v>
      </c>
    </row>
    <row r="3335" spans="1:19" x14ac:dyDescent="0.35">
      <c r="A3335" s="5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6"/>
      <c r="P3335" s="23" t="e">
        <f>TRIM(Tabla1[[#This Row],[Articulo]])</f>
        <v>#VALUE!</v>
      </c>
      <c r="Q3335" s="23" t="e">
        <f>_xlfn.XLOOKUP(Tabla1[[#This Row],[Ean Normalizado]],Consumos!A:A,Consumos!E:E)</f>
        <v>#VALUE!</v>
      </c>
      <c r="R3335" s="38" t="e">
        <f>_xlfn.XLOOKUP(Tabla1[[#This Row],[Ean Normalizado]],tabla_consumos[EAN],tabla_consumos[UM])</f>
        <v>#VALUE!</v>
      </c>
      <c r="S3335" s="38" t="e">
        <f>Tabla1[[#This Row],[StockDisp]]*Tabla1[[#This Row],[UM producto]]</f>
        <v>#VALUE!</v>
      </c>
    </row>
    <row r="3336" spans="1:19" x14ac:dyDescent="0.35">
      <c r="A3336" s="5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6"/>
      <c r="P3336" s="23" t="e">
        <f>TRIM(Tabla1[[#This Row],[Articulo]])</f>
        <v>#VALUE!</v>
      </c>
      <c r="Q3336" s="23" t="e">
        <f>_xlfn.XLOOKUP(Tabla1[[#This Row],[Ean Normalizado]],Consumos!A:A,Consumos!E:E)</f>
        <v>#VALUE!</v>
      </c>
      <c r="R3336" s="38" t="e">
        <f>_xlfn.XLOOKUP(Tabla1[[#This Row],[Ean Normalizado]],tabla_consumos[EAN],tabla_consumos[UM])</f>
        <v>#VALUE!</v>
      </c>
      <c r="S3336" s="38" t="e">
        <f>Tabla1[[#This Row],[StockDisp]]*Tabla1[[#This Row],[UM producto]]</f>
        <v>#VALUE!</v>
      </c>
    </row>
    <row r="3337" spans="1:19" x14ac:dyDescent="0.35">
      <c r="A3337" s="5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6"/>
      <c r="P3337" s="23" t="e">
        <f>TRIM(Tabla1[[#This Row],[Articulo]])</f>
        <v>#VALUE!</v>
      </c>
      <c r="Q3337" s="23" t="e">
        <f>_xlfn.XLOOKUP(Tabla1[[#This Row],[Ean Normalizado]],Consumos!A:A,Consumos!E:E)</f>
        <v>#VALUE!</v>
      </c>
      <c r="R3337" s="38" t="e">
        <f>_xlfn.XLOOKUP(Tabla1[[#This Row],[Ean Normalizado]],tabla_consumos[EAN],tabla_consumos[UM])</f>
        <v>#VALUE!</v>
      </c>
      <c r="S3337" s="38" t="e">
        <f>Tabla1[[#This Row],[StockDisp]]*Tabla1[[#This Row],[UM producto]]</f>
        <v>#VALUE!</v>
      </c>
    </row>
    <row r="3338" spans="1:19" x14ac:dyDescent="0.35">
      <c r="A3338" s="5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6"/>
      <c r="P3338" s="23" t="e">
        <f>TRIM(Tabla1[[#This Row],[Articulo]])</f>
        <v>#VALUE!</v>
      </c>
      <c r="Q3338" s="23" t="e">
        <f>_xlfn.XLOOKUP(Tabla1[[#This Row],[Ean Normalizado]],Consumos!A:A,Consumos!E:E)</f>
        <v>#VALUE!</v>
      </c>
      <c r="R3338" s="38" t="e">
        <f>_xlfn.XLOOKUP(Tabla1[[#This Row],[Ean Normalizado]],tabla_consumos[EAN],tabla_consumos[UM])</f>
        <v>#VALUE!</v>
      </c>
      <c r="S3338" s="38" t="e">
        <f>Tabla1[[#This Row],[StockDisp]]*Tabla1[[#This Row],[UM producto]]</f>
        <v>#VALUE!</v>
      </c>
    </row>
    <row r="3339" spans="1:19" x14ac:dyDescent="0.35">
      <c r="A3339" s="5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6"/>
      <c r="P3339" s="23" t="e">
        <f>TRIM(Tabla1[[#This Row],[Articulo]])</f>
        <v>#VALUE!</v>
      </c>
      <c r="Q3339" s="23" t="e">
        <f>_xlfn.XLOOKUP(Tabla1[[#This Row],[Ean Normalizado]],Consumos!A:A,Consumos!E:E)</f>
        <v>#VALUE!</v>
      </c>
      <c r="R3339" s="38" t="e">
        <f>_xlfn.XLOOKUP(Tabla1[[#This Row],[Ean Normalizado]],tabla_consumos[EAN],tabla_consumos[UM])</f>
        <v>#VALUE!</v>
      </c>
      <c r="S3339" s="38" t="e">
        <f>Tabla1[[#This Row],[StockDisp]]*Tabla1[[#This Row],[UM producto]]</f>
        <v>#VALUE!</v>
      </c>
    </row>
    <row r="3340" spans="1:19" x14ac:dyDescent="0.35">
      <c r="A3340" s="5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6"/>
      <c r="P3340" s="23" t="e">
        <f>TRIM(Tabla1[[#This Row],[Articulo]])</f>
        <v>#VALUE!</v>
      </c>
      <c r="Q3340" s="23" t="e">
        <f>_xlfn.XLOOKUP(Tabla1[[#This Row],[Ean Normalizado]],Consumos!A:A,Consumos!E:E)</f>
        <v>#VALUE!</v>
      </c>
      <c r="R3340" s="38" t="e">
        <f>_xlfn.XLOOKUP(Tabla1[[#This Row],[Ean Normalizado]],tabla_consumos[EAN],tabla_consumos[UM])</f>
        <v>#VALUE!</v>
      </c>
      <c r="S3340" s="38" t="e">
        <f>Tabla1[[#This Row],[StockDisp]]*Tabla1[[#This Row],[UM producto]]</f>
        <v>#VALUE!</v>
      </c>
    </row>
    <row r="3341" spans="1:19" x14ac:dyDescent="0.35">
      <c r="A3341" s="5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6"/>
      <c r="P3341" s="23" t="e">
        <f>TRIM(Tabla1[[#This Row],[Articulo]])</f>
        <v>#VALUE!</v>
      </c>
      <c r="Q3341" s="23" t="e">
        <f>_xlfn.XLOOKUP(Tabla1[[#This Row],[Ean Normalizado]],Consumos!A:A,Consumos!E:E)</f>
        <v>#VALUE!</v>
      </c>
      <c r="R3341" s="38" t="e">
        <f>_xlfn.XLOOKUP(Tabla1[[#This Row],[Ean Normalizado]],tabla_consumos[EAN],tabla_consumos[UM])</f>
        <v>#VALUE!</v>
      </c>
      <c r="S3341" s="38" t="e">
        <f>Tabla1[[#This Row],[StockDisp]]*Tabla1[[#This Row],[UM producto]]</f>
        <v>#VALUE!</v>
      </c>
    </row>
    <row r="3342" spans="1:19" x14ac:dyDescent="0.35">
      <c r="A3342" s="5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6"/>
      <c r="P3342" s="23" t="e">
        <f>TRIM(Tabla1[[#This Row],[Articulo]])</f>
        <v>#VALUE!</v>
      </c>
      <c r="Q3342" s="23" t="e">
        <f>_xlfn.XLOOKUP(Tabla1[[#This Row],[Ean Normalizado]],Consumos!A:A,Consumos!E:E)</f>
        <v>#VALUE!</v>
      </c>
      <c r="R3342" s="38" t="e">
        <f>_xlfn.XLOOKUP(Tabla1[[#This Row],[Ean Normalizado]],tabla_consumos[EAN],tabla_consumos[UM])</f>
        <v>#VALUE!</v>
      </c>
      <c r="S3342" s="38" t="e">
        <f>Tabla1[[#This Row],[StockDisp]]*Tabla1[[#This Row],[UM producto]]</f>
        <v>#VALUE!</v>
      </c>
    </row>
    <row r="3343" spans="1:19" x14ac:dyDescent="0.35">
      <c r="A3343" s="5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6"/>
      <c r="P3343" s="23" t="e">
        <f>TRIM(Tabla1[[#This Row],[Articulo]])</f>
        <v>#VALUE!</v>
      </c>
      <c r="Q3343" s="23" t="e">
        <f>_xlfn.XLOOKUP(Tabla1[[#This Row],[Ean Normalizado]],Consumos!A:A,Consumos!E:E)</f>
        <v>#VALUE!</v>
      </c>
      <c r="R3343" s="38" t="e">
        <f>_xlfn.XLOOKUP(Tabla1[[#This Row],[Ean Normalizado]],tabla_consumos[EAN],tabla_consumos[UM])</f>
        <v>#VALUE!</v>
      </c>
      <c r="S3343" s="38" t="e">
        <f>Tabla1[[#This Row],[StockDisp]]*Tabla1[[#This Row],[UM producto]]</f>
        <v>#VALUE!</v>
      </c>
    </row>
    <row r="3344" spans="1:19" x14ac:dyDescent="0.35">
      <c r="A3344" s="5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6"/>
      <c r="P3344" s="23" t="e">
        <f>TRIM(Tabla1[[#This Row],[Articulo]])</f>
        <v>#VALUE!</v>
      </c>
      <c r="Q3344" s="23" t="e">
        <f>_xlfn.XLOOKUP(Tabla1[[#This Row],[Ean Normalizado]],Consumos!A:A,Consumos!E:E)</f>
        <v>#VALUE!</v>
      </c>
      <c r="R3344" s="38" t="e">
        <f>_xlfn.XLOOKUP(Tabla1[[#This Row],[Ean Normalizado]],tabla_consumos[EAN],tabla_consumos[UM])</f>
        <v>#VALUE!</v>
      </c>
      <c r="S3344" s="38" t="e">
        <f>Tabla1[[#This Row],[StockDisp]]*Tabla1[[#This Row],[UM producto]]</f>
        <v>#VALUE!</v>
      </c>
    </row>
    <row r="3345" spans="1:19" x14ac:dyDescent="0.35">
      <c r="A3345" s="5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6"/>
      <c r="P3345" s="23" t="e">
        <f>TRIM(Tabla1[[#This Row],[Articulo]])</f>
        <v>#VALUE!</v>
      </c>
      <c r="Q3345" s="23" t="e">
        <f>_xlfn.XLOOKUP(Tabla1[[#This Row],[Ean Normalizado]],Consumos!A:A,Consumos!E:E)</f>
        <v>#VALUE!</v>
      </c>
      <c r="R3345" s="38" t="e">
        <f>_xlfn.XLOOKUP(Tabla1[[#This Row],[Ean Normalizado]],tabla_consumos[EAN],tabla_consumos[UM])</f>
        <v>#VALUE!</v>
      </c>
      <c r="S3345" s="38" t="e">
        <f>Tabla1[[#This Row],[StockDisp]]*Tabla1[[#This Row],[UM producto]]</f>
        <v>#VALUE!</v>
      </c>
    </row>
    <row r="3346" spans="1:19" x14ac:dyDescent="0.35">
      <c r="A3346" s="5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6"/>
      <c r="P3346" s="23" t="e">
        <f>TRIM(Tabla1[[#This Row],[Articulo]])</f>
        <v>#VALUE!</v>
      </c>
      <c r="Q3346" s="23" t="e">
        <f>_xlfn.XLOOKUP(Tabla1[[#This Row],[Ean Normalizado]],Consumos!A:A,Consumos!E:E)</f>
        <v>#VALUE!</v>
      </c>
      <c r="R3346" s="38" t="e">
        <f>_xlfn.XLOOKUP(Tabla1[[#This Row],[Ean Normalizado]],tabla_consumos[EAN],tabla_consumos[UM])</f>
        <v>#VALUE!</v>
      </c>
      <c r="S3346" s="38" t="e">
        <f>Tabla1[[#This Row],[StockDisp]]*Tabla1[[#This Row],[UM producto]]</f>
        <v>#VALUE!</v>
      </c>
    </row>
    <row r="3347" spans="1:19" x14ac:dyDescent="0.35">
      <c r="A3347" s="5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6"/>
      <c r="P3347" s="23" t="e">
        <f>TRIM(Tabla1[[#This Row],[Articulo]])</f>
        <v>#VALUE!</v>
      </c>
      <c r="Q3347" s="23" t="e">
        <f>_xlfn.XLOOKUP(Tabla1[[#This Row],[Ean Normalizado]],Consumos!A:A,Consumos!E:E)</f>
        <v>#VALUE!</v>
      </c>
      <c r="R3347" s="38" t="e">
        <f>_xlfn.XLOOKUP(Tabla1[[#This Row],[Ean Normalizado]],tabla_consumos[EAN],tabla_consumos[UM])</f>
        <v>#VALUE!</v>
      </c>
      <c r="S3347" s="38" t="e">
        <f>Tabla1[[#This Row],[StockDisp]]*Tabla1[[#This Row],[UM producto]]</f>
        <v>#VALUE!</v>
      </c>
    </row>
    <row r="3348" spans="1:19" x14ac:dyDescent="0.35">
      <c r="A3348" s="5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6"/>
      <c r="P3348" s="23" t="e">
        <f>TRIM(Tabla1[[#This Row],[Articulo]])</f>
        <v>#VALUE!</v>
      </c>
      <c r="Q3348" s="23" t="e">
        <f>_xlfn.XLOOKUP(Tabla1[[#This Row],[Ean Normalizado]],Consumos!A:A,Consumos!E:E)</f>
        <v>#VALUE!</v>
      </c>
      <c r="R3348" s="38" t="e">
        <f>_xlfn.XLOOKUP(Tabla1[[#This Row],[Ean Normalizado]],tabla_consumos[EAN],tabla_consumos[UM])</f>
        <v>#VALUE!</v>
      </c>
      <c r="S3348" s="38" t="e">
        <f>Tabla1[[#This Row],[StockDisp]]*Tabla1[[#This Row],[UM producto]]</f>
        <v>#VALUE!</v>
      </c>
    </row>
    <row r="3349" spans="1:19" x14ac:dyDescent="0.35">
      <c r="A3349" s="5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6"/>
      <c r="P3349" s="23" t="e">
        <f>TRIM(Tabla1[[#This Row],[Articulo]])</f>
        <v>#VALUE!</v>
      </c>
      <c r="Q3349" s="23" t="e">
        <f>_xlfn.XLOOKUP(Tabla1[[#This Row],[Ean Normalizado]],Consumos!A:A,Consumos!E:E)</f>
        <v>#VALUE!</v>
      </c>
      <c r="R3349" s="38" t="e">
        <f>_xlfn.XLOOKUP(Tabla1[[#This Row],[Ean Normalizado]],tabla_consumos[EAN],tabla_consumos[UM])</f>
        <v>#VALUE!</v>
      </c>
      <c r="S3349" s="38" t="e">
        <f>Tabla1[[#This Row],[StockDisp]]*Tabla1[[#This Row],[UM producto]]</f>
        <v>#VALUE!</v>
      </c>
    </row>
    <row r="3350" spans="1:19" x14ac:dyDescent="0.35">
      <c r="A3350" s="5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6"/>
      <c r="P3350" s="23" t="e">
        <f>TRIM(Tabla1[[#This Row],[Articulo]])</f>
        <v>#VALUE!</v>
      </c>
      <c r="Q3350" s="23" t="e">
        <f>_xlfn.XLOOKUP(Tabla1[[#This Row],[Ean Normalizado]],Consumos!A:A,Consumos!E:E)</f>
        <v>#VALUE!</v>
      </c>
      <c r="R3350" s="38" t="e">
        <f>_xlfn.XLOOKUP(Tabla1[[#This Row],[Ean Normalizado]],tabla_consumos[EAN],tabla_consumos[UM])</f>
        <v>#VALUE!</v>
      </c>
      <c r="S3350" s="38" t="e">
        <f>Tabla1[[#This Row],[StockDisp]]*Tabla1[[#This Row],[UM producto]]</f>
        <v>#VALUE!</v>
      </c>
    </row>
    <row r="3351" spans="1:19" x14ac:dyDescent="0.35">
      <c r="A3351" s="5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6"/>
      <c r="P3351" s="23" t="e">
        <f>TRIM(Tabla1[[#This Row],[Articulo]])</f>
        <v>#VALUE!</v>
      </c>
      <c r="Q3351" s="23" t="e">
        <f>_xlfn.XLOOKUP(Tabla1[[#This Row],[Ean Normalizado]],Consumos!A:A,Consumos!E:E)</f>
        <v>#VALUE!</v>
      </c>
      <c r="R3351" s="38" t="e">
        <f>_xlfn.XLOOKUP(Tabla1[[#This Row],[Ean Normalizado]],tabla_consumos[EAN],tabla_consumos[UM])</f>
        <v>#VALUE!</v>
      </c>
      <c r="S3351" s="38" t="e">
        <f>Tabla1[[#This Row],[StockDisp]]*Tabla1[[#This Row],[UM producto]]</f>
        <v>#VALUE!</v>
      </c>
    </row>
    <row r="3352" spans="1:19" x14ac:dyDescent="0.35">
      <c r="A3352" s="5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6"/>
      <c r="P3352" s="23" t="e">
        <f>TRIM(Tabla1[[#This Row],[Articulo]])</f>
        <v>#VALUE!</v>
      </c>
      <c r="Q3352" s="23" t="e">
        <f>_xlfn.XLOOKUP(Tabla1[[#This Row],[Ean Normalizado]],Consumos!A:A,Consumos!E:E)</f>
        <v>#VALUE!</v>
      </c>
      <c r="R3352" s="38" t="e">
        <f>_xlfn.XLOOKUP(Tabla1[[#This Row],[Ean Normalizado]],tabla_consumos[EAN],tabla_consumos[UM])</f>
        <v>#VALUE!</v>
      </c>
      <c r="S3352" s="38" t="e">
        <f>Tabla1[[#This Row],[StockDisp]]*Tabla1[[#This Row],[UM producto]]</f>
        <v>#VALUE!</v>
      </c>
    </row>
    <row r="3353" spans="1:19" x14ac:dyDescent="0.35">
      <c r="A3353" s="5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6"/>
      <c r="P3353" s="23" t="e">
        <f>TRIM(Tabla1[[#This Row],[Articulo]])</f>
        <v>#VALUE!</v>
      </c>
      <c r="Q3353" s="23" t="e">
        <f>_xlfn.XLOOKUP(Tabla1[[#This Row],[Ean Normalizado]],Consumos!A:A,Consumos!E:E)</f>
        <v>#VALUE!</v>
      </c>
      <c r="R3353" s="38" t="e">
        <f>_xlfn.XLOOKUP(Tabla1[[#This Row],[Ean Normalizado]],tabla_consumos[EAN],tabla_consumos[UM])</f>
        <v>#VALUE!</v>
      </c>
      <c r="S3353" s="38" t="e">
        <f>Tabla1[[#This Row],[StockDisp]]*Tabla1[[#This Row],[UM producto]]</f>
        <v>#VALUE!</v>
      </c>
    </row>
    <row r="3354" spans="1:19" x14ac:dyDescent="0.35">
      <c r="A3354" s="5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6"/>
      <c r="P3354" s="23" t="e">
        <f>TRIM(Tabla1[[#This Row],[Articulo]])</f>
        <v>#VALUE!</v>
      </c>
      <c r="Q3354" s="23" t="e">
        <f>_xlfn.XLOOKUP(Tabla1[[#This Row],[Ean Normalizado]],Consumos!A:A,Consumos!E:E)</f>
        <v>#VALUE!</v>
      </c>
      <c r="R3354" s="38" t="e">
        <f>_xlfn.XLOOKUP(Tabla1[[#This Row],[Ean Normalizado]],tabla_consumos[EAN],tabla_consumos[UM])</f>
        <v>#VALUE!</v>
      </c>
      <c r="S3354" s="38" t="e">
        <f>Tabla1[[#This Row],[StockDisp]]*Tabla1[[#This Row],[UM producto]]</f>
        <v>#VALUE!</v>
      </c>
    </row>
    <row r="3355" spans="1:19" x14ac:dyDescent="0.35">
      <c r="A3355" s="5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6"/>
      <c r="P3355" s="23" t="e">
        <f>TRIM(Tabla1[[#This Row],[Articulo]])</f>
        <v>#VALUE!</v>
      </c>
      <c r="Q3355" s="23" t="e">
        <f>_xlfn.XLOOKUP(Tabla1[[#This Row],[Ean Normalizado]],Consumos!A:A,Consumos!E:E)</f>
        <v>#VALUE!</v>
      </c>
      <c r="R3355" s="38" t="e">
        <f>_xlfn.XLOOKUP(Tabla1[[#This Row],[Ean Normalizado]],tabla_consumos[EAN],tabla_consumos[UM])</f>
        <v>#VALUE!</v>
      </c>
      <c r="S3355" s="38" t="e">
        <f>Tabla1[[#This Row],[StockDisp]]*Tabla1[[#This Row],[UM producto]]</f>
        <v>#VALUE!</v>
      </c>
    </row>
    <row r="3356" spans="1:19" x14ac:dyDescent="0.35">
      <c r="A3356" s="5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6"/>
      <c r="P3356" s="23" t="e">
        <f>TRIM(Tabla1[[#This Row],[Articulo]])</f>
        <v>#VALUE!</v>
      </c>
      <c r="Q3356" s="23" t="e">
        <f>_xlfn.XLOOKUP(Tabla1[[#This Row],[Ean Normalizado]],Consumos!A:A,Consumos!E:E)</f>
        <v>#VALUE!</v>
      </c>
      <c r="R3356" s="38" t="e">
        <f>_xlfn.XLOOKUP(Tabla1[[#This Row],[Ean Normalizado]],tabla_consumos[EAN],tabla_consumos[UM])</f>
        <v>#VALUE!</v>
      </c>
      <c r="S3356" s="38" t="e">
        <f>Tabla1[[#This Row],[StockDisp]]*Tabla1[[#This Row],[UM producto]]</f>
        <v>#VALUE!</v>
      </c>
    </row>
    <row r="3357" spans="1:19" x14ac:dyDescent="0.35">
      <c r="A3357" s="5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6"/>
      <c r="P3357" s="23" t="e">
        <f>TRIM(Tabla1[[#This Row],[Articulo]])</f>
        <v>#VALUE!</v>
      </c>
      <c r="Q3357" s="23" t="e">
        <f>_xlfn.XLOOKUP(Tabla1[[#This Row],[Ean Normalizado]],Consumos!A:A,Consumos!E:E)</f>
        <v>#VALUE!</v>
      </c>
      <c r="R3357" s="38" t="e">
        <f>_xlfn.XLOOKUP(Tabla1[[#This Row],[Ean Normalizado]],tabla_consumos[EAN],tabla_consumos[UM])</f>
        <v>#VALUE!</v>
      </c>
      <c r="S3357" s="38" t="e">
        <f>Tabla1[[#This Row],[StockDisp]]*Tabla1[[#This Row],[UM producto]]</f>
        <v>#VALUE!</v>
      </c>
    </row>
    <row r="3358" spans="1:19" x14ac:dyDescent="0.35">
      <c r="A3358" s="5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6"/>
      <c r="P3358" s="23" t="e">
        <f>TRIM(Tabla1[[#This Row],[Articulo]])</f>
        <v>#VALUE!</v>
      </c>
      <c r="Q3358" s="23" t="e">
        <f>_xlfn.XLOOKUP(Tabla1[[#This Row],[Ean Normalizado]],Consumos!A:A,Consumos!E:E)</f>
        <v>#VALUE!</v>
      </c>
      <c r="R3358" s="38" t="e">
        <f>_xlfn.XLOOKUP(Tabla1[[#This Row],[Ean Normalizado]],tabla_consumos[EAN],tabla_consumos[UM])</f>
        <v>#VALUE!</v>
      </c>
      <c r="S3358" s="38" t="e">
        <f>Tabla1[[#This Row],[StockDisp]]*Tabla1[[#This Row],[UM producto]]</f>
        <v>#VALUE!</v>
      </c>
    </row>
    <row r="3359" spans="1:19" x14ac:dyDescent="0.35">
      <c r="A3359" s="5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6"/>
      <c r="P3359" s="23" t="e">
        <f>TRIM(Tabla1[[#This Row],[Articulo]])</f>
        <v>#VALUE!</v>
      </c>
      <c r="Q3359" s="23" t="e">
        <f>_xlfn.XLOOKUP(Tabla1[[#This Row],[Ean Normalizado]],Consumos!A:A,Consumos!E:E)</f>
        <v>#VALUE!</v>
      </c>
      <c r="R3359" s="38" t="e">
        <f>_xlfn.XLOOKUP(Tabla1[[#This Row],[Ean Normalizado]],tabla_consumos[EAN],tabla_consumos[UM])</f>
        <v>#VALUE!</v>
      </c>
      <c r="S3359" s="38" t="e">
        <f>Tabla1[[#This Row],[StockDisp]]*Tabla1[[#This Row],[UM producto]]</f>
        <v>#VALUE!</v>
      </c>
    </row>
    <row r="3360" spans="1:19" x14ac:dyDescent="0.35">
      <c r="A3360" s="5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6"/>
      <c r="P3360" s="23" t="e">
        <f>TRIM(Tabla1[[#This Row],[Articulo]])</f>
        <v>#VALUE!</v>
      </c>
      <c r="Q3360" s="23" t="e">
        <f>_xlfn.XLOOKUP(Tabla1[[#This Row],[Ean Normalizado]],Consumos!A:A,Consumos!E:E)</f>
        <v>#VALUE!</v>
      </c>
      <c r="R3360" s="38" t="e">
        <f>_xlfn.XLOOKUP(Tabla1[[#This Row],[Ean Normalizado]],tabla_consumos[EAN],tabla_consumos[UM])</f>
        <v>#VALUE!</v>
      </c>
      <c r="S3360" s="38" t="e">
        <f>Tabla1[[#This Row],[StockDisp]]*Tabla1[[#This Row],[UM producto]]</f>
        <v>#VALUE!</v>
      </c>
    </row>
    <row r="3361" spans="1:19" x14ac:dyDescent="0.35">
      <c r="A3361" s="5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6"/>
      <c r="P3361" s="23" t="e">
        <f>TRIM(Tabla1[[#This Row],[Articulo]])</f>
        <v>#VALUE!</v>
      </c>
      <c r="Q3361" s="23" t="e">
        <f>_xlfn.XLOOKUP(Tabla1[[#This Row],[Ean Normalizado]],Consumos!A:A,Consumos!E:E)</f>
        <v>#VALUE!</v>
      </c>
      <c r="R3361" s="38" t="e">
        <f>_xlfn.XLOOKUP(Tabla1[[#This Row],[Ean Normalizado]],tabla_consumos[EAN],tabla_consumos[UM])</f>
        <v>#VALUE!</v>
      </c>
      <c r="S3361" s="38" t="e">
        <f>Tabla1[[#This Row],[StockDisp]]*Tabla1[[#This Row],[UM producto]]</f>
        <v>#VALUE!</v>
      </c>
    </row>
    <row r="3362" spans="1:19" x14ac:dyDescent="0.35">
      <c r="A3362" s="5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6"/>
      <c r="P3362" s="23" t="e">
        <f>TRIM(Tabla1[[#This Row],[Articulo]])</f>
        <v>#VALUE!</v>
      </c>
      <c r="Q3362" s="23" t="e">
        <f>_xlfn.XLOOKUP(Tabla1[[#This Row],[Ean Normalizado]],Consumos!A:A,Consumos!E:E)</f>
        <v>#VALUE!</v>
      </c>
      <c r="R3362" s="38" t="e">
        <f>_xlfn.XLOOKUP(Tabla1[[#This Row],[Ean Normalizado]],tabla_consumos[EAN],tabla_consumos[UM])</f>
        <v>#VALUE!</v>
      </c>
      <c r="S3362" s="38" t="e">
        <f>Tabla1[[#This Row],[StockDisp]]*Tabla1[[#This Row],[UM producto]]</f>
        <v>#VALUE!</v>
      </c>
    </row>
    <row r="3363" spans="1:19" x14ac:dyDescent="0.35">
      <c r="A3363" s="5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6"/>
      <c r="P3363" s="23" t="e">
        <f>TRIM(Tabla1[[#This Row],[Articulo]])</f>
        <v>#VALUE!</v>
      </c>
      <c r="Q3363" s="23" t="e">
        <f>_xlfn.XLOOKUP(Tabla1[[#This Row],[Ean Normalizado]],Consumos!A:A,Consumos!E:E)</f>
        <v>#VALUE!</v>
      </c>
      <c r="R3363" s="38" t="e">
        <f>_xlfn.XLOOKUP(Tabla1[[#This Row],[Ean Normalizado]],tabla_consumos[EAN],tabla_consumos[UM])</f>
        <v>#VALUE!</v>
      </c>
      <c r="S3363" s="38" t="e">
        <f>Tabla1[[#This Row],[StockDisp]]*Tabla1[[#This Row],[UM producto]]</f>
        <v>#VALUE!</v>
      </c>
    </row>
    <row r="3364" spans="1:19" x14ac:dyDescent="0.35">
      <c r="A3364" s="5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6"/>
      <c r="P3364" s="23" t="e">
        <f>TRIM(Tabla1[[#This Row],[Articulo]])</f>
        <v>#VALUE!</v>
      </c>
      <c r="Q3364" s="23" t="e">
        <f>_xlfn.XLOOKUP(Tabla1[[#This Row],[Ean Normalizado]],Consumos!A:A,Consumos!E:E)</f>
        <v>#VALUE!</v>
      </c>
      <c r="R3364" s="38" t="e">
        <f>_xlfn.XLOOKUP(Tabla1[[#This Row],[Ean Normalizado]],tabla_consumos[EAN],tabla_consumos[UM])</f>
        <v>#VALUE!</v>
      </c>
      <c r="S3364" s="38" t="e">
        <f>Tabla1[[#This Row],[StockDisp]]*Tabla1[[#This Row],[UM producto]]</f>
        <v>#VALUE!</v>
      </c>
    </row>
    <row r="3365" spans="1:19" x14ac:dyDescent="0.35">
      <c r="A3365" s="5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6"/>
      <c r="P3365" s="23" t="e">
        <f>TRIM(Tabla1[[#This Row],[Articulo]])</f>
        <v>#VALUE!</v>
      </c>
      <c r="Q3365" s="23" t="e">
        <f>_xlfn.XLOOKUP(Tabla1[[#This Row],[Ean Normalizado]],Consumos!A:A,Consumos!E:E)</f>
        <v>#VALUE!</v>
      </c>
      <c r="R3365" s="38" t="e">
        <f>_xlfn.XLOOKUP(Tabla1[[#This Row],[Ean Normalizado]],tabla_consumos[EAN],tabla_consumos[UM])</f>
        <v>#VALUE!</v>
      </c>
      <c r="S3365" s="38" t="e">
        <f>Tabla1[[#This Row],[StockDisp]]*Tabla1[[#This Row],[UM producto]]</f>
        <v>#VALUE!</v>
      </c>
    </row>
    <row r="3366" spans="1:19" x14ac:dyDescent="0.35">
      <c r="A3366" s="5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6"/>
      <c r="P3366" s="23" t="e">
        <f>TRIM(Tabla1[[#This Row],[Articulo]])</f>
        <v>#VALUE!</v>
      </c>
      <c r="Q3366" s="23" t="e">
        <f>_xlfn.XLOOKUP(Tabla1[[#This Row],[Ean Normalizado]],Consumos!A:A,Consumos!E:E)</f>
        <v>#VALUE!</v>
      </c>
      <c r="R3366" s="38" t="e">
        <f>_xlfn.XLOOKUP(Tabla1[[#This Row],[Ean Normalizado]],tabla_consumos[EAN],tabla_consumos[UM])</f>
        <v>#VALUE!</v>
      </c>
      <c r="S3366" s="38" t="e">
        <f>Tabla1[[#This Row],[StockDisp]]*Tabla1[[#This Row],[UM producto]]</f>
        <v>#VALUE!</v>
      </c>
    </row>
    <row r="3367" spans="1:19" x14ac:dyDescent="0.35">
      <c r="A3367" s="5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6"/>
      <c r="P3367" s="23" t="e">
        <f>TRIM(Tabla1[[#This Row],[Articulo]])</f>
        <v>#VALUE!</v>
      </c>
      <c r="Q3367" s="23" t="e">
        <f>_xlfn.XLOOKUP(Tabla1[[#This Row],[Ean Normalizado]],Consumos!A:A,Consumos!E:E)</f>
        <v>#VALUE!</v>
      </c>
      <c r="R3367" s="38" t="e">
        <f>_xlfn.XLOOKUP(Tabla1[[#This Row],[Ean Normalizado]],tabla_consumos[EAN],tabla_consumos[UM])</f>
        <v>#VALUE!</v>
      </c>
      <c r="S3367" s="38" t="e">
        <f>Tabla1[[#This Row],[StockDisp]]*Tabla1[[#This Row],[UM producto]]</f>
        <v>#VALUE!</v>
      </c>
    </row>
    <row r="3368" spans="1:19" x14ac:dyDescent="0.35">
      <c r="A3368" s="5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6"/>
      <c r="P3368" s="23" t="e">
        <f>TRIM(Tabla1[[#This Row],[Articulo]])</f>
        <v>#VALUE!</v>
      </c>
      <c r="Q3368" s="23" t="e">
        <f>_xlfn.XLOOKUP(Tabla1[[#This Row],[Ean Normalizado]],Consumos!A:A,Consumos!E:E)</f>
        <v>#VALUE!</v>
      </c>
      <c r="R3368" s="38" t="e">
        <f>_xlfn.XLOOKUP(Tabla1[[#This Row],[Ean Normalizado]],tabla_consumos[EAN],tabla_consumos[UM])</f>
        <v>#VALUE!</v>
      </c>
      <c r="S3368" s="38" t="e">
        <f>Tabla1[[#This Row],[StockDisp]]*Tabla1[[#This Row],[UM producto]]</f>
        <v>#VALUE!</v>
      </c>
    </row>
    <row r="3369" spans="1:19" x14ac:dyDescent="0.35">
      <c r="A3369" s="5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6"/>
      <c r="P3369" s="23" t="e">
        <f>TRIM(Tabla1[[#This Row],[Articulo]])</f>
        <v>#VALUE!</v>
      </c>
      <c r="Q3369" s="23" t="e">
        <f>_xlfn.XLOOKUP(Tabla1[[#This Row],[Ean Normalizado]],Consumos!A:A,Consumos!E:E)</f>
        <v>#VALUE!</v>
      </c>
      <c r="R3369" s="38" t="e">
        <f>_xlfn.XLOOKUP(Tabla1[[#This Row],[Ean Normalizado]],tabla_consumos[EAN],tabla_consumos[UM])</f>
        <v>#VALUE!</v>
      </c>
      <c r="S3369" s="38" t="e">
        <f>Tabla1[[#This Row],[StockDisp]]*Tabla1[[#This Row],[UM producto]]</f>
        <v>#VALUE!</v>
      </c>
    </row>
    <row r="3370" spans="1:19" x14ac:dyDescent="0.35">
      <c r="A3370" s="5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6"/>
      <c r="P3370" s="23" t="e">
        <f>TRIM(Tabla1[[#This Row],[Articulo]])</f>
        <v>#VALUE!</v>
      </c>
      <c r="Q3370" s="23" t="e">
        <f>_xlfn.XLOOKUP(Tabla1[[#This Row],[Ean Normalizado]],Consumos!A:A,Consumos!E:E)</f>
        <v>#VALUE!</v>
      </c>
      <c r="R3370" s="38" t="e">
        <f>_xlfn.XLOOKUP(Tabla1[[#This Row],[Ean Normalizado]],tabla_consumos[EAN],tabla_consumos[UM])</f>
        <v>#VALUE!</v>
      </c>
      <c r="S3370" s="38" t="e">
        <f>Tabla1[[#This Row],[StockDisp]]*Tabla1[[#This Row],[UM producto]]</f>
        <v>#VALUE!</v>
      </c>
    </row>
    <row r="3371" spans="1:19" x14ac:dyDescent="0.35">
      <c r="A3371" s="5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6"/>
      <c r="P3371" s="23" t="e">
        <f>TRIM(Tabla1[[#This Row],[Articulo]])</f>
        <v>#VALUE!</v>
      </c>
      <c r="Q3371" s="23" t="e">
        <f>_xlfn.XLOOKUP(Tabla1[[#This Row],[Ean Normalizado]],Consumos!A:A,Consumos!E:E)</f>
        <v>#VALUE!</v>
      </c>
      <c r="R3371" s="38" t="e">
        <f>_xlfn.XLOOKUP(Tabla1[[#This Row],[Ean Normalizado]],tabla_consumos[EAN],tabla_consumos[UM])</f>
        <v>#VALUE!</v>
      </c>
      <c r="S3371" s="38" t="e">
        <f>Tabla1[[#This Row],[StockDisp]]*Tabla1[[#This Row],[UM producto]]</f>
        <v>#VALUE!</v>
      </c>
    </row>
    <row r="3372" spans="1:19" x14ac:dyDescent="0.35">
      <c r="A3372" s="5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6"/>
      <c r="P3372" s="23" t="e">
        <f>TRIM(Tabla1[[#This Row],[Articulo]])</f>
        <v>#VALUE!</v>
      </c>
      <c r="Q3372" s="23" t="e">
        <f>_xlfn.XLOOKUP(Tabla1[[#This Row],[Ean Normalizado]],Consumos!A:A,Consumos!E:E)</f>
        <v>#VALUE!</v>
      </c>
      <c r="R3372" s="38" t="e">
        <f>_xlfn.XLOOKUP(Tabla1[[#This Row],[Ean Normalizado]],tabla_consumos[EAN],tabla_consumos[UM])</f>
        <v>#VALUE!</v>
      </c>
      <c r="S3372" s="38" t="e">
        <f>Tabla1[[#This Row],[StockDisp]]*Tabla1[[#This Row],[UM producto]]</f>
        <v>#VALUE!</v>
      </c>
    </row>
    <row r="3373" spans="1:19" x14ac:dyDescent="0.35">
      <c r="A3373" s="5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6"/>
      <c r="P3373" s="23" t="e">
        <f>TRIM(Tabla1[[#This Row],[Articulo]])</f>
        <v>#VALUE!</v>
      </c>
      <c r="Q3373" s="23" t="e">
        <f>_xlfn.XLOOKUP(Tabla1[[#This Row],[Ean Normalizado]],Consumos!A:A,Consumos!E:E)</f>
        <v>#VALUE!</v>
      </c>
      <c r="R3373" s="38" t="e">
        <f>_xlfn.XLOOKUP(Tabla1[[#This Row],[Ean Normalizado]],tabla_consumos[EAN],tabla_consumos[UM])</f>
        <v>#VALUE!</v>
      </c>
      <c r="S3373" s="38" t="e">
        <f>Tabla1[[#This Row],[StockDisp]]*Tabla1[[#This Row],[UM producto]]</f>
        <v>#VALUE!</v>
      </c>
    </row>
    <row r="3374" spans="1:19" x14ac:dyDescent="0.35">
      <c r="A3374" s="5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6"/>
      <c r="P3374" s="23" t="e">
        <f>TRIM(Tabla1[[#This Row],[Articulo]])</f>
        <v>#VALUE!</v>
      </c>
      <c r="Q3374" s="23" t="e">
        <f>_xlfn.XLOOKUP(Tabla1[[#This Row],[Ean Normalizado]],Consumos!A:A,Consumos!E:E)</f>
        <v>#VALUE!</v>
      </c>
      <c r="R3374" s="38" t="e">
        <f>_xlfn.XLOOKUP(Tabla1[[#This Row],[Ean Normalizado]],tabla_consumos[EAN],tabla_consumos[UM])</f>
        <v>#VALUE!</v>
      </c>
      <c r="S3374" s="38" t="e">
        <f>Tabla1[[#This Row],[StockDisp]]*Tabla1[[#This Row],[UM producto]]</f>
        <v>#VALUE!</v>
      </c>
    </row>
    <row r="3375" spans="1:19" x14ac:dyDescent="0.35">
      <c r="A3375" s="5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6"/>
      <c r="P3375" s="23" t="e">
        <f>TRIM(Tabla1[[#This Row],[Articulo]])</f>
        <v>#VALUE!</v>
      </c>
      <c r="Q3375" s="23" t="e">
        <f>_xlfn.XLOOKUP(Tabla1[[#This Row],[Ean Normalizado]],Consumos!A:A,Consumos!E:E)</f>
        <v>#VALUE!</v>
      </c>
      <c r="R3375" s="38" t="e">
        <f>_xlfn.XLOOKUP(Tabla1[[#This Row],[Ean Normalizado]],tabla_consumos[EAN],tabla_consumos[UM])</f>
        <v>#VALUE!</v>
      </c>
      <c r="S3375" s="38" t="e">
        <f>Tabla1[[#This Row],[StockDisp]]*Tabla1[[#This Row],[UM producto]]</f>
        <v>#VALUE!</v>
      </c>
    </row>
    <row r="3376" spans="1:19" x14ac:dyDescent="0.35">
      <c r="A3376" s="5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6"/>
      <c r="P3376" s="23" t="e">
        <f>TRIM(Tabla1[[#This Row],[Articulo]])</f>
        <v>#VALUE!</v>
      </c>
      <c r="Q3376" s="23" t="e">
        <f>_xlfn.XLOOKUP(Tabla1[[#This Row],[Ean Normalizado]],Consumos!A:A,Consumos!E:E)</f>
        <v>#VALUE!</v>
      </c>
      <c r="R3376" s="38" t="e">
        <f>_xlfn.XLOOKUP(Tabla1[[#This Row],[Ean Normalizado]],tabla_consumos[EAN],tabla_consumos[UM])</f>
        <v>#VALUE!</v>
      </c>
      <c r="S3376" s="38" t="e">
        <f>Tabla1[[#This Row],[StockDisp]]*Tabla1[[#This Row],[UM producto]]</f>
        <v>#VALUE!</v>
      </c>
    </row>
    <row r="3377" spans="1:19" x14ac:dyDescent="0.35">
      <c r="A3377" s="5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6"/>
      <c r="P3377" s="23" t="e">
        <f>TRIM(Tabla1[[#This Row],[Articulo]])</f>
        <v>#VALUE!</v>
      </c>
      <c r="Q3377" s="23" t="e">
        <f>_xlfn.XLOOKUP(Tabla1[[#This Row],[Ean Normalizado]],Consumos!A:A,Consumos!E:E)</f>
        <v>#VALUE!</v>
      </c>
      <c r="R3377" s="38" t="e">
        <f>_xlfn.XLOOKUP(Tabla1[[#This Row],[Ean Normalizado]],tabla_consumos[EAN],tabla_consumos[UM])</f>
        <v>#VALUE!</v>
      </c>
      <c r="S3377" s="38" t="e">
        <f>Tabla1[[#This Row],[StockDisp]]*Tabla1[[#This Row],[UM producto]]</f>
        <v>#VALUE!</v>
      </c>
    </row>
    <row r="3378" spans="1:19" x14ac:dyDescent="0.35">
      <c r="A3378" s="5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6"/>
      <c r="P3378" s="23" t="e">
        <f>TRIM(Tabla1[[#This Row],[Articulo]])</f>
        <v>#VALUE!</v>
      </c>
      <c r="Q3378" s="23" t="e">
        <f>_xlfn.XLOOKUP(Tabla1[[#This Row],[Ean Normalizado]],Consumos!A:A,Consumos!E:E)</f>
        <v>#VALUE!</v>
      </c>
      <c r="R3378" s="38" t="e">
        <f>_xlfn.XLOOKUP(Tabla1[[#This Row],[Ean Normalizado]],tabla_consumos[EAN],tabla_consumos[UM])</f>
        <v>#VALUE!</v>
      </c>
      <c r="S3378" s="38" t="e">
        <f>Tabla1[[#This Row],[StockDisp]]*Tabla1[[#This Row],[UM producto]]</f>
        <v>#VALUE!</v>
      </c>
    </row>
    <row r="3379" spans="1:19" x14ac:dyDescent="0.35">
      <c r="A3379" s="5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6"/>
      <c r="P3379" s="23" t="e">
        <f>TRIM(Tabla1[[#This Row],[Articulo]])</f>
        <v>#VALUE!</v>
      </c>
      <c r="Q3379" s="23" t="e">
        <f>_xlfn.XLOOKUP(Tabla1[[#This Row],[Ean Normalizado]],Consumos!A:A,Consumos!E:E)</f>
        <v>#VALUE!</v>
      </c>
      <c r="R3379" s="38" t="e">
        <f>_xlfn.XLOOKUP(Tabla1[[#This Row],[Ean Normalizado]],tabla_consumos[EAN],tabla_consumos[UM])</f>
        <v>#VALUE!</v>
      </c>
      <c r="S3379" s="38" t="e">
        <f>Tabla1[[#This Row],[StockDisp]]*Tabla1[[#This Row],[UM producto]]</f>
        <v>#VALUE!</v>
      </c>
    </row>
    <row r="3380" spans="1:19" x14ac:dyDescent="0.35">
      <c r="A3380" s="5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6"/>
      <c r="P3380" s="23" t="e">
        <f>TRIM(Tabla1[[#This Row],[Articulo]])</f>
        <v>#VALUE!</v>
      </c>
      <c r="Q3380" s="23" t="e">
        <f>_xlfn.XLOOKUP(Tabla1[[#This Row],[Ean Normalizado]],Consumos!A:A,Consumos!E:E)</f>
        <v>#VALUE!</v>
      </c>
      <c r="R3380" s="38" t="e">
        <f>_xlfn.XLOOKUP(Tabla1[[#This Row],[Ean Normalizado]],tabla_consumos[EAN],tabla_consumos[UM])</f>
        <v>#VALUE!</v>
      </c>
      <c r="S3380" s="38" t="e">
        <f>Tabla1[[#This Row],[StockDisp]]*Tabla1[[#This Row],[UM producto]]</f>
        <v>#VALUE!</v>
      </c>
    </row>
    <row r="3381" spans="1:19" x14ac:dyDescent="0.35">
      <c r="A3381" s="5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6"/>
      <c r="P3381" s="23" t="e">
        <f>TRIM(Tabla1[[#This Row],[Articulo]])</f>
        <v>#VALUE!</v>
      </c>
      <c r="Q3381" s="23" t="e">
        <f>_xlfn.XLOOKUP(Tabla1[[#This Row],[Ean Normalizado]],Consumos!A:A,Consumos!E:E)</f>
        <v>#VALUE!</v>
      </c>
      <c r="R3381" s="38" t="e">
        <f>_xlfn.XLOOKUP(Tabla1[[#This Row],[Ean Normalizado]],tabla_consumos[EAN],tabla_consumos[UM])</f>
        <v>#VALUE!</v>
      </c>
      <c r="S3381" s="38" t="e">
        <f>Tabla1[[#This Row],[StockDisp]]*Tabla1[[#This Row],[UM producto]]</f>
        <v>#VALUE!</v>
      </c>
    </row>
    <row r="3382" spans="1:19" x14ac:dyDescent="0.35">
      <c r="A3382" s="5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6"/>
      <c r="P3382" s="23" t="e">
        <f>TRIM(Tabla1[[#This Row],[Articulo]])</f>
        <v>#VALUE!</v>
      </c>
      <c r="Q3382" s="23" t="e">
        <f>_xlfn.XLOOKUP(Tabla1[[#This Row],[Ean Normalizado]],Consumos!A:A,Consumos!E:E)</f>
        <v>#VALUE!</v>
      </c>
      <c r="R3382" s="38" t="e">
        <f>_xlfn.XLOOKUP(Tabla1[[#This Row],[Ean Normalizado]],tabla_consumos[EAN],tabla_consumos[UM])</f>
        <v>#VALUE!</v>
      </c>
      <c r="S3382" s="38" t="e">
        <f>Tabla1[[#This Row],[StockDisp]]*Tabla1[[#This Row],[UM producto]]</f>
        <v>#VALUE!</v>
      </c>
    </row>
    <row r="3383" spans="1:19" x14ac:dyDescent="0.35">
      <c r="A3383" s="5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6"/>
      <c r="P3383" s="23" t="e">
        <f>TRIM(Tabla1[[#This Row],[Articulo]])</f>
        <v>#VALUE!</v>
      </c>
      <c r="Q3383" s="23" t="e">
        <f>_xlfn.XLOOKUP(Tabla1[[#This Row],[Ean Normalizado]],Consumos!A:A,Consumos!E:E)</f>
        <v>#VALUE!</v>
      </c>
      <c r="R3383" s="38" t="e">
        <f>_xlfn.XLOOKUP(Tabla1[[#This Row],[Ean Normalizado]],tabla_consumos[EAN],tabla_consumos[UM])</f>
        <v>#VALUE!</v>
      </c>
      <c r="S3383" s="38" t="e">
        <f>Tabla1[[#This Row],[StockDisp]]*Tabla1[[#This Row],[UM producto]]</f>
        <v>#VALUE!</v>
      </c>
    </row>
    <row r="3384" spans="1:19" x14ac:dyDescent="0.35">
      <c r="A3384" s="5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6"/>
      <c r="P3384" s="23" t="e">
        <f>TRIM(Tabla1[[#This Row],[Articulo]])</f>
        <v>#VALUE!</v>
      </c>
      <c r="Q3384" s="23" t="e">
        <f>_xlfn.XLOOKUP(Tabla1[[#This Row],[Ean Normalizado]],Consumos!A:A,Consumos!E:E)</f>
        <v>#VALUE!</v>
      </c>
      <c r="R3384" s="38" t="e">
        <f>_xlfn.XLOOKUP(Tabla1[[#This Row],[Ean Normalizado]],tabla_consumos[EAN],tabla_consumos[UM])</f>
        <v>#VALUE!</v>
      </c>
      <c r="S3384" s="38" t="e">
        <f>Tabla1[[#This Row],[StockDisp]]*Tabla1[[#This Row],[UM producto]]</f>
        <v>#VALUE!</v>
      </c>
    </row>
    <row r="3385" spans="1:19" x14ac:dyDescent="0.35">
      <c r="A3385" s="5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6"/>
      <c r="P3385" s="23" t="e">
        <f>TRIM(Tabla1[[#This Row],[Articulo]])</f>
        <v>#VALUE!</v>
      </c>
      <c r="Q3385" s="23" t="e">
        <f>_xlfn.XLOOKUP(Tabla1[[#This Row],[Ean Normalizado]],Consumos!A:A,Consumos!E:E)</f>
        <v>#VALUE!</v>
      </c>
      <c r="R3385" s="38" t="e">
        <f>_xlfn.XLOOKUP(Tabla1[[#This Row],[Ean Normalizado]],tabla_consumos[EAN],tabla_consumos[UM])</f>
        <v>#VALUE!</v>
      </c>
      <c r="S3385" s="38" t="e">
        <f>Tabla1[[#This Row],[StockDisp]]*Tabla1[[#This Row],[UM producto]]</f>
        <v>#VALUE!</v>
      </c>
    </row>
    <row r="3386" spans="1:19" x14ac:dyDescent="0.35">
      <c r="A3386" s="5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6"/>
      <c r="P3386" s="23" t="e">
        <f>TRIM(Tabla1[[#This Row],[Articulo]])</f>
        <v>#VALUE!</v>
      </c>
      <c r="Q3386" s="23" t="e">
        <f>_xlfn.XLOOKUP(Tabla1[[#This Row],[Ean Normalizado]],Consumos!A:A,Consumos!E:E)</f>
        <v>#VALUE!</v>
      </c>
      <c r="R3386" s="38" t="e">
        <f>_xlfn.XLOOKUP(Tabla1[[#This Row],[Ean Normalizado]],tabla_consumos[EAN],tabla_consumos[UM])</f>
        <v>#VALUE!</v>
      </c>
      <c r="S3386" s="38" t="e">
        <f>Tabla1[[#This Row],[StockDisp]]*Tabla1[[#This Row],[UM producto]]</f>
        <v>#VALUE!</v>
      </c>
    </row>
    <row r="3387" spans="1:19" x14ac:dyDescent="0.35">
      <c r="A3387" s="5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6"/>
      <c r="P3387" s="23" t="e">
        <f>TRIM(Tabla1[[#This Row],[Articulo]])</f>
        <v>#VALUE!</v>
      </c>
      <c r="Q3387" s="23" t="e">
        <f>_xlfn.XLOOKUP(Tabla1[[#This Row],[Ean Normalizado]],Consumos!A:A,Consumos!E:E)</f>
        <v>#VALUE!</v>
      </c>
      <c r="R3387" s="38" t="e">
        <f>_xlfn.XLOOKUP(Tabla1[[#This Row],[Ean Normalizado]],tabla_consumos[EAN],tabla_consumos[UM])</f>
        <v>#VALUE!</v>
      </c>
      <c r="S3387" s="38" t="e">
        <f>Tabla1[[#This Row],[StockDisp]]*Tabla1[[#This Row],[UM producto]]</f>
        <v>#VALUE!</v>
      </c>
    </row>
    <row r="3388" spans="1:19" x14ac:dyDescent="0.35">
      <c r="A3388" s="5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6"/>
      <c r="P3388" s="23" t="e">
        <f>TRIM(Tabla1[[#This Row],[Articulo]])</f>
        <v>#VALUE!</v>
      </c>
      <c r="Q3388" s="23" t="e">
        <f>_xlfn.XLOOKUP(Tabla1[[#This Row],[Ean Normalizado]],Consumos!A:A,Consumos!E:E)</f>
        <v>#VALUE!</v>
      </c>
      <c r="R3388" s="38" t="e">
        <f>_xlfn.XLOOKUP(Tabla1[[#This Row],[Ean Normalizado]],tabla_consumos[EAN],tabla_consumos[UM])</f>
        <v>#VALUE!</v>
      </c>
      <c r="S3388" s="38" t="e">
        <f>Tabla1[[#This Row],[StockDisp]]*Tabla1[[#This Row],[UM producto]]</f>
        <v>#VALUE!</v>
      </c>
    </row>
    <row r="3389" spans="1:19" x14ac:dyDescent="0.35">
      <c r="A3389" s="5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6"/>
      <c r="P3389" s="23" t="e">
        <f>TRIM(Tabla1[[#This Row],[Articulo]])</f>
        <v>#VALUE!</v>
      </c>
      <c r="Q3389" s="23" t="e">
        <f>_xlfn.XLOOKUP(Tabla1[[#This Row],[Ean Normalizado]],Consumos!A:A,Consumos!E:E)</f>
        <v>#VALUE!</v>
      </c>
      <c r="R3389" s="38" t="e">
        <f>_xlfn.XLOOKUP(Tabla1[[#This Row],[Ean Normalizado]],tabla_consumos[EAN],tabla_consumos[UM])</f>
        <v>#VALUE!</v>
      </c>
      <c r="S3389" s="38" t="e">
        <f>Tabla1[[#This Row],[StockDisp]]*Tabla1[[#This Row],[UM producto]]</f>
        <v>#VALUE!</v>
      </c>
    </row>
    <row r="3390" spans="1:19" x14ac:dyDescent="0.35">
      <c r="A3390" s="5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6"/>
      <c r="P3390" s="23" t="e">
        <f>TRIM(Tabla1[[#This Row],[Articulo]])</f>
        <v>#VALUE!</v>
      </c>
      <c r="Q3390" s="23" t="e">
        <f>_xlfn.XLOOKUP(Tabla1[[#This Row],[Ean Normalizado]],Consumos!A:A,Consumos!E:E)</f>
        <v>#VALUE!</v>
      </c>
      <c r="R3390" s="38" t="e">
        <f>_xlfn.XLOOKUP(Tabla1[[#This Row],[Ean Normalizado]],tabla_consumos[EAN],tabla_consumos[UM])</f>
        <v>#VALUE!</v>
      </c>
      <c r="S3390" s="38" t="e">
        <f>Tabla1[[#This Row],[StockDisp]]*Tabla1[[#This Row],[UM producto]]</f>
        <v>#VALUE!</v>
      </c>
    </row>
    <row r="3391" spans="1:19" x14ac:dyDescent="0.35">
      <c r="A3391" s="5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6"/>
      <c r="P3391" s="23" t="e">
        <f>TRIM(Tabla1[[#This Row],[Articulo]])</f>
        <v>#VALUE!</v>
      </c>
      <c r="Q3391" s="23" t="e">
        <f>_xlfn.XLOOKUP(Tabla1[[#This Row],[Ean Normalizado]],Consumos!A:A,Consumos!E:E)</f>
        <v>#VALUE!</v>
      </c>
      <c r="R3391" s="38" t="e">
        <f>_xlfn.XLOOKUP(Tabla1[[#This Row],[Ean Normalizado]],tabla_consumos[EAN],tabla_consumos[UM])</f>
        <v>#VALUE!</v>
      </c>
      <c r="S3391" s="38" t="e">
        <f>Tabla1[[#This Row],[StockDisp]]*Tabla1[[#This Row],[UM producto]]</f>
        <v>#VALUE!</v>
      </c>
    </row>
    <row r="3392" spans="1:19" x14ac:dyDescent="0.35">
      <c r="A3392" s="5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6"/>
      <c r="P3392" s="23" t="e">
        <f>TRIM(Tabla1[[#This Row],[Articulo]])</f>
        <v>#VALUE!</v>
      </c>
      <c r="Q3392" s="23" t="e">
        <f>_xlfn.XLOOKUP(Tabla1[[#This Row],[Ean Normalizado]],Consumos!A:A,Consumos!E:E)</f>
        <v>#VALUE!</v>
      </c>
      <c r="R3392" s="38" t="e">
        <f>_xlfn.XLOOKUP(Tabla1[[#This Row],[Ean Normalizado]],tabla_consumos[EAN],tabla_consumos[UM])</f>
        <v>#VALUE!</v>
      </c>
      <c r="S3392" s="38" t="e">
        <f>Tabla1[[#This Row],[StockDisp]]*Tabla1[[#This Row],[UM producto]]</f>
        <v>#VALUE!</v>
      </c>
    </row>
    <row r="3393" spans="1:19" x14ac:dyDescent="0.35">
      <c r="A3393" s="5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6"/>
      <c r="P3393" s="23" t="e">
        <f>TRIM(Tabla1[[#This Row],[Articulo]])</f>
        <v>#VALUE!</v>
      </c>
      <c r="Q3393" s="23" t="e">
        <f>_xlfn.XLOOKUP(Tabla1[[#This Row],[Ean Normalizado]],Consumos!A:A,Consumos!E:E)</f>
        <v>#VALUE!</v>
      </c>
      <c r="R3393" s="38" t="e">
        <f>_xlfn.XLOOKUP(Tabla1[[#This Row],[Ean Normalizado]],tabla_consumos[EAN],tabla_consumos[UM])</f>
        <v>#VALUE!</v>
      </c>
      <c r="S3393" s="38" t="e">
        <f>Tabla1[[#This Row],[StockDisp]]*Tabla1[[#This Row],[UM producto]]</f>
        <v>#VALUE!</v>
      </c>
    </row>
    <row r="3394" spans="1:19" x14ac:dyDescent="0.35">
      <c r="A3394" s="5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6"/>
      <c r="P3394" s="23" t="e">
        <f>TRIM(Tabla1[[#This Row],[Articulo]])</f>
        <v>#VALUE!</v>
      </c>
      <c r="Q3394" s="23" t="e">
        <f>_xlfn.XLOOKUP(Tabla1[[#This Row],[Ean Normalizado]],Consumos!A:A,Consumos!E:E)</f>
        <v>#VALUE!</v>
      </c>
      <c r="R3394" s="38" t="e">
        <f>_xlfn.XLOOKUP(Tabla1[[#This Row],[Ean Normalizado]],tabla_consumos[EAN],tabla_consumos[UM])</f>
        <v>#VALUE!</v>
      </c>
      <c r="S3394" s="38" t="e">
        <f>Tabla1[[#This Row],[StockDisp]]*Tabla1[[#This Row],[UM producto]]</f>
        <v>#VALUE!</v>
      </c>
    </row>
    <row r="3395" spans="1:19" x14ac:dyDescent="0.35">
      <c r="A3395" s="5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6"/>
      <c r="P3395" s="23" t="e">
        <f>TRIM(Tabla1[[#This Row],[Articulo]])</f>
        <v>#VALUE!</v>
      </c>
      <c r="Q3395" s="23" t="e">
        <f>_xlfn.XLOOKUP(Tabla1[[#This Row],[Ean Normalizado]],Consumos!A:A,Consumos!E:E)</f>
        <v>#VALUE!</v>
      </c>
      <c r="R3395" s="38" t="e">
        <f>_xlfn.XLOOKUP(Tabla1[[#This Row],[Ean Normalizado]],tabla_consumos[EAN],tabla_consumos[UM])</f>
        <v>#VALUE!</v>
      </c>
      <c r="S3395" s="38" t="e">
        <f>Tabla1[[#This Row],[StockDisp]]*Tabla1[[#This Row],[UM producto]]</f>
        <v>#VALUE!</v>
      </c>
    </row>
    <row r="3396" spans="1:19" x14ac:dyDescent="0.35">
      <c r="A3396" s="5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6"/>
      <c r="P3396" s="23" t="e">
        <f>TRIM(Tabla1[[#This Row],[Articulo]])</f>
        <v>#VALUE!</v>
      </c>
      <c r="Q3396" s="23" t="e">
        <f>_xlfn.XLOOKUP(Tabla1[[#This Row],[Ean Normalizado]],Consumos!A:A,Consumos!E:E)</f>
        <v>#VALUE!</v>
      </c>
      <c r="R3396" s="38" t="e">
        <f>_xlfn.XLOOKUP(Tabla1[[#This Row],[Ean Normalizado]],tabla_consumos[EAN],tabla_consumos[UM])</f>
        <v>#VALUE!</v>
      </c>
      <c r="S3396" s="38" t="e">
        <f>Tabla1[[#This Row],[StockDisp]]*Tabla1[[#This Row],[UM producto]]</f>
        <v>#VALUE!</v>
      </c>
    </row>
    <row r="3397" spans="1:19" x14ac:dyDescent="0.35">
      <c r="A3397" s="5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6"/>
      <c r="P3397" s="23" t="e">
        <f>TRIM(Tabla1[[#This Row],[Articulo]])</f>
        <v>#VALUE!</v>
      </c>
      <c r="Q3397" s="23" t="e">
        <f>_xlfn.XLOOKUP(Tabla1[[#This Row],[Ean Normalizado]],Consumos!A:A,Consumos!E:E)</f>
        <v>#VALUE!</v>
      </c>
      <c r="R3397" s="38" t="e">
        <f>_xlfn.XLOOKUP(Tabla1[[#This Row],[Ean Normalizado]],tabla_consumos[EAN],tabla_consumos[UM])</f>
        <v>#VALUE!</v>
      </c>
      <c r="S3397" s="38" t="e">
        <f>Tabla1[[#This Row],[StockDisp]]*Tabla1[[#This Row],[UM producto]]</f>
        <v>#VALUE!</v>
      </c>
    </row>
    <row r="3398" spans="1:19" x14ac:dyDescent="0.35">
      <c r="A3398" s="5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6"/>
      <c r="P3398" s="23" t="e">
        <f>TRIM(Tabla1[[#This Row],[Articulo]])</f>
        <v>#VALUE!</v>
      </c>
      <c r="Q3398" s="23" t="e">
        <f>_xlfn.XLOOKUP(Tabla1[[#This Row],[Ean Normalizado]],Consumos!A:A,Consumos!E:E)</f>
        <v>#VALUE!</v>
      </c>
      <c r="R3398" s="38" t="e">
        <f>_xlfn.XLOOKUP(Tabla1[[#This Row],[Ean Normalizado]],tabla_consumos[EAN],tabla_consumos[UM])</f>
        <v>#VALUE!</v>
      </c>
      <c r="S3398" s="38" t="e">
        <f>Tabla1[[#This Row],[StockDisp]]*Tabla1[[#This Row],[UM producto]]</f>
        <v>#VALUE!</v>
      </c>
    </row>
    <row r="3399" spans="1:19" x14ac:dyDescent="0.35">
      <c r="A3399" s="5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6"/>
      <c r="P3399" s="23" t="e">
        <f>TRIM(Tabla1[[#This Row],[Articulo]])</f>
        <v>#VALUE!</v>
      </c>
      <c r="Q3399" s="23" t="e">
        <f>_xlfn.XLOOKUP(Tabla1[[#This Row],[Ean Normalizado]],Consumos!A:A,Consumos!E:E)</f>
        <v>#VALUE!</v>
      </c>
      <c r="R3399" s="38" t="e">
        <f>_xlfn.XLOOKUP(Tabla1[[#This Row],[Ean Normalizado]],tabla_consumos[EAN],tabla_consumos[UM])</f>
        <v>#VALUE!</v>
      </c>
      <c r="S3399" s="38" t="e">
        <f>Tabla1[[#This Row],[StockDisp]]*Tabla1[[#This Row],[UM producto]]</f>
        <v>#VALUE!</v>
      </c>
    </row>
    <row r="3400" spans="1:19" x14ac:dyDescent="0.35">
      <c r="A3400" s="5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6"/>
      <c r="P3400" s="23" t="e">
        <f>TRIM(Tabla1[[#This Row],[Articulo]])</f>
        <v>#VALUE!</v>
      </c>
      <c r="Q3400" s="23" t="e">
        <f>_xlfn.XLOOKUP(Tabla1[[#This Row],[Ean Normalizado]],Consumos!A:A,Consumos!E:E)</f>
        <v>#VALUE!</v>
      </c>
      <c r="R3400" s="38" t="e">
        <f>_xlfn.XLOOKUP(Tabla1[[#This Row],[Ean Normalizado]],tabla_consumos[EAN],tabla_consumos[UM])</f>
        <v>#VALUE!</v>
      </c>
      <c r="S3400" s="38" t="e">
        <f>Tabla1[[#This Row],[StockDisp]]*Tabla1[[#This Row],[UM producto]]</f>
        <v>#VALUE!</v>
      </c>
    </row>
    <row r="3401" spans="1:19" x14ac:dyDescent="0.35">
      <c r="A3401" s="5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6"/>
      <c r="P3401" s="23" t="e">
        <f>TRIM(Tabla1[[#This Row],[Articulo]])</f>
        <v>#VALUE!</v>
      </c>
      <c r="Q3401" s="23" t="e">
        <f>_xlfn.XLOOKUP(Tabla1[[#This Row],[Ean Normalizado]],Consumos!A:A,Consumos!E:E)</f>
        <v>#VALUE!</v>
      </c>
      <c r="R3401" s="38" t="e">
        <f>_xlfn.XLOOKUP(Tabla1[[#This Row],[Ean Normalizado]],tabla_consumos[EAN],tabla_consumos[UM])</f>
        <v>#VALUE!</v>
      </c>
      <c r="S3401" s="38" t="e">
        <f>Tabla1[[#This Row],[StockDisp]]*Tabla1[[#This Row],[UM producto]]</f>
        <v>#VALUE!</v>
      </c>
    </row>
    <row r="3402" spans="1:19" x14ac:dyDescent="0.35">
      <c r="A3402" s="5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6"/>
      <c r="P3402" s="23" t="e">
        <f>TRIM(Tabla1[[#This Row],[Articulo]])</f>
        <v>#VALUE!</v>
      </c>
      <c r="Q3402" s="23" t="e">
        <f>_xlfn.XLOOKUP(Tabla1[[#This Row],[Ean Normalizado]],Consumos!A:A,Consumos!E:E)</f>
        <v>#VALUE!</v>
      </c>
      <c r="R3402" s="38" t="e">
        <f>_xlfn.XLOOKUP(Tabla1[[#This Row],[Ean Normalizado]],tabla_consumos[EAN],tabla_consumos[UM])</f>
        <v>#VALUE!</v>
      </c>
      <c r="S3402" s="38" t="e">
        <f>Tabla1[[#This Row],[StockDisp]]*Tabla1[[#This Row],[UM producto]]</f>
        <v>#VALUE!</v>
      </c>
    </row>
    <row r="3403" spans="1:19" x14ac:dyDescent="0.35">
      <c r="A3403" s="5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6"/>
      <c r="P3403" s="23" t="e">
        <f>TRIM(Tabla1[[#This Row],[Articulo]])</f>
        <v>#VALUE!</v>
      </c>
      <c r="Q3403" s="23" t="e">
        <f>_xlfn.XLOOKUP(Tabla1[[#This Row],[Ean Normalizado]],Consumos!A:A,Consumos!E:E)</f>
        <v>#VALUE!</v>
      </c>
      <c r="R3403" s="38" t="e">
        <f>_xlfn.XLOOKUP(Tabla1[[#This Row],[Ean Normalizado]],tabla_consumos[EAN],tabla_consumos[UM])</f>
        <v>#VALUE!</v>
      </c>
      <c r="S3403" s="38" t="e">
        <f>Tabla1[[#This Row],[StockDisp]]*Tabla1[[#This Row],[UM producto]]</f>
        <v>#VALUE!</v>
      </c>
    </row>
    <row r="3404" spans="1:19" x14ac:dyDescent="0.35">
      <c r="A3404" s="5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6"/>
      <c r="P3404" s="23" t="e">
        <f>TRIM(Tabla1[[#This Row],[Articulo]])</f>
        <v>#VALUE!</v>
      </c>
      <c r="Q3404" s="23" t="e">
        <f>_xlfn.XLOOKUP(Tabla1[[#This Row],[Ean Normalizado]],Consumos!A:A,Consumos!E:E)</f>
        <v>#VALUE!</v>
      </c>
      <c r="R3404" s="38" t="e">
        <f>_xlfn.XLOOKUP(Tabla1[[#This Row],[Ean Normalizado]],tabla_consumos[EAN],tabla_consumos[UM])</f>
        <v>#VALUE!</v>
      </c>
      <c r="S3404" s="38" t="e">
        <f>Tabla1[[#This Row],[StockDisp]]*Tabla1[[#This Row],[UM producto]]</f>
        <v>#VALUE!</v>
      </c>
    </row>
    <row r="3405" spans="1:19" x14ac:dyDescent="0.35">
      <c r="A3405" s="5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6"/>
      <c r="P3405" s="23" t="e">
        <f>TRIM(Tabla1[[#This Row],[Articulo]])</f>
        <v>#VALUE!</v>
      </c>
      <c r="Q3405" s="23" t="e">
        <f>_xlfn.XLOOKUP(Tabla1[[#This Row],[Ean Normalizado]],Consumos!A:A,Consumos!E:E)</f>
        <v>#VALUE!</v>
      </c>
      <c r="R3405" s="38" t="e">
        <f>_xlfn.XLOOKUP(Tabla1[[#This Row],[Ean Normalizado]],tabla_consumos[EAN],tabla_consumos[UM])</f>
        <v>#VALUE!</v>
      </c>
      <c r="S3405" s="38" t="e">
        <f>Tabla1[[#This Row],[StockDisp]]*Tabla1[[#This Row],[UM producto]]</f>
        <v>#VALUE!</v>
      </c>
    </row>
    <row r="3406" spans="1:19" x14ac:dyDescent="0.35">
      <c r="A3406" s="5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6"/>
      <c r="P3406" s="23" t="e">
        <f>TRIM(Tabla1[[#This Row],[Articulo]])</f>
        <v>#VALUE!</v>
      </c>
      <c r="Q3406" s="23" t="e">
        <f>_xlfn.XLOOKUP(Tabla1[[#This Row],[Ean Normalizado]],Consumos!A:A,Consumos!E:E)</f>
        <v>#VALUE!</v>
      </c>
      <c r="R3406" s="38" t="e">
        <f>_xlfn.XLOOKUP(Tabla1[[#This Row],[Ean Normalizado]],tabla_consumos[EAN],tabla_consumos[UM])</f>
        <v>#VALUE!</v>
      </c>
      <c r="S3406" s="38" t="e">
        <f>Tabla1[[#This Row],[StockDisp]]*Tabla1[[#This Row],[UM producto]]</f>
        <v>#VALUE!</v>
      </c>
    </row>
    <row r="3407" spans="1:19" x14ac:dyDescent="0.35">
      <c r="A3407" s="5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6"/>
      <c r="P3407" s="23" t="e">
        <f>TRIM(Tabla1[[#This Row],[Articulo]])</f>
        <v>#VALUE!</v>
      </c>
      <c r="Q3407" s="23" t="e">
        <f>_xlfn.XLOOKUP(Tabla1[[#This Row],[Ean Normalizado]],Consumos!A:A,Consumos!E:E)</f>
        <v>#VALUE!</v>
      </c>
      <c r="R3407" s="38" t="e">
        <f>_xlfn.XLOOKUP(Tabla1[[#This Row],[Ean Normalizado]],tabla_consumos[EAN],tabla_consumos[UM])</f>
        <v>#VALUE!</v>
      </c>
      <c r="S3407" s="38" t="e">
        <f>Tabla1[[#This Row],[StockDisp]]*Tabla1[[#This Row],[UM producto]]</f>
        <v>#VALUE!</v>
      </c>
    </row>
    <row r="3408" spans="1:19" x14ac:dyDescent="0.35">
      <c r="A3408" s="5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6"/>
      <c r="P3408" s="23" t="e">
        <f>TRIM(Tabla1[[#This Row],[Articulo]])</f>
        <v>#VALUE!</v>
      </c>
      <c r="Q3408" s="23" t="e">
        <f>_xlfn.XLOOKUP(Tabla1[[#This Row],[Ean Normalizado]],Consumos!A:A,Consumos!E:E)</f>
        <v>#VALUE!</v>
      </c>
      <c r="R3408" s="38" t="e">
        <f>_xlfn.XLOOKUP(Tabla1[[#This Row],[Ean Normalizado]],tabla_consumos[EAN],tabla_consumos[UM])</f>
        <v>#VALUE!</v>
      </c>
      <c r="S3408" s="38" t="e">
        <f>Tabla1[[#This Row],[StockDisp]]*Tabla1[[#This Row],[UM producto]]</f>
        <v>#VALUE!</v>
      </c>
    </row>
    <row r="3409" spans="1:19" x14ac:dyDescent="0.35">
      <c r="A3409" s="5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6"/>
      <c r="P3409" s="23" t="e">
        <f>TRIM(Tabla1[[#This Row],[Articulo]])</f>
        <v>#VALUE!</v>
      </c>
      <c r="Q3409" s="23" t="e">
        <f>_xlfn.XLOOKUP(Tabla1[[#This Row],[Ean Normalizado]],Consumos!A:A,Consumos!E:E)</f>
        <v>#VALUE!</v>
      </c>
      <c r="R3409" s="38" t="e">
        <f>_xlfn.XLOOKUP(Tabla1[[#This Row],[Ean Normalizado]],tabla_consumos[EAN],tabla_consumos[UM])</f>
        <v>#VALUE!</v>
      </c>
      <c r="S3409" s="38" t="e">
        <f>Tabla1[[#This Row],[StockDisp]]*Tabla1[[#This Row],[UM producto]]</f>
        <v>#VALUE!</v>
      </c>
    </row>
    <row r="3410" spans="1:19" x14ac:dyDescent="0.35">
      <c r="A3410" s="5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6"/>
      <c r="P3410" s="23" t="e">
        <f>TRIM(Tabla1[[#This Row],[Articulo]])</f>
        <v>#VALUE!</v>
      </c>
      <c r="Q3410" s="23" t="e">
        <f>_xlfn.XLOOKUP(Tabla1[[#This Row],[Ean Normalizado]],Consumos!A:A,Consumos!E:E)</f>
        <v>#VALUE!</v>
      </c>
      <c r="R3410" s="38" t="e">
        <f>_xlfn.XLOOKUP(Tabla1[[#This Row],[Ean Normalizado]],tabla_consumos[EAN],tabla_consumos[UM])</f>
        <v>#VALUE!</v>
      </c>
      <c r="S3410" s="38" t="e">
        <f>Tabla1[[#This Row],[StockDisp]]*Tabla1[[#This Row],[UM producto]]</f>
        <v>#VALUE!</v>
      </c>
    </row>
    <row r="3411" spans="1:19" x14ac:dyDescent="0.35">
      <c r="A3411" s="5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6"/>
      <c r="P3411" s="23" t="e">
        <f>TRIM(Tabla1[[#This Row],[Articulo]])</f>
        <v>#VALUE!</v>
      </c>
      <c r="Q3411" s="23" t="e">
        <f>_xlfn.XLOOKUP(Tabla1[[#This Row],[Ean Normalizado]],Consumos!A:A,Consumos!E:E)</f>
        <v>#VALUE!</v>
      </c>
      <c r="R3411" s="38" t="e">
        <f>_xlfn.XLOOKUP(Tabla1[[#This Row],[Ean Normalizado]],tabla_consumos[EAN],tabla_consumos[UM])</f>
        <v>#VALUE!</v>
      </c>
      <c r="S3411" s="38" t="e">
        <f>Tabla1[[#This Row],[StockDisp]]*Tabla1[[#This Row],[UM producto]]</f>
        <v>#VALUE!</v>
      </c>
    </row>
    <row r="3412" spans="1:19" x14ac:dyDescent="0.35">
      <c r="A3412" s="5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6"/>
      <c r="P3412" s="23" t="e">
        <f>TRIM(Tabla1[[#This Row],[Articulo]])</f>
        <v>#VALUE!</v>
      </c>
      <c r="Q3412" s="23" t="e">
        <f>_xlfn.XLOOKUP(Tabla1[[#This Row],[Ean Normalizado]],Consumos!A:A,Consumos!E:E)</f>
        <v>#VALUE!</v>
      </c>
      <c r="R3412" s="38" t="e">
        <f>_xlfn.XLOOKUP(Tabla1[[#This Row],[Ean Normalizado]],tabla_consumos[EAN],tabla_consumos[UM])</f>
        <v>#VALUE!</v>
      </c>
      <c r="S3412" s="38" t="e">
        <f>Tabla1[[#This Row],[StockDisp]]*Tabla1[[#This Row],[UM producto]]</f>
        <v>#VALUE!</v>
      </c>
    </row>
    <row r="3413" spans="1:19" x14ac:dyDescent="0.35">
      <c r="A3413" s="5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6"/>
      <c r="P3413" s="23" t="e">
        <f>TRIM(Tabla1[[#This Row],[Articulo]])</f>
        <v>#VALUE!</v>
      </c>
      <c r="Q3413" s="23" t="e">
        <f>_xlfn.XLOOKUP(Tabla1[[#This Row],[Ean Normalizado]],Consumos!A:A,Consumos!E:E)</f>
        <v>#VALUE!</v>
      </c>
      <c r="R3413" s="38" t="e">
        <f>_xlfn.XLOOKUP(Tabla1[[#This Row],[Ean Normalizado]],tabla_consumos[EAN],tabla_consumos[UM])</f>
        <v>#VALUE!</v>
      </c>
      <c r="S3413" s="38" t="e">
        <f>Tabla1[[#This Row],[StockDisp]]*Tabla1[[#This Row],[UM producto]]</f>
        <v>#VALUE!</v>
      </c>
    </row>
    <row r="3414" spans="1:19" x14ac:dyDescent="0.35">
      <c r="A3414" s="5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6"/>
      <c r="P3414" s="23" t="e">
        <f>TRIM(Tabla1[[#This Row],[Articulo]])</f>
        <v>#VALUE!</v>
      </c>
      <c r="Q3414" s="23" t="e">
        <f>_xlfn.XLOOKUP(Tabla1[[#This Row],[Ean Normalizado]],Consumos!A:A,Consumos!E:E)</f>
        <v>#VALUE!</v>
      </c>
      <c r="R3414" s="38" t="e">
        <f>_xlfn.XLOOKUP(Tabla1[[#This Row],[Ean Normalizado]],tabla_consumos[EAN],tabla_consumos[UM])</f>
        <v>#VALUE!</v>
      </c>
      <c r="S3414" s="38" t="e">
        <f>Tabla1[[#This Row],[StockDisp]]*Tabla1[[#This Row],[UM producto]]</f>
        <v>#VALUE!</v>
      </c>
    </row>
    <row r="3415" spans="1:19" x14ac:dyDescent="0.35">
      <c r="A3415" s="5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6"/>
      <c r="P3415" s="23" t="e">
        <f>TRIM(Tabla1[[#This Row],[Articulo]])</f>
        <v>#VALUE!</v>
      </c>
      <c r="Q3415" s="23" t="e">
        <f>_xlfn.XLOOKUP(Tabla1[[#This Row],[Ean Normalizado]],Consumos!A:A,Consumos!E:E)</f>
        <v>#VALUE!</v>
      </c>
      <c r="R3415" s="38" t="e">
        <f>_xlfn.XLOOKUP(Tabla1[[#This Row],[Ean Normalizado]],tabla_consumos[EAN],tabla_consumos[UM])</f>
        <v>#VALUE!</v>
      </c>
      <c r="S3415" s="38" t="e">
        <f>Tabla1[[#This Row],[StockDisp]]*Tabla1[[#This Row],[UM producto]]</f>
        <v>#VALUE!</v>
      </c>
    </row>
    <row r="3416" spans="1:19" x14ac:dyDescent="0.35">
      <c r="A3416" s="5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6"/>
      <c r="P3416" s="23" t="e">
        <f>TRIM(Tabla1[[#This Row],[Articulo]])</f>
        <v>#VALUE!</v>
      </c>
      <c r="Q3416" s="23" t="e">
        <f>_xlfn.XLOOKUP(Tabla1[[#This Row],[Ean Normalizado]],Consumos!A:A,Consumos!E:E)</f>
        <v>#VALUE!</v>
      </c>
      <c r="R3416" s="38" t="e">
        <f>_xlfn.XLOOKUP(Tabla1[[#This Row],[Ean Normalizado]],tabla_consumos[EAN],tabla_consumos[UM])</f>
        <v>#VALUE!</v>
      </c>
      <c r="S3416" s="38" t="e">
        <f>Tabla1[[#This Row],[StockDisp]]*Tabla1[[#This Row],[UM producto]]</f>
        <v>#VALUE!</v>
      </c>
    </row>
    <row r="3417" spans="1:19" x14ac:dyDescent="0.35">
      <c r="A3417" s="5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6"/>
      <c r="P3417" s="23" t="e">
        <f>TRIM(Tabla1[[#This Row],[Articulo]])</f>
        <v>#VALUE!</v>
      </c>
      <c r="Q3417" s="23" t="e">
        <f>_xlfn.XLOOKUP(Tabla1[[#This Row],[Ean Normalizado]],Consumos!A:A,Consumos!E:E)</f>
        <v>#VALUE!</v>
      </c>
      <c r="R3417" s="38" t="e">
        <f>_xlfn.XLOOKUP(Tabla1[[#This Row],[Ean Normalizado]],tabla_consumos[EAN],tabla_consumos[UM])</f>
        <v>#VALUE!</v>
      </c>
      <c r="S3417" s="38" t="e">
        <f>Tabla1[[#This Row],[StockDisp]]*Tabla1[[#This Row],[UM producto]]</f>
        <v>#VALUE!</v>
      </c>
    </row>
    <row r="3418" spans="1:19" x14ac:dyDescent="0.35">
      <c r="A3418" s="5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6"/>
      <c r="P3418" s="23" t="e">
        <f>TRIM(Tabla1[[#This Row],[Articulo]])</f>
        <v>#VALUE!</v>
      </c>
      <c r="Q3418" s="23" t="e">
        <f>_xlfn.XLOOKUP(Tabla1[[#This Row],[Ean Normalizado]],Consumos!A:A,Consumos!E:E)</f>
        <v>#VALUE!</v>
      </c>
      <c r="R3418" s="38" t="e">
        <f>_xlfn.XLOOKUP(Tabla1[[#This Row],[Ean Normalizado]],tabla_consumos[EAN],tabla_consumos[UM])</f>
        <v>#VALUE!</v>
      </c>
      <c r="S3418" s="38" t="e">
        <f>Tabla1[[#This Row],[StockDisp]]*Tabla1[[#This Row],[UM producto]]</f>
        <v>#VALUE!</v>
      </c>
    </row>
    <row r="3419" spans="1:19" x14ac:dyDescent="0.35">
      <c r="A3419" s="5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6"/>
      <c r="P3419" s="23" t="e">
        <f>TRIM(Tabla1[[#This Row],[Articulo]])</f>
        <v>#VALUE!</v>
      </c>
      <c r="Q3419" s="23" t="e">
        <f>_xlfn.XLOOKUP(Tabla1[[#This Row],[Ean Normalizado]],Consumos!A:A,Consumos!E:E)</f>
        <v>#VALUE!</v>
      </c>
      <c r="R3419" s="38" t="e">
        <f>_xlfn.XLOOKUP(Tabla1[[#This Row],[Ean Normalizado]],tabla_consumos[EAN],tabla_consumos[UM])</f>
        <v>#VALUE!</v>
      </c>
      <c r="S3419" s="38" t="e">
        <f>Tabla1[[#This Row],[StockDisp]]*Tabla1[[#This Row],[UM producto]]</f>
        <v>#VALUE!</v>
      </c>
    </row>
    <row r="3420" spans="1:19" x14ac:dyDescent="0.35">
      <c r="A3420" s="5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6"/>
      <c r="P3420" s="23" t="e">
        <f>TRIM(Tabla1[[#This Row],[Articulo]])</f>
        <v>#VALUE!</v>
      </c>
      <c r="Q3420" s="23" t="e">
        <f>_xlfn.XLOOKUP(Tabla1[[#This Row],[Ean Normalizado]],Consumos!A:A,Consumos!E:E)</f>
        <v>#VALUE!</v>
      </c>
      <c r="R3420" s="38" t="e">
        <f>_xlfn.XLOOKUP(Tabla1[[#This Row],[Ean Normalizado]],tabla_consumos[EAN],tabla_consumos[UM])</f>
        <v>#VALUE!</v>
      </c>
      <c r="S3420" s="38" t="e">
        <f>Tabla1[[#This Row],[StockDisp]]*Tabla1[[#This Row],[UM producto]]</f>
        <v>#VALUE!</v>
      </c>
    </row>
    <row r="3421" spans="1:19" x14ac:dyDescent="0.35">
      <c r="A3421" s="5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6"/>
      <c r="P3421" s="23" t="e">
        <f>TRIM(Tabla1[[#This Row],[Articulo]])</f>
        <v>#VALUE!</v>
      </c>
      <c r="Q3421" s="23" t="e">
        <f>_xlfn.XLOOKUP(Tabla1[[#This Row],[Ean Normalizado]],Consumos!A:A,Consumos!E:E)</f>
        <v>#VALUE!</v>
      </c>
      <c r="R3421" s="38" t="e">
        <f>_xlfn.XLOOKUP(Tabla1[[#This Row],[Ean Normalizado]],tabla_consumos[EAN],tabla_consumos[UM])</f>
        <v>#VALUE!</v>
      </c>
      <c r="S3421" s="38" t="e">
        <f>Tabla1[[#This Row],[StockDisp]]*Tabla1[[#This Row],[UM producto]]</f>
        <v>#VALUE!</v>
      </c>
    </row>
    <row r="3422" spans="1:19" x14ac:dyDescent="0.35">
      <c r="A3422" s="5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6"/>
      <c r="P3422" s="23" t="e">
        <f>TRIM(Tabla1[[#This Row],[Articulo]])</f>
        <v>#VALUE!</v>
      </c>
      <c r="Q3422" s="23" t="e">
        <f>_xlfn.XLOOKUP(Tabla1[[#This Row],[Ean Normalizado]],Consumos!A:A,Consumos!E:E)</f>
        <v>#VALUE!</v>
      </c>
      <c r="R3422" s="38" t="e">
        <f>_xlfn.XLOOKUP(Tabla1[[#This Row],[Ean Normalizado]],tabla_consumos[EAN],tabla_consumos[UM])</f>
        <v>#VALUE!</v>
      </c>
      <c r="S3422" s="38" t="e">
        <f>Tabla1[[#This Row],[StockDisp]]*Tabla1[[#This Row],[UM producto]]</f>
        <v>#VALUE!</v>
      </c>
    </row>
    <row r="3423" spans="1:19" x14ac:dyDescent="0.35">
      <c r="A3423" s="5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6"/>
      <c r="P3423" s="23" t="e">
        <f>TRIM(Tabla1[[#This Row],[Articulo]])</f>
        <v>#VALUE!</v>
      </c>
      <c r="Q3423" s="23" t="e">
        <f>_xlfn.XLOOKUP(Tabla1[[#This Row],[Ean Normalizado]],Consumos!A:A,Consumos!E:E)</f>
        <v>#VALUE!</v>
      </c>
      <c r="R3423" s="38" t="e">
        <f>_xlfn.XLOOKUP(Tabla1[[#This Row],[Ean Normalizado]],tabla_consumos[EAN],tabla_consumos[UM])</f>
        <v>#VALUE!</v>
      </c>
      <c r="S3423" s="38" t="e">
        <f>Tabla1[[#This Row],[StockDisp]]*Tabla1[[#This Row],[UM producto]]</f>
        <v>#VALUE!</v>
      </c>
    </row>
    <row r="3424" spans="1:19" x14ac:dyDescent="0.35">
      <c r="A3424" s="5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6"/>
      <c r="P3424" s="23" t="e">
        <f>TRIM(Tabla1[[#This Row],[Articulo]])</f>
        <v>#VALUE!</v>
      </c>
      <c r="Q3424" s="23" t="e">
        <f>_xlfn.XLOOKUP(Tabla1[[#This Row],[Ean Normalizado]],Consumos!A:A,Consumos!E:E)</f>
        <v>#VALUE!</v>
      </c>
      <c r="R3424" s="38" t="e">
        <f>_xlfn.XLOOKUP(Tabla1[[#This Row],[Ean Normalizado]],tabla_consumos[EAN],tabla_consumos[UM])</f>
        <v>#VALUE!</v>
      </c>
      <c r="S3424" s="38" t="e">
        <f>Tabla1[[#This Row],[StockDisp]]*Tabla1[[#This Row],[UM producto]]</f>
        <v>#VALUE!</v>
      </c>
    </row>
    <row r="3425" spans="1:19" x14ac:dyDescent="0.35">
      <c r="A3425" s="5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6"/>
      <c r="P3425" s="23" t="e">
        <f>TRIM(Tabla1[[#This Row],[Articulo]])</f>
        <v>#VALUE!</v>
      </c>
      <c r="Q3425" s="23" t="e">
        <f>_xlfn.XLOOKUP(Tabla1[[#This Row],[Ean Normalizado]],Consumos!A:A,Consumos!E:E)</f>
        <v>#VALUE!</v>
      </c>
      <c r="R3425" s="38" t="e">
        <f>_xlfn.XLOOKUP(Tabla1[[#This Row],[Ean Normalizado]],tabla_consumos[EAN],tabla_consumos[UM])</f>
        <v>#VALUE!</v>
      </c>
      <c r="S3425" s="38" t="e">
        <f>Tabla1[[#This Row],[StockDisp]]*Tabla1[[#This Row],[UM producto]]</f>
        <v>#VALUE!</v>
      </c>
    </row>
    <row r="3426" spans="1:19" x14ac:dyDescent="0.35">
      <c r="A3426" s="5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6"/>
      <c r="P3426" s="23" t="e">
        <f>TRIM(Tabla1[[#This Row],[Articulo]])</f>
        <v>#VALUE!</v>
      </c>
      <c r="Q3426" s="23" t="e">
        <f>_xlfn.XLOOKUP(Tabla1[[#This Row],[Ean Normalizado]],Consumos!A:A,Consumos!E:E)</f>
        <v>#VALUE!</v>
      </c>
      <c r="R3426" s="38" t="e">
        <f>_xlfn.XLOOKUP(Tabla1[[#This Row],[Ean Normalizado]],tabla_consumos[EAN],tabla_consumos[UM])</f>
        <v>#VALUE!</v>
      </c>
      <c r="S3426" s="38" t="e">
        <f>Tabla1[[#This Row],[StockDisp]]*Tabla1[[#This Row],[UM producto]]</f>
        <v>#VALUE!</v>
      </c>
    </row>
    <row r="3427" spans="1:19" x14ac:dyDescent="0.35">
      <c r="A3427" s="5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6"/>
      <c r="P3427" s="23" t="e">
        <f>TRIM(Tabla1[[#This Row],[Articulo]])</f>
        <v>#VALUE!</v>
      </c>
      <c r="Q3427" s="23" t="e">
        <f>_xlfn.XLOOKUP(Tabla1[[#This Row],[Ean Normalizado]],Consumos!A:A,Consumos!E:E)</f>
        <v>#VALUE!</v>
      </c>
      <c r="R3427" s="38" t="e">
        <f>_xlfn.XLOOKUP(Tabla1[[#This Row],[Ean Normalizado]],tabla_consumos[EAN],tabla_consumos[UM])</f>
        <v>#VALUE!</v>
      </c>
      <c r="S3427" s="38" t="e">
        <f>Tabla1[[#This Row],[StockDisp]]*Tabla1[[#This Row],[UM producto]]</f>
        <v>#VALUE!</v>
      </c>
    </row>
    <row r="3428" spans="1:19" x14ac:dyDescent="0.35">
      <c r="A3428" s="5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6"/>
      <c r="P3428" s="23" t="e">
        <f>TRIM(Tabla1[[#This Row],[Articulo]])</f>
        <v>#VALUE!</v>
      </c>
      <c r="Q3428" s="23" t="e">
        <f>_xlfn.XLOOKUP(Tabla1[[#This Row],[Ean Normalizado]],Consumos!A:A,Consumos!E:E)</f>
        <v>#VALUE!</v>
      </c>
      <c r="R3428" s="38" t="e">
        <f>_xlfn.XLOOKUP(Tabla1[[#This Row],[Ean Normalizado]],tabla_consumos[EAN],tabla_consumos[UM])</f>
        <v>#VALUE!</v>
      </c>
      <c r="S3428" s="38" t="e">
        <f>Tabla1[[#This Row],[StockDisp]]*Tabla1[[#This Row],[UM producto]]</f>
        <v>#VALUE!</v>
      </c>
    </row>
    <row r="3429" spans="1:19" x14ac:dyDescent="0.35">
      <c r="A3429" s="5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6"/>
      <c r="P3429" s="23" t="e">
        <f>TRIM(Tabla1[[#This Row],[Articulo]])</f>
        <v>#VALUE!</v>
      </c>
      <c r="Q3429" s="23" t="e">
        <f>_xlfn.XLOOKUP(Tabla1[[#This Row],[Ean Normalizado]],Consumos!A:A,Consumos!E:E)</f>
        <v>#VALUE!</v>
      </c>
      <c r="R3429" s="38" t="e">
        <f>_xlfn.XLOOKUP(Tabla1[[#This Row],[Ean Normalizado]],tabla_consumos[EAN],tabla_consumos[UM])</f>
        <v>#VALUE!</v>
      </c>
      <c r="S3429" s="38" t="e">
        <f>Tabla1[[#This Row],[StockDisp]]*Tabla1[[#This Row],[UM producto]]</f>
        <v>#VALUE!</v>
      </c>
    </row>
    <row r="3430" spans="1:19" x14ac:dyDescent="0.35">
      <c r="A3430" s="5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6"/>
      <c r="P3430" s="23" t="e">
        <f>TRIM(Tabla1[[#This Row],[Articulo]])</f>
        <v>#VALUE!</v>
      </c>
      <c r="Q3430" s="23" t="e">
        <f>_xlfn.XLOOKUP(Tabla1[[#This Row],[Ean Normalizado]],Consumos!A:A,Consumos!E:E)</f>
        <v>#VALUE!</v>
      </c>
      <c r="R3430" s="38" t="e">
        <f>_xlfn.XLOOKUP(Tabla1[[#This Row],[Ean Normalizado]],tabla_consumos[EAN],tabla_consumos[UM])</f>
        <v>#VALUE!</v>
      </c>
      <c r="S3430" s="38" t="e">
        <f>Tabla1[[#This Row],[StockDisp]]*Tabla1[[#This Row],[UM producto]]</f>
        <v>#VALUE!</v>
      </c>
    </row>
    <row r="3431" spans="1:19" x14ac:dyDescent="0.35">
      <c r="A3431" s="5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6"/>
      <c r="P3431" s="23" t="e">
        <f>TRIM(Tabla1[[#This Row],[Articulo]])</f>
        <v>#VALUE!</v>
      </c>
      <c r="Q3431" s="23" t="e">
        <f>_xlfn.XLOOKUP(Tabla1[[#This Row],[Ean Normalizado]],Consumos!A:A,Consumos!E:E)</f>
        <v>#VALUE!</v>
      </c>
      <c r="R3431" s="38" t="e">
        <f>_xlfn.XLOOKUP(Tabla1[[#This Row],[Ean Normalizado]],tabla_consumos[EAN],tabla_consumos[UM])</f>
        <v>#VALUE!</v>
      </c>
      <c r="S3431" s="38" t="e">
        <f>Tabla1[[#This Row],[StockDisp]]*Tabla1[[#This Row],[UM producto]]</f>
        <v>#VALUE!</v>
      </c>
    </row>
    <row r="3432" spans="1:19" x14ac:dyDescent="0.35">
      <c r="A3432" s="5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6"/>
      <c r="P3432" s="23" t="e">
        <f>TRIM(Tabla1[[#This Row],[Articulo]])</f>
        <v>#VALUE!</v>
      </c>
      <c r="Q3432" s="23" t="e">
        <f>_xlfn.XLOOKUP(Tabla1[[#This Row],[Ean Normalizado]],Consumos!A:A,Consumos!E:E)</f>
        <v>#VALUE!</v>
      </c>
      <c r="R3432" s="38" t="e">
        <f>_xlfn.XLOOKUP(Tabla1[[#This Row],[Ean Normalizado]],tabla_consumos[EAN],tabla_consumos[UM])</f>
        <v>#VALUE!</v>
      </c>
      <c r="S3432" s="38" t="e">
        <f>Tabla1[[#This Row],[StockDisp]]*Tabla1[[#This Row],[UM producto]]</f>
        <v>#VALUE!</v>
      </c>
    </row>
    <row r="3433" spans="1:19" x14ac:dyDescent="0.35">
      <c r="A3433" s="5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6"/>
      <c r="P3433" s="23" t="e">
        <f>TRIM(Tabla1[[#This Row],[Articulo]])</f>
        <v>#VALUE!</v>
      </c>
      <c r="Q3433" s="23" t="e">
        <f>_xlfn.XLOOKUP(Tabla1[[#This Row],[Ean Normalizado]],Consumos!A:A,Consumos!E:E)</f>
        <v>#VALUE!</v>
      </c>
      <c r="R3433" s="38" t="e">
        <f>_xlfn.XLOOKUP(Tabla1[[#This Row],[Ean Normalizado]],tabla_consumos[EAN],tabla_consumos[UM])</f>
        <v>#VALUE!</v>
      </c>
      <c r="S3433" s="38" t="e">
        <f>Tabla1[[#This Row],[StockDisp]]*Tabla1[[#This Row],[UM producto]]</f>
        <v>#VALUE!</v>
      </c>
    </row>
    <row r="3434" spans="1:19" x14ac:dyDescent="0.35">
      <c r="A3434" s="5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6"/>
      <c r="P3434" s="23" t="e">
        <f>TRIM(Tabla1[[#This Row],[Articulo]])</f>
        <v>#VALUE!</v>
      </c>
      <c r="Q3434" s="23" t="e">
        <f>_xlfn.XLOOKUP(Tabla1[[#This Row],[Ean Normalizado]],Consumos!A:A,Consumos!E:E)</f>
        <v>#VALUE!</v>
      </c>
      <c r="R3434" s="38" t="e">
        <f>_xlfn.XLOOKUP(Tabla1[[#This Row],[Ean Normalizado]],tabla_consumos[EAN],tabla_consumos[UM])</f>
        <v>#VALUE!</v>
      </c>
      <c r="S3434" s="38" t="e">
        <f>Tabla1[[#This Row],[StockDisp]]*Tabla1[[#This Row],[UM producto]]</f>
        <v>#VALUE!</v>
      </c>
    </row>
    <row r="3435" spans="1:19" x14ac:dyDescent="0.35">
      <c r="A3435" s="5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6"/>
      <c r="P3435" s="23" t="e">
        <f>TRIM(Tabla1[[#This Row],[Articulo]])</f>
        <v>#VALUE!</v>
      </c>
      <c r="Q3435" s="23" t="e">
        <f>_xlfn.XLOOKUP(Tabla1[[#This Row],[Ean Normalizado]],Consumos!A:A,Consumos!E:E)</f>
        <v>#VALUE!</v>
      </c>
      <c r="R3435" s="38" t="e">
        <f>_xlfn.XLOOKUP(Tabla1[[#This Row],[Ean Normalizado]],tabla_consumos[EAN],tabla_consumos[UM])</f>
        <v>#VALUE!</v>
      </c>
      <c r="S3435" s="38" t="e">
        <f>Tabla1[[#This Row],[StockDisp]]*Tabla1[[#This Row],[UM producto]]</f>
        <v>#VALUE!</v>
      </c>
    </row>
    <row r="3436" spans="1:19" x14ac:dyDescent="0.35">
      <c r="A3436" s="5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6"/>
      <c r="P3436" s="23" t="e">
        <f>TRIM(Tabla1[[#This Row],[Articulo]])</f>
        <v>#VALUE!</v>
      </c>
      <c r="Q3436" s="23" t="e">
        <f>_xlfn.XLOOKUP(Tabla1[[#This Row],[Ean Normalizado]],Consumos!A:A,Consumos!E:E)</f>
        <v>#VALUE!</v>
      </c>
      <c r="R3436" s="38" t="e">
        <f>_xlfn.XLOOKUP(Tabla1[[#This Row],[Ean Normalizado]],tabla_consumos[EAN],tabla_consumos[UM])</f>
        <v>#VALUE!</v>
      </c>
      <c r="S3436" s="38" t="e">
        <f>Tabla1[[#This Row],[StockDisp]]*Tabla1[[#This Row],[UM producto]]</f>
        <v>#VALUE!</v>
      </c>
    </row>
    <row r="3437" spans="1:19" x14ac:dyDescent="0.35">
      <c r="A3437" s="5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6"/>
      <c r="P3437" s="23" t="e">
        <f>TRIM(Tabla1[[#This Row],[Articulo]])</f>
        <v>#VALUE!</v>
      </c>
      <c r="Q3437" s="23" t="e">
        <f>_xlfn.XLOOKUP(Tabla1[[#This Row],[Ean Normalizado]],Consumos!A:A,Consumos!E:E)</f>
        <v>#VALUE!</v>
      </c>
      <c r="R3437" s="38" t="e">
        <f>_xlfn.XLOOKUP(Tabla1[[#This Row],[Ean Normalizado]],tabla_consumos[EAN],tabla_consumos[UM])</f>
        <v>#VALUE!</v>
      </c>
      <c r="S3437" s="38" t="e">
        <f>Tabla1[[#This Row],[StockDisp]]*Tabla1[[#This Row],[UM producto]]</f>
        <v>#VALUE!</v>
      </c>
    </row>
    <row r="3438" spans="1:19" x14ac:dyDescent="0.35">
      <c r="A3438" s="5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6"/>
      <c r="P3438" s="23" t="e">
        <f>TRIM(Tabla1[[#This Row],[Articulo]])</f>
        <v>#VALUE!</v>
      </c>
      <c r="Q3438" s="23" t="e">
        <f>_xlfn.XLOOKUP(Tabla1[[#This Row],[Ean Normalizado]],Consumos!A:A,Consumos!E:E)</f>
        <v>#VALUE!</v>
      </c>
      <c r="R3438" s="38" t="e">
        <f>_xlfn.XLOOKUP(Tabla1[[#This Row],[Ean Normalizado]],tabla_consumos[EAN],tabla_consumos[UM])</f>
        <v>#VALUE!</v>
      </c>
      <c r="S3438" s="38" t="e">
        <f>Tabla1[[#This Row],[StockDisp]]*Tabla1[[#This Row],[UM producto]]</f>
        <v>#VALUE!</v>
      </c>
    </row>
    <row r="3439" spans="1:19" x14ac:dyDescent="0.35">
      <c r="A3439" s="5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6"/>
      <c r="P3439" s="23" t="e">
        <f>TRIM(Tabla1[[#This Row],[Articulo]])</f>
        <v>#VALUE!</v>
      </c>
      <c r="Q3439" s="23" t="e">
        <f>_xlfn.XLOOKUP(Tabla1[[#This Row],[Ean Normalizado]],Consumos!A:A,Consumos!E:E)</f>
        <v>#VALUE!</v>
      </c>
      <c r="R3439" s="38" t="e">
        <f>_xlfn.XLOOKUP(Tabla1[[#This Row],[Ean Normalizado]],tabla_consumos[EAN],tabla_consumos[UM])</f>
        <v>#VALUE!</v>
      </c>
      <c r="S3439" s="38" t="e">
        <f>Tabla1[[#This Row],[StockDisp]]*Tabla1[[#This Row],[UM producto]]</f>
        <v>#VALUE!</v>
      </c>
    </row>
    <row r="3440" spans="1:19" x14ac:dyDescent="0.35">
      <c r="A3440" s="5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6"/>
      <c r="P3440" s="23" t="e">
        <f>TRIM(Tabla1[[#This Row],[Articulo]])</f>
        <v>#VALUE!</v>
      </c>
      <c r="Q3440" s="23" t="e">
        <f>_xlfn.XLOOKUP(Tabla1[[#This Row],[Ean Normalizado]],Consumos!A:A,Consumos!E:E)</f>
        <v>#VALUE!</v>
      </c>
      <c r="R3440" s="38" t="e">
        <f>_xlfn.XLOOKUP(Tabla1[[#This Row],[Ean Normalizado]],tabla_consumos[EAN],tabla_consumos[UM])</f>
        <v>#VALUE!</v>
      </c>
      <c r="S3440" s="38" t="e">
        <f>Tabla1[[#This Row],[StockDisp]]*Tabla1[[#This Row],[UM producto]]</f>
        <v>#VALUE!</v>
      </c>
    </row>
    <row r="3441" spans="1:19" x14ac:dyDescent="0.35">
      <c r="A3441" s="5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6"/>
      <c r="P3441" s="23" t="e">
        <f>TRIM(Tabla1[[#This Row],[Articulo]])</f>
        <v>#VALUE!</v>
      </c>
      <c r="Q3441" s="23" t="e">
        <f>_xlfn.XLOOKUP(Tabla1[[#This Row],[Ean Normalizado]],Consumos!A:A,Consumos!E:E)</f>
        <v>#VALUE!</v>
      </c>
      <c r="R3441" s="38" t="e">
        <f>_xlfn.XLOOKUP(Tabla1[[#This Row],[Ean Normalizado]],tabla_consumos[EAN],tabla_consumos[UM])</f>
        <v>#VALUE!</v>
      </c>
      <c r="S3441" s="38" t="e">
        <f>Tabla1[[#This Row],[StockDisp]]*Tabla1[[#This Row],[UM producto]]</f>
        <v>#VALUE!</v>
      </c>
    </row>
    <row r="3442" spans="1:19" x14ac:dyDescent="0.35">
      <c r="A3442" s="5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6"/>
      <c r="P3442" s="23" t="e">
        <f>TRIM(Tabla1[[#This Row],[Articulo]])</f>
        <v>#VALUE!</v>
      </c>
      <c r="Q3442" s="23" t="e">
        <f>_xlfn.XLOOKUP(Tabla1[[#This Row],[Ean Normalizado]],Consumos!A:A,Consumos!E:E)</f>
        <v>#VALUE!</v>
      </c>
      <c r="R3442" s="38" t="e">
        <f>_xlfn.XLOOKUP(Tabla1[[#This Row],[Ean Normalizado]],tabla_consumos[EAN],tabla_consumos[UM])</f>
        <v>#VALUE!</v>
      </c>
      <c r="S3442" s="38" t="e">
        <f>Tabla1[[#This Row],[StockDisp]]*Tabla1[[#This Row],[UM producto]]</f>
        <v>#VALUE!</v>
      </c>
    </row>
    <row r="3443" spans="1:19" x14ac:dyDescent="0.35">
      <c r="A3443" s="5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6"/>
      <c r="P3443" s="23" t="e">
        <f>TRIM(Tabla1[[#This Row],[Articulo]])</f>
        <v>#VALUE!</v>
      </c>
      <c r="Q3443" s="23" t="e">
        <f>_xlfn.XLOOKUP(Tabla1[[#This Row],[Ean Normalizado]],Consumos!A:A,Consumos!E:E)</f>
        <v>#VALUE!</v>
      </c>
      <c r="R3443" s="38" t="e">
        <f>_xlfn.XLOOKUP(Tabla1[[#This Row],[Ean Normalizado]],tabla_consumos[EAN],tabla_consumos[UM])</f>
        <v>#VALUE!</v>
      </c>
      <c r="S3443" s="38" t="e">
        <f>Tabla1[[#This Row],[StockDisp]]*Tabla1[[#This Row],[UM producto]]</f>
        <v>#VALUE!</v>
      </c>
    </row>
    <row r="3444" spans="1:19" x14ac:dyDescent="0.35">
      <c r="A3444" s="5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6"/>
      <c r="P3444" s="23" t="e">
        <f>TRIM(Tabla1[[#This Row],[Articulo]])</f>
        <v>#VALUE!</v>
      </c>
      <c r="Q3444" s="23" t="e">
        <f>_xlfn.XLOOKUP(Tabla1[[#This Row],[Ean Normalizado]],Consumos!A:A,Consumos!E:E)</f>
        <v>#VALUE!</v>
      </c>
      <c r="R3444" s="38" t="e">
        <f>_xlfn.XLOOKUP(Tabla1[[#This Row],[Ean Normalizado]],tabla_consumos[EAN],tabla_consumos[UM])</f>
        <v>#VALUE!</v>
      </c>
      <c r="S3444" s="38" t="e">
        <f>Tabla1[[#This Row],[StockDisp]]*Tabla1[[#This Row],[UM producto]]</f>
        <v>#VALUE!</v>
      </c>
    </row>
    <row r="3445" spans="1:19" x14ac:dyDescent="0.35">
      <c r="A3445" s="5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6"/>
      <c r="P3445" s="23" t="e">
        <f>TRIM(Tabla1[[#This Row],[Articulo]])</f>
        <v>#VALUE!</v>
      </c>
      <c r="Q3445" s="23" t="e">
        <f>_xlfn.XLOOKUP(Tabla1[[#This Row],[Ean Normalizado]],Consumos!A:A,Consumos!E:E)</f>
        <v>#VALUE!</v>
      </c>
      <c r="R3445" s="38" t="e">
        <f>_xlfn.XLOOKUP(Tabla1[[#This Row],[Ean Normalizado]],tabla_consumos[EAN],tabla_consumos[UM])</f>
        <v>#VALUE!</v>
      </c>
      <c r="S3445" s="38" t="e">
        <f>Tabla1[[#This Row],[StockDisp]]*Tabla1[[#This Row],[UM producto]]</f>
        <v>#VALUE!</v>
      </c>
    </row>
    <row r="3446" spans="1:19" x14ac:dyDescent="0.35">
      <c r="A3446" s="5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6"/>
      <c r="P3446" s="23" t="e">
        <f>TRIM(Tabla1[[#This Row],[Articulo]])</f>
        <v>#VALUE!</v>
      </c>
      <c r="Q3446" s="23" t="e">
        <f>_xlfn.XLOOKUP(Tabla1[[#This Row],[Ean Normalizado]],Consumos!A:A,Consumos!E:E)</f>
        <v>#VALUE!</v>
      </c>
      <c r="R3446" s="38" t="e">
        <f>_xlfn.XLOOKUP(Tabla1[[#This Row],[Ean Normalizado]],tabla_consumos[EAN],tabla_consumos[UM])</f>
        <v>#VALUE!</v>
      </c>
      <c r="S3446" s="38" t="e">
        <f>Tabla1[[#This Row],[StockDisp]]*Tabla1[[#This Row],[UM producto]]</f>
        <v>#VALUE!</v>
      </c>
    </row>
    <row r="3447" spans="1:19" x14ac:dyDescent="0.35">
      <c r="A3447" s="5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6"/>
      <c r="P3447" s="23" t="e">
        <f>TRIM(Tabla1[[#This Row],[Articulo]])</f>
        <v>#VALUE!</v>
      </c>
      <c r="Q3447" s="23" t="e">
        <f>_xlfn.XLOOKUP(Tabla1[[#This Row],[Ean Normalizado]],Consumos!A:A,Consumos!E:E)</f>
        <v>#VALUE!</v>
      </c>
      <c r="R3447" s="38" t="e">
        <f>_xlfn.XLOOKUP(Tabla1[[#This Row],[Ean Normalizado]],tabla_consumos[EAN],tabla_consumos[UM])</f>
        <v>#VALUE!</v>
      </c>
      <c r="S3447" s="38" t="e">
        <f>Tabla1[[#This Row],[StockDisp]]*Tabla1[[#This Row],[UM producto]]</f>
        <v>#VALUE!</v>
      </c>
    </row>
    <row r="3448" spans="1:19" x14ac:dyDescent="0.35">
      <c r="A3448" s="5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6"/>
      <c r="P3448" s="23" t="e">
        <f>TRIM(Tabla1[[#This Row],[Articulo]])</f>
        <v>#VALUE!</v>
      </c>
      <c r="Q3448" s="23" t="e">
        <f>_xlfn.XLOOKUP(Tabla1[[#This Row],[Ean Normalizado]],Consumos!A:A,Consumos!E:E)</f>
        <v>#VALUE!</v>
      </c>
      <c r="R3448" s="38" t="e">
        <f>_xlfn.XLOOKUP(Tabla1[[#This Row],[Ean Normalizado]],tabla_consumos[EAN],tabla_consumos[UM])</f>
        <v>#VALUE!</v>
      </c>
      <c r="S3448" s="38" t="e">
        <f>Tabla1[[#This Row],[StockDisp]]*Tabla1[[#This Row],[UM producto]]</f>
        <v>#VALUE!</v>
      </c>
    </row>
    <row r="3449" spans="1:19" x14ac:dyDescent="0.35">
      <c r="A3449" s="5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6"/>
      <c r="P3449" s="23" t="e">
        <f>TRIM(Tabla1[[#This Row],[Articulo]])</f>
        <v>#VALUE!</v>
      </c>
      <c r="Q3449" s="23" t="e">
        <f>_xlfn.XLOOKUP(Tabla1[[#This Row],[Ean Normalizado]],Consumos!A:A,Consumos!E:E)</f>
        <v>#VALUE!</v>
      </c>
      <c r="R3449" s="38" t="e">
        <f>_xlfn.XLOOKUP(Tabla1[[#This Row],[Ean Normalizado]],tabla_consumos[EAN],tabla_consumos[UM])</f>
        <v>#VALUE!</v>
      </c>
      <c r="S3449" s="38" t="e">
        <f>Tabla1[[#This Row],[StockDisp]]*Tabla1[[#This Row],[UM producto]]</f>
        <v>#VALUE!</v>
      </c>
    </row>
    <row r="3450" spans="1:19" x14ac:dyDescent="0.35">
      <c r="A3450" s="5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6"/>
      <c r="P3450" s="23" t="e">
        <f>TRIM(Tabla1[[#This Row],[Articulo]])</f>
        <v>#VALUE!</v>
      </c>
      <c r="Q3450" s="23" t="e">
        <f>_xlfn.XLOOKUP(Tabla1[[#This Row],[Ean Normalizado]],Consumos!A:A,Consumos!E:E)</f>
        <v>#VALUE!</v>
      </c>
      <c r="R3450" s="38" t="e">
        <f>_xlfn.XLOOKUP(Tabla1[[#This Row],[Ean Normalizado]],tabla_consumos[EAN],tabla_consumos[UM])</f>
        <v>#VALUE!</v>
      </c>
      <c r="S3450" s="38" t="e">
        <f>Tabla1[[#This Row],[StockDisp]]*Tabla1[[#This Row],[UM producto]]</f>
        <v>#VALUE!</v>
      </c>
    </row>
    <row r="3451" spans="1:19" x14ac:dyDescent="0.35">
      <c r="A3451" s="5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6"/>
      <c r="P3451" s="23" t="e">
        <f>TRIM(Tabla1[[#This Row],[Articulo]])</f>
        <v>#VALUE!</v>
      </c>
      <c r="Q3451" s="23" t="e">
        <f>_xlfn.XLOOKUP(Tabla1[[#This Row],[Ean Normalizado]],Consumos!A:A,Consumos!E:E)</f>
        <v>#VALUE!</v>
      </c>
      <c r="R3451" s="38" t="e">
        <f>_xlfn.XLOOKUP(Tabla1[[#This Row],[Ean Normalizado]],tabla_consumos[EAN],tabla_consumos[UM])</f>
        <v>#VALUE!</v>
      </c>
      <c r="S3451" s="38" t="e">
        <f>Tabla1[[#This Row],[StockDisp]]*Tabla1[[#This Row],[UM producto]]</f>
        <v>#VALUE!</v>
      </c>
    </row>
    <row r="3452" spans="1:19" x14ac:dyDescent="0.35">
      <c r="A3452" s="5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6"/>
      <c r="P3452" s="23" t="e">
        <f>TRIM(Tabla1[[#This Row],[Articulo]])</f>
        <v>#VALUE!</v>
      </c>
      <c r="Q3452" s="23" t="e">
        <f>_xlfn.XLOOKUP(Tabla1[[#This Row],[Ean Normalizado]],Consumos!A:A,Consumos!E:E)</f>
        <v>#VALUE!</v>
      </c>
      <c r="R3452" s="38" t="e">
        <f>_xlfn.XLOOKUP(Tabla1[[#This Row],[Ean Normalizado]],tabla_consumos[EAN],tabla_consumos[UM])</f>
        <v>#VALUE!</v>
      </c>
      <c r="S3452" s="38" t="e">
        <f>Tabla1[[#This Row],[StockDisp]]*Tabla1[[#This Row],[UM producto]]</f>
        <v>#VALUE!</v>
      </c>
    </row>
    <row r="3453" spans="1:19" x14ac:dyDescent="0.35">
      <c r="A3453" s="5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6"/>
      <c r="P3453" s="23" t="e">
        <f>TRIM(Tabla1[[#This Row],[Articulo]])</f>
        <v>#VALUE!</v>
      </c>
      <c r="Q3453" s="23" t="e">
        <f>_xlfn.XLOOKUP(Tabla1[[#This Row],[Ean Normalizado]],Consumos!A:A,Consumos!E:E)</f>
        <v>#VALUE!</v>
      </c>
      <c r="R3453" s="38" t="e">
        <f>_xlfn.XLOOKUP(Tabla1[[#This Row],[Ean Normalizado]],tabla_consumos[EAN],tabla_consumos[UM])</f>
        <v>#VALUE!</v>
      </c>
      <c r="S3453" s="38" t="e">
        <f>Tabla1[[#This Row],[StockDisp]]*Tabla1[[#This Row],[UM producto]]</f>
        <v>#VALUE!</v>
      </c>
    </row>
    <row r="3454" spans="1:19" x14ac:dyDescent="0.35">
      <c r="A3454" s="5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6"/>
      <c r="P3454" s="23" t="e">
        <f>TRIM(Tabla1[[#This Row],[Articulo]])</f>
        <v>#VALUE!</v>
      </c>
      <c r="Q3454" s="23" t="e">
        <f>_xlfn.XLOOKUP(Tabla1[[#This Row],[Ean Normalizado]],Consumos!A:A,Consumos!E:E)</f>
        <v>#VALUE!</v>
      </c>
      <c r="R3454" s="38" t="e">
        <f>_xlfn.XLOOKUP(Tabla1[[#This Row],[Ean Normalizado]],tabla_consumos[EAN],tabla_consumos[UM])</f>
        <v>#VALUE!</v>
      </c>
      <c r="S3454" s="38" t="e">
        <f>Tabla1[[#This Row],[StockDisp]]*Tabla1[[#This Row],[UM producto]]</f>
        <v>#VALUE!</v>
      </c>
    </row>
    <row r="3455" spans="1:19" x14ac:dyDescent="0.35">
      <c r="A3455" s="5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6"/>
      <c r="P3455" s="23" t="e">
        <f>TRIM(Tabla1[[#This Row],[Articulo]])</f>
        <v>#VALUE!</v>
      </c>
      <c r="Q3455" s="23" t="e">
        <f>_xlfn.XLOOKUP(Tabla1[[#This Row],[Ean Normalizado]],Consumos!A:A,Consumos!E:E)</f>
        <v>#VALUE!</v>
      </c>
      <c r="R3455" s="38" t="e">
        <f>_xlfn.XLOOKUP(Tabla1[[#This Row],[Ean Normalizado]],tabla_consumos[EAN],tabla_consumos[UM])</f>
        <v>#VALUE!</v>
      </c>
      <c r="S3455" s="38" t="e">
        <f>Tabla1[[#This Row],[StockDisp]]*Tabla1[[#This Row],[UM producto]]</f>
        <v>#VALUE!</v>
      </c>
    </row>
    <row r="3456" spans="1:19" x14ac:dyDescent="0.35">
      <c r="A3456" s="5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6"/>
      <c r="P3456" s="23" t="e">
        <f>TRIM(Tabla1[[#This Row],[Articulo]])</f>
        <v>#VALUE!</v>
      </c>
      <c r="Q3456" s="23" t="e">
        <f>_xlfn.XLOOKUP(Tabla1[[#This Row],[Ean Normalizado]],Consumos!A:A,Consumos!E:E)</f>
        <v>#VALUE!</v>
      </c>
      <c r="R3456" s="38" t="e">
        <f>_xlfn.XLOOKUP(Tabla1[[#This Row],[Ean Normalizado]],tabla_consumos[EAN],tabla_consumos[UM])</f>
        <v>#VALUE!</v>
      </c>
      <c r="S3456" s="38" t="e">
        <f>Tabla1[[#This Row],[StockDisp]]*Tabla1[[#This Row],[UM producto]]</f>
        <v>#VALUE!</v>
      </c>
    </row>
    <row r="3457" spans="1:19" x14ac:dyDescent="0.35">
      <c r="A3457" s="5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6"/>
      <c r="P3457" s="23" t="e">
        <f>TRIM(Tabla1[[#This Row],[Articulo]])</f>
        <v>#VALUE!</v>
      </c>
      <c r="Q3457" s="23" t="e">
        <f>_xlfn.XLOOKUP(Tabla1[[#This Row],[Ean Normalizado]],Consumos!A:A,Consumos!E:E)</f>
        <v>#VALUE!</v>
      </c>
      <c r="R3457" s="38" t="e">
        <f>_xlfn.XLOOKUP(Tabla1[[#This Row],[Ean Normalizado]],tabla_consumos[EAN],tabla_consumos[UM])</f>
        <v>#VALUE!</v>
      </c>
      <c r="S3457" s="38" t="e">
        <f>Tabla1[[#This Row],[StockDisp]]*Tabla1[[#This Row],[UM producto]]</f>
        <v>#VALUE!</v>
      </c>
    </row>
    <row r="3458" spans="1:19" x14ac:dyDescent="0.35">
      <c r="A3458" s="5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6"/>
      <c r="P3458" s="23" t="e">
        <f>TRIM(Tabla1[[#This Row],[Articulo]])</f>
        <v>#VALUE!</v>
      </c>
      <c r="Q3458" s="23" t="e">
        <f>_xlfn.XLOOKUP(Tabla1[[#This Row],[Ean Normalizado]],Consumos!A:A,Consumos!E:E)</f>
        <v>#VALUE!</v>
      </c>
      <c r="R3458" s="38" t="e">
        <f>_xlfn.XLOOKUP(Tabla1[[#This Row],[Ean Normalizado]],tabla_consumos[EAN],tabla_consumos[UM])</f>
        <v>#VALUE!</v>
      </c>
      <c r="S3458" s="38" t="e">
        <f>Tabla1[[#This Row],[StockDisp]]*Tabla1[[#This Row],[UM producto]]</f>
        <v>#VALUE!</v>
      </c>
    </row>
    <row r="3459" spans="1:19" x14ac:dyDescent="0.35">
      <c r="A3459" s="5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6"/>
      <c r="P3459" s="23" t="e">
        <f>TRIM(Tabla1[[#This Row],[Articulo]])</f>
        <v>#VALUE!</v>
      </c>
      <c r="Q3459" s="23" t="e">
        <f>_xlfn.XLOOKUP(Tabla1[[#This Row],[Ean Normalizado]],Consumos!A:A,Consumos!E:E)</f>
        <v>#VALUE!</v>
      </c>
      <c r="R3459" s="38" t="e">
        <f>_xlfn.XLOOKUP(Tabla1[[#This Row],[Ean Normalizado]],tabla_consumos[EAN],tabla_consumos[UM])</f>
        <v>#VALUE!</v>
      </c>
      <c r="S3459" s="38" t="e">
        <f>Tabla1[[#This Row],[StockDisp]]*Tabla1[[#This Row],[UM producto]]</f>
        <v>#VALUE!</v>
      </c>
    </row>
    <row r="3460" spans="1:19" x14ac:dyDescent="0.35">
      <c r="A3460" s="5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6"/>
      <c r="P3460" s="23" t="e">
        <f>TRIM(Tabla1[[#This Row],[Articulo]])</f>
        <v>#VALUE!</v>
      </c>
      <c r="Q3460" s="23" t="e">
        <f>_xlfn.XLOOKUP(Tabla1[[#This Row],[Ean Normalizado]],Consumos!A:A,Consumos!E:E)</f>
        <v>#VALUE!</v>
      </c>
      <c r="R3460" s="38" t="e">
        <f>_xlfn.XLOOKUP(Tabla1[[#This Row],[Ean Normalizado]],tabla_consumos[EAN],tabla_consumos[UM])</f>
        <v>#VALUE!</v>
      </c>
      <c r="S3460" s="38" t="e">
        <f>Tabla1[[#This Row],[StockDisp]]*Tabla1[[#This Row],[UM producto]]</f>
        <v>#VALUE!</v>
      </c>
    </row>
    <row r="3461" spans="1:19" x14ac:dyDescent="0.35">
      <c r="A3461" s="5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6"/>
      <c r="P3461" s="23" t="e">
        <f>TRIM(Tabla1[[#This Row],[Articulo]])</f>
        <v>#VALUE!</v>
      </c>
      <c r="Q3461" s="23" t="e">
        <f>_xlfn.XLOOKUP(Tabla1[[#This Row],[Ean Normalizado]],Consumos!A:A,Consumos!E:E)</f>
        <v>#VALUE!</v>
      </c>
      <c r="R3461" s="38" t="e">
        <f>_xlfn.XLOOKUP(Tabla1[[#This Row],[Ean Normalizado]],tabla_consumos[EAN],tabla_consumos[UM])</f>
        <v>#VALUE!</v>
      </c>
      <c r="S3461" s="38" t="e">
        <f>Tabla1[[#This Row],[StockDisp]]*Tabla1[[#This Row],[UM producto]]</f>
        <v>#VALUE!</v>
      </c>
    </row>
    <row r="3462" spans="1:19" x14ac:dyDescent="0.35">
      <c r="A3462" s="5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6"/>
      <c r="P3462" s="23" t="e">
        <f>TRIM(Tabla1[[#This Row],[Articulo]])</f>
        <v>#VALUE!</v>
      </c>
      <c r="Q3462" s="23" t="e">
        <f>_xlfn.XLOOKUP(Tabla1[[#This Row],[Ean Normalizado]],Consumos!A:A,Consumos!E:E)</f>
        <v>#VALUE!</v>
      </c>
      <c r="R3462" s="38" t="e">
        <f>_xlfn.XLOOKUP(Tabla1[[#This Row],[Ean Normalizado]],tabla_consumos[EAN],tabla_consumos[UM])</f>
        <v>#VALUE!</v>
      </c>
      <c r="S3462" s="38" t="e">
        <f>Tabla1[[#This Row],[StockDisp]]*Tabla1[[#This Row],[UM producto]]</f>
        <v>#VALUE!</v>
      </c>
    </row>
    <row r="3463" spans="1:19" x14ac:dyDescent="0.35">
      <c r="A3463" s="5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6"/>
      <c r="P3463" s="23" t="e">
        <f>TRIM(Tabla1[[#This Row],[Articulo]])</f>
        <v>#VALUE!</v>
      </c>
      <c r="Q3463" s="23" t="e">
        <f>_xlfn.XLOOKUP(Tabla1[[#This Row],[Ean Normalizado]],Consumos!A:A,Consumos!E:E)</f>
        <v>#VALUE!</v>
      </c>
      <c r="R3463" s="38" t="e">
        <f>_xlfn.XLOOKUP(Tabla1[[#This Row],[Ean Normalizado]],tabla_consumos[EAN],tabla_consumos[UM])</f>
        <v>#VALUE!</v>
      </c>
      <c r="S3463" s="38" t="e">
        <f>Tabla1[[#This Row],[StockDisp]]*Tabla1[[#This Row],[UM producto]]</f>
        <v>#VALUE!</v>
      </c>
    </row>
    <row r="3464" spans="1:19" x14ac:dyDescent="0.35">
      <c r="A3464" s="5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6"/>
      <c r="P3464" s="23" t="e">
        <f>TRIM(Tabla1[[#This Row],[Articulo]])</f>
        <v>#VALUE!</v>
      </c>
      <c r="Q3464" s="23" t="e">
        <f>_xlfn.XLOOKUP(Tabla1[[#This Row],[Ean Normalizado]],Consumos!A:A,Consumos!E:E)</f>
        <v>#VALUE!</v>
      </c>
      <c r="R3464" s="38" t="e">
        <f>_xlfn.XLOOKUP(Tabla1[[#This Row],[Ean Normalizado]],tabla_consumos[EAN],tabla_consumos[UM])</f>
        <v>#VALUE!</v>
      </c>
      <c r="S3464" s="38" t="e">
        <f>Tabla1[[#This Row],[StockDisp]]*Tabla1[[#This Row],[UM producto]]</f>
        <v>#VALUE!</v>
      </c>
    </row>
    <row r="3465" spans="1:19" x14ac:dyDescent="0.35">
      <c r="A3465" s="5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6"/>
      <c r="P3465" s="23" t="e">
        <f>TRIM(Tabla1[[#This Row],[Articulo]])</f>
        <v>#VALUE!</v>
      </c>
      <c r="Q3465" s="23" t="e">
        <f>_xlfn.XLOOKUP(Tabla1[[#This Row],[Ean Normalizado]],Consumos!A:A,Consumos!E:E)</f>
        <v>#VALUE!</v>
      </c>
      <c r="R3465" s="38" t="e">
        <f>_xlfn.XLOOKUP(Tabla1[[#This Row],[Ean Normalizado]],tabla_consumos[EAN],tabla_consumos[UM])</f>
        <v>#VALUE!</v>
      </c>
      <c r="S3465" s="38" t="e">
        <f>Tabla1[[#This Row],[StockDisp]]*Tabla1[[#This Row],[UM producto]]</f>
        <v>#VALUE!</v>
      </c>
    </row>
    <row r="3466" spans="1:19" x14ac:dyDescent="0.35">
      <c r="A3466" s="5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6"/>
      <c r="P3466" s="23" t="e">
        <f>TRIM(Tabla1[[#This Row],[Articulo]])</f>
        <v>#VALUE!</v>
      </c>
      <c r="Q3466" s="23" t="e">
        <f>_xlfn.XLOOKUP(Tabla1[[#This Row],[Ean Normalizado]],Consumos!A:A,Consumos!E:E)</f>
        <v>#VALUE!</v>
      </c>
      <c r="R3466" s="38" t="e">
        <f>_xlfn.XLOOKUP(Tabla1[[#This Row],[Ean Normalizado]],tabla_consumos[EAN],tabla_consumos[UM])</f>
        <v>#VALUE!</v>
      </c>
      <c r="S3466" s="38" t="e">
        <f>Tabla1[[#This Row],[StockDisp]]*Tabla1[[#This Row],[UM producto]]</f>
        <v>#VALUE!</v>
      </c>
    </row>
    <row r="3467" spans="1:19" x14ac:dyDescent="0.35">
      <c r="A3467" s="5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6"/>
      <c r="P3467" s="23" t="e">
        <f>TRIM(Tabla1[[#This Row],[Articulo]])</f>
        <v>#VALUE!</v>
      </c>
      <c r="Q3467" s="23" t="e">
        <f>_xlfn.XLOOKUP(Tabla1[[#This Row],[Ean Normalizado]],Consumos!A:A,Consumos!E:E)</f>
        <v>#VALUE!</v>
      </c>
      <c r="R3467" s="38" t="e">
        <f>_xlfn.XLOOKUP(Tabla1[[#This Row],[Ean Normalizado]],tabla_consumos[EAN],tabla_consumos[UM])</f>
        <v>#VALUE!</v>
      </c>
      <c r="S3467" s="38" t="e">
        <f>Tabla1[[#This Row],[StockDisp]]*Tabla1[[#This Row],[UM producto]]</f>
        <v>#VALUE!</v>
      </c>
    </row>
    <row r="3468" spans="1:19" x14ac:dyDescent="0.35">
      <c r="A3468" s="5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6"/>
      <c r="P3468" s="23" t="e">
        <f>TRIM(Tabla1[[#This Row],[Articulo]])</f>
        <v>#VALUE!</v>
      </c>
      <c r="Q3468" s="23" t="e">
        <f>_xlfn.XLOOKUP(Tabla1[[#This Row],[Ean Normalizado]],Consumos!A:A,Consumos!E:E)</f>
        <v>#VALUE!</v>
      </c>
      <c r="R3468" s="38" t="e">
        <f>_xlfn.XLOOKUP(Tabla1[[#This Row],[Ean Normalizado]],tabla_consumos[EAN],tabla_consumos[UM])</f>
        <v>#VALUE!</v>
      </c>
      <c r="S3468" s="38" t="e">
        <f>Tabla1[[#This Row],[StockDisp]]*Tabla1[[#This Row],[UM producto]]</f>
        <v>#VALUE!</v>
      </c>
    </row>
    <row r="3469" spans="1:19" x14ac:dyDescent="0.35">
      <c r="A3469" s="5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6"/>
      <c r="P3469" s="23" t="e">
        <f>TRIM(Tabla1[[#This Row],[Articulo]])</f>
        <v>#VALUE!</v>
      </c>
      <c r="Q3469" s="23" t="e">
        <f>_xlfn.XLOOKUP(Tabla1[[#This Row],[Ean Normalizado]],Consumos!A:A,Consumos!E:E)</f>
        <v>#VALUE!</v>
      </c>
      <c r="R3469" s="38" t="e">
        <f>_xlfn.XLOOKUP(Tabla1[[#This Row],[Ean Normalizado]],tabla_consumos[EAN],tabla_consumos[UM])</f>
        <v>#VALUE!</v>
      </c>
      <c r="S3469" s="38" t="e">
        <f>Tabla1[[#This Row],[StockDisp]]*Tabla1[[#This Row],[UM producto]]</f>
        <v>#VALUE!</v>
      </c>
    </row>
    <row r="3470" spans="1:19" x14ac:dyDescent="0.35">
      <c r="A3470" s="5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6"/>
      <c r="P3470" s="23" t="e">
        <f>TRIM(Tabla1[[#This Row],[Articulo]])</f>
        <v>#VALUE!</v>
      </c>
      <c r="Q3470" s="23" t="e">
        <f>_xlfn.XLOOKUP(Tabla1[[#This Row],[Ean Normalizado]],Consumos!A:A,Consumos!E:E)</f>
        <v>#VALUE!</v>
      </c>
      <c r="R3470" s="38" t="e">
        <f>_xlfn.XLOOKUP(Tabla1[[#This Row],[Ean Normalizado]],tabla_consumos[EAN],tabla_consumos[UM])</f>
        <v>#VALUE!</v>
      </c>
      <c r="S3470" s="38" t="e">
        <f>Tabla1[[#This Row],[StockDisp]]*Tabla1[[#This Row],[UM producto]]</f>
        <v>#VALUE!</v>
      </c>
    </row>
    <row r="3471" spans="1:19" x14ac:dyDescent="0.35">
      <c r="A3471" s="5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6"/>
      <c r="P3471" s="23" t="e">
        <f>TRIM(Tabla1[[#This Row],[Articulo]])</f>
        <v>#VALUE!</v>
      </c>
      <c r="Q3471" s="23" t="e">
        <f>_xlfn.XLOOKUP(Tabla1[[#This Row],[Ean Normalizado]],Consumos!A:A,Consumos!E:E)</f>
        <v>#VALUE!</v>
      </c>
      <c r="R3471" s="38" t="e">
        <f>_xlfn.XLOOKUP(Tabla1[[#This Row],[Ean Normalizado]],tabla_consumos[EAN],tabla_consumos[UM])</f>
        <v>#VALUE!</v>
      </c>
      <c r="S3471" s="38" t="e">
        <f>Tabla1[[#This Row],[StockDisp]]*Tabla1[[#This Row],[UM producto]]</f>
        <v>#VALUE!</v>
      </c>
    </row>
    <row r="3472" spans="1:19" x14ac:dyDescent="0.35">
      <c r="A3472" s="5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6"/>
      <c r="P3472" s="23" t="e">
        <f>TRIM(Tabla1[[#This Row],[Articulo]])</f>
        <v>#VALUE!</v>
      </c>
      <c r="Q3472" s="23" t="e">
        <f>_xlfn.XLOOKUP(Tabla1[[#This Row],[Ean Normalizado]],Consumos!A:A,Consumos!E:E)</f>
        <v>#VALUE!</v>
      </c>
      <c r="R3472" s="38" t="e">
        <f>_xlfn.XLOOKUP(Tabla1[[#This Row],[Ean Normalizado]],tabla_consumos[EAN],tabla_consumos[UM])</f>
        <v>#VALUE!</v>
      </c>
      <c r="S3472" s="38" t="e">
        <f>Tabla1[[#This Row],[StockDisp]]*Tabla1[[#This Row],[UM producto]]</f>
        <v>#VALUE!</v>
      </c>
    </row>
    <row r="3473" spans="1:19" x14ac:dyDescent="0.35">
      <c r="A3473" s="5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6"/>
      <c r="P3473" s="23" t="e">
        <f>TRIM(Tabla1[[#This Row],[Articulo]])</f>
        <v>#VALUE!</v>
      </c>
      <c r="Q3473" s="23" t="e">
        <f>_xlfn.XLOOKUP(Tabla1[[#This Row],[Ean Normalizado]],Consumos!A:A,Consumos!E:E)</f>
        <v>#VALUE!</v>
      </c>
      <c r="R3473" s="38" t="e">
        <f>_xlfn.XLOOKUP(Tabla1[[#This Row],[Ean Normalizado]],tabla_consumos[EAN],tabla_consumos[UM])</f>
        <v>#VALUE!</v>
      </c>
      <c r="S3473" s="38" t="e">
        <f>Tabla1[[#This Row],[StockDisp]]*Tabla1[[#This Row],[UM producto]]</f>
        <v>#VALUE!</v>
      </c>
    </row>
    <row r="3474" spans="1:19" x14ac:dyDescent="0.35">
      <c r="A3474" s="5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6"/>
      <c r="P3474" s="23" t="e">
        <f>TRIM(Tabla1[[#This Row],[Articulo]])</f>
        <v>#VALUE!</v>
      </c>
      <c r="Q3474" s="23" t="e">
        <f>_xlfn.XLOOKUP(Tabla1[[#This Row],[Ean Normalizado]],Consumos!A:A,Consumos!E:E)</f>
        <v>#VALUE!</v>
      </c>
      <c r="R3474" s="38" t="e">
        <f>_xlfn.XLOOKUP(Tabla1[[#This Row],[Ean Normalizado]],tabla_consumos[EAN],tabla_consumos[UM])</f>
        <v>#VALUE!</v>
      </c>
      <c r="S3474" s="38" t="e">
        <f>Tabla1[[#This Row],[StockDisp]]*Tabla1[[#This Row],[UM producto]]</f>
        <v>#VALUE!</v>
      </c>
    </row>
    <row r="3475" spans="1:19" x14ac:dyDescent="0.35">
      <c r="A3475" s="5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6"/>
      <c r="P3475" s="23" t="e">
        <f>TRIM(Tabla1[[#This Row],[Articulo]])</f>
        <v>#VALUE!</v>
      </c>
      <c r="Q3475" s="23" t="e">
        <f>_xlfn.XLOOKUP(Tabla1[[#This Row],[Ean Normalizado]],Consumos!A:A,Consumos!E:E)</f>
        <v>#VALUE!</v>
      </c>
      <c r="R3475" s="38" t="e">
        <f>_xlfn.XLOOKUP(Tabla1[[#This Row],[Ean Normalizado]],tabla_consumos[EAN],tabla_consumos[UM])</f>
        <v>#VALUE!</v>
      </c>
      <c r="S3475" s="38" t="e">
        <f>Tabla1[[#This Row],[StockDisp]]*Tabla1[[#This Row],[UM producto]]</f>
        <v>#VALUE!</v>
      </c>
    </row>
    <row r="3476" spans="1:19" x14ac:dyDescent="0.35">
      <c r="A3476" s="5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6"/>
      <c r="P3476" s="23" t="e">
        <f>TRIM(Tabla1[[#This Row],[Articulo]])</f>
        <v>#VALUE!</v>
      </c>
      <c r="Q3476" s="23" t="e">
        <f>_xlfn.XLOOKUP(Tabla1[[#This Row],[Ean Normalizado]],Consumos!A:A,Consumos!E:E)</f>
        <v>#VALUE!</v>
      </c>
      <c r="R3476" s="38" t="e">
        <f>_xlfn.XLOOKUP(Tabla1[[#This Row],[Ean Normalizado]],tabla_consumos[EAN],tabla_consumos[UM])</f>
        <v>#VALUE!</v>
      </c>
      <c r="S3476" s="38" t="e">
        <f>Tabla1[[#This Row],[StockDisp]]*Tabla1[[#This Row],[UM producto]]</f>
        <v>#VALUE!</v>
      </c>
    </row>
    <row r="3477" spans="1:19" x14ac:dyDescent="0.35">
      <c r="A3477" s="5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6"/>
      <c r="P3477" s="23" t="e">
        <f>TRIM(Tabla1[[#This Row],[Articulo]])</f>
        <v>#VALUE!</v>
      </c>
      <c r="Q3477" s="23" t="e">
        <f>_xlfn.XLOOKUP(Tabla1[[#This Row],[Ean Normalizado]],Consumos!A:A,Consumos!E:E)</f>
        <v>#VALUE!</v>
      </c>
      <c r="R3477" s="38" t="e">
        <f>_xlfn.XLOOKUP(Tabla1[[#This Row],[Ean Normalizado]],tabla_consumos[EAN],tabla_consumos[UM])</f>
        <v>#VALUE!</v>
      </c>
      <c r="S3477" s="38" t="e">
        <f>Tabla1[[#This Row],[StockDisp]]*Tabla1[[#This Row],[UM producto]]</f>
        <v>#VALUE!</v>
      </c>
    </row>
    <row r="3478" spans="1:19" x14ac:dyDescent="0.35">
      <c r="A3478" s="5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6"/>
      <c r="P3478" s="23" t="e">
        <f>TRIM(Tabla1[[#This Row],[Articulo]])</f>
        <v>#VALUE!</v>
      </c>
      <c r="Q3478" s="23" t="e">
        <f>_xlfn.XLOOKUP(Tabla1[[#This Row],[Ean Normalizado]],Consumos!A:A,Consumos!E:E)</f>
        <v>#VALUE!</v>
      </c>
      <c r="R3478" s="38" t="e">
        <f>_xlfn.XLOOKUP(Tabla1[[#This Row],[Ean Normalizado]],tabla_consumos[EAN],tabla_consumos[UM])</f>
        <v>#VALUE!</v>
      </c>
      <c r="S3478" s="38" t="e">
        <f>Tabla1[[#This Row],[StockDisp]]*Tabla1[[#This Row],[UM producto]]</f>
        <v>#VALUE!</v>
      </c>
    </row>
    <row r="3479" spans="1:19" x14ac:dyDescent="0.35">
      <c r="A3479" s="5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6"/>
      <c r="P3479" s="23" t="e">
        <f>TRIM(Tabla1[[#This Row],[Articulo]])</f>
        <v>#VALUE!</v>
      </c>
      <c r="Q3479" s="23" t="e">
        <f>_xlfn.XLOOKUP(Tabla1[[#This Row],[Ean Normalizado]],Consumos!A:A,Consumos!E:E)</f>
        <v>#VALUE!</v>
      </c>
      <c r="R3479" s="38" t="e">
        <f>_xlfn.XLOOKUP(Tabla1[[#This Row],[Ean Normalizado]],tabla_consumos[EAN],tabla_consumos[UM])</f>
        <v>#VALUE!</v>
      </c>
      <c r="S3479" s="38" t="e">
        <f>Tabla1[[#This Row],[StockDisp]]*Tabla1[[#This Row],[UM producto]]</f>
        <v>#VALUE!</v>
      </c>
    </row>
    <row r="3480" spans="1:19" x14ac:dyDescent="0.35">
      <c r="A3480" s="5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6"/>
      <c r="P3480" s="23" t="e">
        <f>TRIM(Tabla1[[#This Row],[Articulo]])</f>
        <v>#VALUE!</v>
      </c>
      <c r="Q3480" s="23" t="e">
        <f>_xlfn.XLOOKUP(Tabla1[[#This Row],[Ean Normalizado]],Consumos!A:A,Consumos!E:E)</f>
        <v>#VALUE!</v>
      </c>
      <c r="R3480" s="38" t="e">
        <f>_xlfn.XLOOKUP(Tabla1[[#This Row],[Ean Normalizado]],tabla_consumos[EAN],tabla_consumos[UM])</f>
        <v>#VALUE!</v>
      </c>
      <c r="S3480" s="38" t="e">
        <f>Tabla1[[#This Row],[StockDisp]]*Tabla1[[#This Row],[UM producto]]</f>
        <v>#VALUE!</v>
      </c>
    </row>
    <row r="3481" spans="1:19" x14ac:dyDescent="0.35">
      <c r="A3481" s="5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6"/>
      <c r="P3481" s="23" t="e">
        <f>TRIM(Tabla1[[#This Row],[Articulo]])</f>
        <v>#VALUE!</v>
      </c>
      <c r="Q3481" s="23" t="e">
        <f>_xlfn.XLOOKUP(Tabla1[[#This Row],[Ean Normalizado]],Consumos!A:A,Consumos!E:E)</f>
        <v>#VALUE!</v>
      </c>
      <c r="R3481" s="38" t="e">
        <f>_xlfn.XLOOKUP(Tabla1[[#This Row],[Ean Normalizado]],tabla_consumos[EAN],tabla_consumos[UM])</f>
        <v>#VALUE!</v>
      </c>
      <c r="S3481" s="38" t="e">
        <f>Tabla1[[#This Row],[StockDisp]]*Tabla1[[#This Row],[UM producto]]</f>
        <v>#VALUE!</v>
      </c>
    </row>
    <row r="3482" spans="1:19" x14ac:dyDescent="0.35">
      <c r="A3482" s="5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6"/>
      <c r="P3482" s="23" t="e">
        <f>TRIM(Tabla1[[#This Row],[Articulo]])</f>
        <v>#VALUE!</v>
      </c>
      <c r="Q3482" s="23" t="e">
        <f>_xlfn.XLOOKUP(Tabla1[[#This Row],[Ean Normalizado]],Consumos!A:A,Consumos!E:E)</f>
        <v>#VALUE!</v>
      </c>
      <c r="R3482" s="38" t="e">
        <f>_xlfn.XLOOKUP(Tabla1[[#This Row],[Ean Normalizado]],tabla_consumos[EAN],tabla_consumos[UM])</f>
        <v>#VALUE!</v>
      </c>
      <c r="S3482" s="38" t="e">
        <f>Tabla1[[#This Row],[StockDisp]]*Tabla1[[#This Row],[UM producto]]</f>
        <v>#VALUE!</v>
      </c>
    </row>
    <row r="3483" spans="1:19" x14ac:dyDescent="0.35">
      <c r="A3483" s="5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6"/>
      <c r="P3483" s="23" t="e">
        <f>TRIM(Tabla1[[#This Row],[Articulo]])</f>
        <v>#VALUE!</v>
      </c>
      <c r="Q3483" s="23" t="e">
        <f>_xlfn.XLOOKUP(Tabla1[[#This Row],[Ean Normalizado]],Consumos!A:A,Consumos!E:E)</f>
        <v>#VALUE!</v>
      </c>
      <c r="R3483" s="38" t="e">
        <f>_xlfn.XLOOKUP(Tabla1[[#This Row],[Ean Normalizado]],tabla_consumos[EAN],tabla_consumos[UM])</f>
        <v>#VALUE!</v>
      </c>
      <c r="S3483" s="38" t="e">
        <f>Tabla1[[#This Row],[StockDisp]]*Tabla1[[#This Row],[UM producto]]</f>
        <v>#VALUE!</v>
      </c>
    </row>
    <row r="3484" spans="1:19" x14ac:dyDescent="0.35">
      <c r="A3484" s="5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6"/>
      <c r="P3484" s="23" t="e">
        <f>TRIM(Tabla1[[#This Row],[Articulo]])</f>
        <v>#VALUE!</v>
      </c>
      <c r="Q3484" s="23" t="e">
        <f>_xlfn.XLOOKUP(Tabla1[[#This Row],[Ean Normalizado]],Consumos!A:A,Consumos!E:E)</f>
        <v>#VALUE!</v>
      </c>
      <c r="R3484" s="38" t="e">
        <f>_xlfn.XLOOKUP(Tabla1[[#This Row],[Ean Normalizado]],tabla_consumos[EAN],tabla_consumos[UM])</f>
        <v>#VALUE!</v>
      </c>
      <c r="S3484" s="38" t="e">
        <f>Tabla1[[#This Row],[StockDisp]]*Tabla1[[#This Row],[UM producto]]</f>
        <v>#VALUE!</v>
      </c>
    </row>
    <row r="3485" spans="1:19" x14ac:dyDescent="0.35">
      <c r="A3485" s="5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6"/>
      <c r="P3485" s="23" t="e">
        <f>TRIM(Tabla1[[#This Row],[Articulo]])</f>
        <v>#VALUE!</v>
      </c>
      <c r="Q3485" s="23" t="e">
        <f>_xlfn.XLOOKUP(Tabla1[[#This Row],[Ean Normalizado]],Consumos!A:A,Consumos!E:E)</f>
        <v>#VALUE!</v>
      </c>
      <c r="R3485" s="38" t="e">
        <f>_xlfn.XLOOKUP(Tabla1[[#This Row],[Ean Normalizado]],tabla_consumos[EAN],tabla_consumos[UM])</f>
        <v>#VALUE!</v>
      </c>
      <c r="S3485" s="38" t="e">
        <f>Tabla1[[#This Row],[StockDisp]]*Tabla1[[#This Row],[UM producto]]</f>
        <v>#VALUE!</v>
      </c>
    </row>
    <row r="3486" spans="1:19" x14ac:dyDescent="0.35">
      <c r="A3486" s="5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6"/>
      <c r="P3486" s="23" t="e">
        <f>TRIM(Tabla1[[#This Row],[Articulo]])</f>
        <v>#VALUE!</v>
      </c>
      <c r="Q3486" s="23" t="e">
        <f>_xlfn.XLOOKUP(Tabla1[[#This Row],[Ean Normalizado]],Consumos!A:A,Consumos!E:E)</f>
        <v>#VALUE!</v>
      </c>
      <c r="R3486" s="38" t="e">
        <f>_xlfn.XLOOKUP(Tabla1[[#This Row],[Ean Normalizado]],tabla_consumos[EAN],tabla_consumos[UM])</f>
        <v>#VALUE!</v>
      </c>
      <c r="S3486" s="38" t="e">
        <f>Tabla1[[#This Row],[StockDisp]]*Tabla1[[#This Row],[UM producto]]</f>
        <v>#VALUE!</v>
      </c>
    </row>
    <row r="3487" spans="1:19" x14ac:dyDescent="0.35">
      <c r="A3487" s="5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6"/>
      <c r="P3487" s="23" t="e">
        <f>TRIM(Tabla1[[#This Row],[Articulo]])</f>
        <v>#VALUE!</v>
      </c>
      <c r="Q3487" s="23" t="e">
        <f>_xlfn.XLOOKUP(Tabla1[[#This Row],[Ean Normalizado]],Consumos!A:A,Consumos!E:E)</f>
        <v>#VALUE!</v>
      </c>
      <c r="R3487" s="38" t="e">
        <f>_xlfn.XLOOKUP(Tabla1[[#This Row],[Ean Normalizado]],tabla_consumos[EAN],tabla_consumos[UM])</f>
        <v>#VALUE!</v>
      </c>
      <c r="S3487" s="38" t="e">
        <f>Tabla1[[#This Row],[StockDisp]]*Tabla1[[#This Row],[UM producto]]</f>
        <v>#VALUE!</v>
      </c>
    </row>
    <row r="3488" spans="1:19" x14ac:dyDescent="0.35">
      <c r="A3488" s="5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6"/>
      <c r="P3488" s="23" t="e">
        <f>TRIM(Tabla1[[#This Row],[Articulo]])</f>
        <v>#VALUE!</v>
      </c>
      <c r="Q3488" s="23" t="e">
        <f>_xlfn.XLOOKUP(Tabla1[[#This Row],[Ean Normalizado]],Consumos!A:A,Consumos!E:E)</f>
        <v>#VALUE!</v>
      </c>
      <c r="R3488" s="38" t="e">
        <f>_xlfn.XLOOKUP(Tabla1[[#This Row],[Ean Normalizado]],tabla_consumos[EAN],tabla_consumos[UM])</f>
        <v>#VALUE!</v>
      </c>
      <c r="S3488" s="38" t="e">
        <f>Tabla1[[#This Row],[StockDisp]]*Tabla1[[#This Row],[UM producto]]</f>
        <v>#VALUE!</v>
      </c>
    </row>
    <row r="3489" spans="1:19" x14ac:dyDescent="0.35">
      <c r="A3489" s="5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6"/>
      <c r="P3489" s="23" t="e">
        <f>TRIM(Tabla1[[#This Row],[Articulo]])</f>
        <v>#VALUE!</v>
      </c>
      <c r="Q3489" s="23" t="e">
        <f>_xlfn.XLOOKUP(Tabla1[[#This Row],[Ean Normalizado]],Consumos!A:A,Consumos!E:E)</f>
        <v>#VALUE!</v>
      </c>
      <c r="R3489" s="38" t="e">
        <f>_xlfn.XLOOKUP(Tabla1[[#This Row],[Ean Normalizado]],tabla_consumos[EAN],tabla_consumos[UM])</f>
        <v>#VALUE!</v>
      </c>
      <c r="S3489" s="38" t="e">
        <f>Tabla1[[#This Row],[StockDisp]]*Tabla1[[#This Row],[UM producto]]</f>
        <v>#VALUE!</v>
      </c>
    </row>
    <row r="3490" spans="1:19" x14ac:dyDescent="0.35">
      <c r="A3490" s="5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6"/>
      <c r="P3490" s="23" t="e">
        <f>TRIM(Tabla1[[#This Row],[Articulo]])</f>
        <v>#VALUE!</v>
      </c>
      <c r="Q3490" s="23" t="e">
        <f>_xlfn.XLOOKUP(Tabla1[[#This Row],[Ean Normalizado]],Consumos!A:A,Consumos!E:E)</f>
        <v>#VALUE!</v>
      </c>
      <c r="R3490" s="38" t="e">
        <f>_xlfn.XLOOKUP(Tabla1[[#This Row],[Ean Normalizado]],tabla_consumos[EAN],tabla_consumos[UM])</f>
        <v>#VALUE!</v>
      </c>
      <c r="S3490" s="38" t="e">
        <f>Tabla1[[#This Row],[StockDisp]]*Tabla1[[#This Row],[UM producto]]</f>
        <v>#VALUE!</v>
      </c>
    </row>
    <row r="3491" spans="1:19" x14ac:dyDescent="0.35">
      <c r="A3491" s="5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6"/>
      <c r="P3491" s="23" t="e">
        <f>TRIM(Tabla1[[#This Row],[Articulo]])</f>
        <v>#VALUE!</v>
      </c>
      <c r="Q3491" s="23" t="e">
        <f>_xlfn.XLOOKUP(Tabla1[[#This Row],[Ean Normalizado]],Consumos!A:A,Consumos!E:E)</f>
        <v>#VALUE!</v>
      </c>
      <c r="R3491" s="38" t="e">
        <f>_xlfn.XLOOKUP(Tabla1[[#This Row],[Ean Normalizado]],tabla_consumos[EAN],tabla_consumos[UM])</f>
        <v>#VALUE!</v>
      </c>
      <c r="S3491" s="38" t="e">
        <f>Tabla1[[#This Row],[StockDisp]]*Tabla1[[#This Row],[UM producto]]</f>
        <v>#VALUE!</v>
      </c>
    </row>
    <row r="3492" spans="1:19" x14ac:dyDescent="0.35">
      <c r="A3492" s="5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6"/>
      <c r="P3492" s="23" t="e">
        <f>TRIM(Tabla1[[#This Row],[Articulo]])</f>
        <v>#VALUE!</v>
      </c>
      <c r="Q3492" s="23" t="e">
        <f>_xlfn.XLOOKUP(Tabla1[[#This Row],[Ean Normalizado]],Consumos!A:A,Consumos!E:E)</f>
        <v>#VALUE!</v>
      </c>
      <c r="R3492" s="38" t="e">
        <f>_xlfn.XLOOKUP(Tabla1[[#This Row],[Ean Normalizado]],tabla_consumos[EAN],tabla_consumos[UM])</f>
        <v>#VALUE!</v>
      </c>
      <c r="S3492" s="38" t="e">
        <f>Tabla1[[#This Row],[StockDisp]]*Tabla1[[#This Row],[UM producto]]</f>
        <v>#VALUE!</v>
      </c>
    </row>
    <row r="3493" spans="1:19" x14ac:dyDescent="0.35">
      <c r="A3493" s="5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6"/>
      <c r="P3493" s="23" t="e">
        <f>TRIM(Tabla1[[#This Row],[Articulo]])</f>
        <v>#VALUE!</v>
      </c>
      <c r="Q3493" s="23" t="e">
        <f>_xlfn.XLOOKUP(Tabla1[[#This Row],[Ean Normalizado]],Consumos!A:A,Consumos!E:E)</f>
        <v>#VALUE!</v>
      </c>
      <c r="R3493" s="38" t="e">
        <f>_xlfn.XLOOKUP(Tabla1[[#This Row],[Ean Normalizado]],tabla_consumos[EAN],tabla_consumos[UM])</f>
        <v>#VALUE!</v>
      </c>
      <c r="S3493" s="38" t="e">
        <f>Tabla1[[#This Row],[StockDisp]]*Tabla1[[#This Row],[UM producto]]</f>
        <v>#VALUE!</v>
      </c>
    </row>
    <row r="3494" spans="1:19" x14ac:dyDescent="0.35">
      <c r="A3494" s="5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6"/>
      <c r="P3494" s="23" t="e">
        <f>TRIM(Tabla1[[#This Row],[Articulo]])</f>
        <v>#VALUE!</v>
      </c>
      <c r="Q3494" s="23" t="e">
        <f>_xlfn.XLOOKUP(Tabla1[[#This Row],[Ean Normalizado]],Consumos!A:A,Consumos!E:E)</f>
        <v>#VALUE!</v>
      </c>
      <c r="R3494" s="38" t="e">
        <f>_xlfn.XLOOKUP(Tabla1[[#This Row],[Ean Normalizado]],tabla_consumos[EAN],tabla_consumos[UM])</f>
        <v>#VALUE!</v>
      </c>
      <c r="S3494" s="38" t="e">
        <f>Tabla1[[#This Row],[StockDisp]]*Tabla1[[#This Row],[UM producto]]</f>
        <v>#VALUE!</v>
      </c>
    </row>
    <row r="3495" spans="1:19" x14ac:dyDescent="0.35">
      <c r="A3495" s="5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6"/>
      <c r="P3495" s="23" t="e">
        <f>TRIM(Tabla1[[#This Row],[Articulo]])</f>
        <v>#VALUE!</v>
      </c>
      <c r="Q3495" s="23" t="e">
        <f>_xlfn.XLOOKUP(Tabla1[[#This Row],[Ean Normalizado]],Consumos!A:A,Consumos!E:E)</f>
        <v>#VALUE!</v>
      </c>
      <c r="R3495" s="38" t="e">
        <f>_xlfn.XLOOKUP(Tabla1[[#This Row],[Ean Normalizado]],tabla_consumos[EAN],tabla_consumos[UM])</f>
        <v>#VALUE!</v>
      </c>
      <c r="S3495" s="38" t="e">
        <f>Tabla1[[#This Row],[StockDisp]]*Tabla1[[#This Row],[UM producto]]</f>
        <v>#VALUE!</v>
      </c>
    </row>
    <row r="3496" spans="1:19" x14ac:dyDescent="0.35">
      <c r="A3496" s="5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6"/>
      <c r="P3496" s="23" t="e">
        <f>TRIM(Tabla1[[#This Row],[Articulo]])</f>
        <v>#VALUE!</v>
      </c>
      <c r="Q3496" s="23" t="e">
        <f>_xlfn.XLOOKUP(Tabla1[[#This Row],[Ean Normalizado]],Consumos!A:A,Consumos!E:E)</f>
        <v>#VALUE!</v>
      </c>
      <c r="R3496" s="38" t="e">
        <f>_xlfn.XLOOKUP(Tabla1[[#This Row],[Ean Normalizado]],tabla_consumos[EAN],tabla_consumos[UM])</f>
        <v>#VALUE!</v>
      </c>
      <c r="S3496" s="38" t="e">
        <f>Tabla1[[#This Row],[StockDisp]]*Tabla1[[#This Row],[UM producto]]</f>
        <v>#VALUE!</v>
      </c>
    </row>
    <row r="3497" spans="1:19" x14ac:dyDescent="0.35">
      <c r="A3497" s="5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6"/>
      <c r="P3497" s="23" t="e">
        <f>TRIM(Tabla1[[#This Row],[Articulo]])</f>
        <v>#VALUE!</v>
      </c>
      <c r="Q3497" s="23" t="e">
        <f>_xlfn.XLOOKUP(Tabla1[[#This Row],[Ean Normalizado]],Consumos!A:A,Consumos!E:E)</f>
        <v>#VALUE!</v>
      </c>
      <c r="R3497" s="38" t="e">
        <f>_xlfn.XLOOKUP(Tabla1[[#This Row],[Ean Normalizado]],tabla_consumos[EAN],tabla_consumos[UM])</f>
        <v>#VALUE!</v>
      </c>
      <c r="S3497" s="38" t="e">
        <f>Tabla1[[#This Row],[StockDisp]]*Tabla1[[#This Row],[UM producto]]</f>
        <v>#VALUE!</v>
      </c>
    </row>
    <row r="3498" spans="1:19" x14ac:dyDescent="0.35">
      <c r="A3498" s="5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6"/>
      <c r="P3498" s="23" t="e">
        <f>TRIM(Tabla1[[#This Row],[Articulo]])</f>
        <v>#VALUE!</v>
      </c>
      <c r="Q3498" s="23" t="e">
        <f>_xlfn.XLOOKUP(Tabla1[[#This Row],[Ean Normalizado]],Consumos!A:A,Consumos!E:E)</f>
        <v>#VALUE!</v>
      </c>
      <c r="R3498" s="38" t="e">
        <f>_xlfn.XLOOKUP(Tabla1[[#This Row],[Ean Normalizado]],tabla_consumos[EAN],tabla_consumos[UM])</f>
        <v>#VALUE!</v>
      </c>
      <c r="S3498" s="38" t="e">
        <f>Tabla1[[#This Row],[StockDisp]]*Tabla1[[#This Row],[UM producto]]</f>
        <v>#VALUE!</v>
      </c>
    </row>
    <row r="3499" spans="1:19" x14ac:dyDescent="0.35">
      <c r="A3499" s="5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6"/>
      <c r="P3499" s="23" t="e">
        <f>TRIM(Tabla1[[#This Row],[Articulo]])</f>
        <v>#VALUE!</v>
      </c>
      <c r="Q3499" s="23" t="e">
        <f>_xlfn.XLOOKUP(Tabla1[[#This Row],[Ean Normalizado]],Consumos!A:A,Consumos!E:E)</f>
        <v>#VALUE!</v>
      </c>
      <c r="R3499" s="38" t="e">
        <f>_xlfn.XLOOKUP(Tabla1[[#This Row],[Ean Normalizado]],tabla_consumos[EAN],tabla_consumos[UM])</f>
        <v>#VALUE!</v>
      </c>
      <c r="S3499" s="38" t="e">
        <f>Tabla1[[#This Row],[StockDisp]]*Tabla1[[#This Row],[UM producto]]</f>
        <v>#VALUE!</v>
      </c>
    </row>
    <row r="3500" spans="1:19" x14ac:dyDescent="0.35">
      <c r="A3500" s="5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6"/>
      <c r="P3500" s="23" t="e">
        <f>TRIM(Tabla1[[#This Row],[Articulo]])</f>
        <v>#VALUE!</v>
      </c>
      <c r="Q3500" s="23" t="e">
        <f>_xlfn.XLOOKUP(Tabla1[[#This Row],[Ean Normalizado]],Consumos!A:A,Consumos!E:E)</f>
        <v>#VALUE!</v>
      </c>
      <c r="R3500" s="38" t="e">
        <f>_xlfn.XLOOKUP(Tabla1[[#This Row],[Ean Normalizado]],tabla_consumos[EAN],tabla_consumos[UM])</f>
        <v>#VALUE!</v>
      </c>
      <c r="S3500" s="38" t="e">
        <f>Tabla1[[#This Row],[StockDisp]]*Tabla1[[#This Row],[UM producto]]</f>
        <v>#VALUE!</v>
      </c>
    </row>
    <row r="3501" spans="1:19" x14ac:dyDescent="0.35">
      <c r="A3501" s="5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6"/>
      <c r="P3501" s="23" t="e">
        <f>TRIM(Tabla1[[#This Row],[Articulo]])</f>
        <v>#VALUE!</v>
      </c>
      <c r="Q3501" s="23" t="e">
        <f>_xlfn.XLOOKUP(Tabla1[[#This Row],[Ean Normalizado]],Consumos!A:A,Consumos!E:E)</f>
        <v>#VALUE!</v>
      </c>
      <c r="R3501" s="38" t="e">
        <f>_xlfn.XLOOKUP(Tabla1[[#This Row],[Ean Normalizado]],tabla_consumos[EAN],tabla_consumos[UM])</f>
        <v>#VALUE!</v>
      </c>
      <c r="S3501" s="38" t="e">
        <f>Tabla1[[#This Row],[StockDisp]]*Tabla1[[#This Row],[UM producto]]</f>
        <v>#VALUE!</v>
      </c>
    </row>
    <row r="3502" spans="1:19" x14ac:dyDescent="0.35">
      <c r="A3502" s="5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6"/>
      <c r="P3502" s="23" t="e">
        <f>TRIM(Tabla1[[#This Row],[Articulo]])</f>
        <v>#VALUE!</v>
      </c>
      <c r="Q3502" s="23" t="e">
        <f>_xlfn.XLOOKUP(Tabla1[[#This Row],[Ean Normalizado]],Consumos!A:A,Consumos!E:E)</f>
        <v>#VALUE!</v>
      </c>
      <c r="R3502" s="38" t="e">
        <f>_xlfn.XLOOKUP(Tabla1[[#This Row],[Ean Normalizado]],tabla_consumos[EAN],tabla_consumos[UM])</f>
        <v>#VALUE!</v>
      </c>
      <c r="S3502" s="38" t="e">
        <f>Tabla1[[#This Row],[StockDisp]]*Tabla1[[#This Row],[UM producto]]</f>
        <v>#VALUE!</v>
      </c>
    </row>
    <row r="3503" spans="1:19" x14ac:dyDescent="0.35">
      <c r="A3503" s="5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6"/>
      <c r="P3503" s="23" t="e">
        <f>TRIM(Tabla1[[#This Row],[Articulo]])</f>
        <v>#VALUE!</v>
      </c>
      <c r="Q3503" s="23" t="e">
        <f>_xlfn.XLOOKUP(Tabla1[[#This Row],[Ean Normalizado]],Consumos!A:A,Consumos!E:E)</f>
        <v>#VALUE!</v>
      </c>
      <c r="R3503" s="38" t="e">
        <f>_xlfn.XLOOKUP(Tabla1[[#This Row],[Ean Normalizado]],tabla_consumos[EAN],tabla_consumos[UM])</f>
        <v>#VALUE!</v>
      </c>
      <c r="S3503" s="38" t="e">
        <f>Tabla1[[#This Row],[StockDisp]]*Tabla1[[#This Row],[UM producto]]</f>
        <v>#VALUE!</v>
      </c>
    </row>
    <row r="3504" spans="1:19" x14ac:dyDescent="0.35">
      <c r="A3504" s="5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6"/>
      <c r="P3504" s="23" t="e">
        <f>TRIM(Tabla1[[#This Row],[Articulo]])</f>
        <v>#VALUE!</v>
      </c>
      <c r="Q3504" s="23" t="e">
        <f>_xlfn.XLOOKUP(Tabla1[[#This Row],[Ean Normalizado]],Consumos!A:A,Consumos!E:E)</f>
        <v>#VALUE!</v>
      </c>
      <c r="R3504" s="38" t="e">
        <f>_xlfn.XLOOKUP(Tabla1[[#This Row],[Ean Normalizado]],tabla_consumos[EAN],tabla_consumos[UM])</f>
        <v>#VALUE!</v>
      </c>
      <c r="S3504" s="38" t="e">
        <f>Tabla1[[#This Row],[StockDisp]]*Tabla1[[#This Row],[UM producto]]</f>
        <v>#VALUE!</v>
      </c>
    </row>
    <row r="3505" spans="1:19" x14ac:dyDescent="0.35">
      <c r="A3505" s="5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6"/>
      <c r="P3505" s="23" t="e">
        <f>TRIM(Tabla1[[#This Row],[Articulo]])</f>
        <v>#VALUE!</v>
      </c>
      <c r="Q3505" s="23" t="e">
        <f>_xlfn.XLOOKUP(Tabla1[[#This Row],[Ean Normalizado]],Consumos!A:A,Consumos!E:E)</f>
        <v>#VALUE!</v>
      </c>
      <c r="R3505" s="38" t="e">
        <f>_xlfn.XLOOKUP(Tabla1[[#This Row],[Ean Normalizado]],tabla_consumos[EAN],tabla_consumos[UM])</f>
        <v>#VALUE!</v>
      </c>
      <c r="S3505" s="38" t="e">
        <f>Tabla1[[#This Row],[StockDisp]]*Tabla1[[#This Row],[UM producto]]</f>
        <v>#VALUE!</v>
      </c>
    </row>
    <row r="3506" spans="1:19" x14ac:dyDescent="0.35">
      <c r="A3506" s="5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6"/>
      <c r="P3506" s="23" t="e">
        <f>TRIM(Tabla1[[#This Row],[Articulo]])</f>
        <v>#VALUE!</v>
      </c>
      <c r="Q3506" s="23" t="e">
        <f>_xlfn.XLOOKUP(Tabla1[[#This Row],[Ean Normalizado]],Consumos!A:A,Consumos!E:E)</f>
        <v>#VALUE!</v>
      </c>
      <c r="R3506" s="38" t="e">
        <f>_xlfn.XLOOKUP(Tabla1[[#This Row],[Ean Normalizado]],tabla_consumos[EAN],tabla_consumos[UM])</f>
        <v>#VALUE!</v>
      </c>
      <c r="S3506" s="38" t="e">
        <f>Tabla1[[#This Row],[StockDisp]]*Tabla1[[#This Row],[UM producto]]</f>
        <v>#VALUE!</v>
      </c>
    </row>
    <row r="3507" spans="1:19" x14ac:dyDescent="0.35">
      <c r="A3507" s="5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6"/>
      <c r="P3507" s="23" t="e">
        <f>TRIM(Tabla1[[#This Row],[Articulo]])</f>
        <v>#VALUE!</v>
      </c>
      <c r="Q3507" s="23" t="e">
        <f>_xlfn.XLOOKUP(Tabla1[[#This Row],[Ean Normalizado]],Consumos!A:A,Consumos!E:E)</f>
        <v>#VALUE!</v>
      </c>
      <c r="R3507" s="38" t="e">
        <f>_xlfn.XLOOKUP(Tabla1[[#This Row],[Ean Normalizado]],tabla_consumos[EAN],tabla_consumos[UM])</f>
        <v>#VALUE!</v>
      </c>
      <c r="S3507" s="38" t="e">
        <f>Tabla1[[#This Row],[StockDisp]]*Tabla1[[#This Row],[UM producto]]</f>
        <v>#VALUE!</v>
      </c>
    </row>
    <row r="3508" spans="1:19" x14ac:dyDescent="0.35">
      <c r="A3508" s="5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6"/>
      <c r="P3508" s="23" t="e">
        <f>TRIM(Tabla1[[#This Row],[Articulo]])</f>
        <v>#VALUE!</v>
      </c>
      <c r="Q3508" s="23" t="e">
        <f>_xlfn.XLOOKUP(Tabla1[[#This Row],[Ean Normalizado]],Consumos!A:A,Consumos!E:E)</f>
        <v>#VALUE!</v>
      </c>
      <c r="R3508" s="38" t="e">
        <f>_xlfn.XLOOKUP(Tabla1[[#This Row],[Ean Normalizado]],tabla_consumos[EAN],tabla_consumos[UM])</f>
        <v>#VALUE!</v>
      </c>
      <c r="S3508" s="38" t="e">
        <f>Tabla1[[#This Row],[StockDisp]]*Tabla1[[#This Row],[UM producto]]</f>
        <v>#VALUE!</v>
      </c>
    </row>
    <row r="3509" spans="1:19" x14ac:dyDescent="0.35">
      <c r="A3509" s="5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6"/>
      <c r="P3509" s="23" t="e">
        <f>TRIM(Tabla1[[#This Row],[Articulo]])</f>
        <v>#VALUE!</v>
      </c>
      <c r="Q3509" s="23" t="e">
        <f>_xlfn.XLOOKUP(Tabla1[[#This Row],[Ean Normalizado]],Consumos!A:A,Consumos!E:E)</f>
        <v>#VALUE!</v>
      </c>
      <c r="R3509" s="38" t="e">
        <f>_xlfn.XLOOKUP(Tabla1[[#This Row],[Ean Normalizado]],tabla_consumos[EAN],tabla_consumos[UM])</f>
        <v>#VALUE!</v>
      </c>
      <c r="S3509" s="38" t="e">
        <f>Tabla1[[#This Row],[StockDisp]]*Tabla1[[#This Row],[UM producto]]</f>
        <v>#VALUE!</v>
      </c>
    </row>
    <row r="3510" spans="1:19" x14ac:dyDescent="0.35">
      <c r="A3510" s="5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6"/>
      <c r="P3510" s="23" t="e">
        <f>TRIM(Tabla1[[#This Row],[Articulo]])</f>
        <v>#VALUE!</v>
      </c>
      <c r="Q3510" s="23" t="e">
        <f>_xlfn.XLOOKUP(Tabla1[[#This Row],[Ean Normalizado]],Consumos!A:A,Consumos!E:E)</f>
        <v>#VALUE!</v>
      </c>
      <c r="R3510" s="38" t="e">
        <f>_xlfn.XLOOKUP(Tabla1[[#This Row],[Ean Normalizado]],tabla_consumos[EAN],tabla_consumos[UM])</f>
        <v>#VALUE!</v>
      </c>
      <c r="S3510" s="38" t="e">
        <f>Tabla1[[#This Row],[StockDisp]]*Tabla1[[#This Row],[UM producto]]</f>
        <v>#VALUE!</v>
      </c>
    </row>
    <row r="3511" spans="1:19" x14ac:dyDescent="0.35">
      <c r="A3511" s="5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6"/>
      <c r="P3511" s="23" t="e">
        <f>TRIM(Tabla1[[#This Row],[Articulo]])</f>
        <v>#VALUE!</v>
      </c>
      <c r="Q3511" s="23" t="e">
        <f>_xlfn.XLOOKUP(Tabla1[[#This Row],[Ean Normalizado]],Consumos!A:A,Consumos!E:E)</f>
        <v>#VALUE!</v>
      </c>
      <c r="R3511" s="38" t="e">
        <f>_xlfn.XLOOKUP(Tabla1[[#This Row],[Ean Normalizado]],tabla_consumos[EAN],tabla_consumos[UM])</f>
        <v>#VALUE!</v>
      </c>
      <c r="S3511" s="38" t="e">
        <f>Tabla1[[#This Row],[StockDisp]]*Tabla1[[#This Row],[UM producto]]</f>
        <v>#VALUE!</v>
      </c>
    </row>
    <row r="3512" spans="1:19" x14ac:dyDescent="0.35">
      <c r="A3512" s="5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6"/>
      <c r="P3512" s="23" t="e">
        <f>TRIM(Tabla1[[#This Row],[Articulo]])</f>
        <v>#VALUE!</v>
      </c>
      <c r="Q3512" s="23" t="e">
        <f>_xlfn.XLOOKUP(Tabla1[[#This Row],[Ean Normalizado]],Consumos!A:A,Consumos!E:E)</f>
        <v>#VALUE!</v>
      </c>
      <c r="R3512" s="38" t="e">
        <f>_xlfn.XLOOKUP(Tabla1[[#This Row],[Ean Normalizado]],tabla_consumos[EAN],tabla_consumos[UM])</f>
        <v>#VALUE!</v>
      </c>
      <c r="S3512" s="38" t="e">
        <f>Tabla1[[#This Row],[StockDisp]]*Tabla1[[#This Row],[UM producto]]</f>
        <v>#VALUE!</v>
      </c>
    </row>
    <row r="3513" spans="1:19" x14ac:dyDescent="0.35">
      <c r="A3513" s="5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6"/>
      <c r="P3513" s="23" t="e">
        <f>TRIM(Tabla1[[#This Row],[Articulo]])</f>
        <v>#VALUE!</v>
      </c>
      <c r="Q3513" s="23" t="e">
        <f>_xlfn.XLOOKUP(Tabla1[[#This Row],[Ean Normalizado]],Consumos!A:A,Consumos!E:E)</f>
        <v>#VALUE!</v>
      </c>
      <c r="R3513" s="38" t="e">
        <f>_xlfn.XLOOKUP(Tabla1[[#This Row],[Ean Normalizado]],tabla_consumos[EAN],tabla_consumos[UM])</f>
        <v>#VALUE!</v>
      </c>
      <c r="S3513" s="38" t="e">
        <f>Tabla1[[#This Row],[StockDisp]]*Tabla1[[#This Row],[UM producto]]</f>
        <v>#VALUE!</v>
      </c>
    </row>
    <row r="3514" spans="1:19" x14ac:dyDescent="0.35">
      <c r="A3514" s="5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6"/>
      <c r="P3514" s="23" t="e">
        <f>TRIM(Tabla1[[#This Row],[Articulo]])</f>
        <v>#VALUE!</v>
      </c>
      <c r="Q3514" s="23" t="e">
        <f>_xlfn.XLOOKUP(Tabla1[[#This Row],[Ean Normalizado]],Consumos!A:A,Consumos!E:E)</f>
        <v>#VALUE!</v>
      </c>
      <c r="R3514" s="38" t="e">
        <f>_xlfn.XLOOKUP(Tabla1[[#This Row],[Ean Normalizado]],tabla_consumos[EAN],tabla_consumos[UM])</f>
        <v>#VALUE!</v>
      </c>
      <c r="S3514" s="38" t="e">
        <f>Tabla1[[#This Row],[StockDisp]]*Tabla1[[#This Row],[UM producto]]</f>
        <v>#VALUE!</v>
      </c>
    </row>
    <row r="3515" spans="1:19" x14ac:dyDescent="0.35">
      <c r="A3515" s="5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6"/>
      <c r="P3515" s="23" t="e">
        <f>TRIM(Tabla1[[#This Row],[Articulo]])</f>
        <v>#VALUE!</v>
      </c>
      <c r="Q3515" s="23" t="e">
        <f>_xlfn.XLOOKUP(Tabla1[[#This Row],[Ean Normalizado]],Consumos!A:A,Consumos!E:E)</f>
        <v>#VALUE!</v>
      </c>
      <c r="R3515" s="38" t="e">
        <f>_xlfn.XLOOKUP(Tabla1[[#This Row],[Ean Normalizado]],tabla_consumos[EAN],tabla_consumos[UM])</f>
        <v>#VALUE!</v>
      </c>
      <c r="S3515" s="38" t="e">
        <f>Tabla1[[#This Row],[StockDisp]]*Tabla1[[#This Row],[UM producto]]</f>
        <v>#VALUE!</v>
      </c>
    </row>
    <row r="3516" spans="1:19" x14ac:dyDescent="0.35">
      <c r="A3516" s="5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6"/>
      <c r="P3516" s="23" t="e">
        <f>TRIM(Tabla1[[#This Row],[Articulo]])</f>
        <v>#VALUE!</v>
      </c>
      <c r="Q3516" s="23" t="e">
        <f>_xlfn.XLOOKUP(Tabla1[[#This Row],[Ean Normalizado]],Consumos!A:A,Consumos!E:E)</f>
        <v>#VALUE!</v>
      </c>
      <c r="R3516" s="38" t="e">
        <f>_xlfn.XLOOKUP(Tabla1[[#This Row],[Ean Normalizado]],tabla_consumos[EAN],tabla_consumos[UM])</f>
        <v>#VALUE!</v>
      </c>
      <c r="S3516" s="38" t="e">
        <f>Tabla1[[#This Row],[StockDisp]]*Tabla1[[#This Row],[UM producto]]</f>
        <v>#VALUE!</v>
      </c>
    </row>
    <row r="3517" spans="1:19" x14ac:dyDescent="0.35">
      <c r="A3517" s="5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6"/>
      <c r="P3517" s="23" t="e">
        <f>TRIM(Tabla1[[#This Row],[Articulo]])</f>
        <v>#VALUE!</v>
      </c>
      <c r="Q3517" s="23" t="e">
        <f>_xlfn.XLOOKUP(Tabla1[[#This Row],[Ean Normalizado]],Consumos!A:A,Consumos!E:E)</f>
        <v>#VALUE!</v>
      </c>
      <c r="R3517" s="38" t="e">
        <f>_xlfn.XLOOKUP(Tabla1[[#This Row],[Ean Normalizado]],tabla_consumos[EAN],tabla_consumos[UM])</f>
        <v>#VALUE!</v>
      </c>
      <c r="S3517" s="38" t="e">
        <f>Tabla1[[#This Row],[StockDisp]]*Tabla1[[#This Row],[UM producto]]</f>
        <v>#VALUE!</v>
      </c>
    </row>
    <row r="3518" spans="1:19" x14ac:dyDescent="0.35">
      <c r="A3518" s="5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6"/>
      <c r="P3518" s="23" t="e">
        <f>TRIM(Tabla1[[#This Row],[Articulo]])</f>
        <v>#VALUE!</v>
      </c>
      <c r="Q3518" s="23" t="e">
        <f>_xlfn.XLOOKUP(Tabla1[[#This Row],[Ean Normalizado]],Consumos!A:A,Consumos!E:E)</f>
        <v>#VALUE!</v>
      </c>
      <c r="R3518" s="38" t="e">
        <f>_xlfn.XLOOKUP(Tabla1[[#This Row],[Ean Normalizado]],tabla_consumos[EAN],tabla_consumos[UM])</f>
        <v>#VALUE!</v>
      </c>
      <c r="S3518" s="38" t="e">
        <f>Tabla1[[#This Row],[StockDisp]]*Tabla1[[#This Row],[UM producto]]</f>
        <v>#VALUE!</v>
      </c>
    </row>
    <row r="3519" spans="1:19" x14ac:dyDescent="0.35">
      <c r="A3519" s="5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6"/>
      <c r="P3519" s="23" t="e">
        <f>TRIM(Tabla1[[#This Row],[Articulo]])</f>
        <v>#VALUE!</v>
      </c>
      <c r="Q3519" s="23" t="e">
        <f>_xlfn.XLOOKUP(Tabla1[[#This Row],[Ean Normalizado]],Consumos!A:A,Consumos!E:E)</f>
        <v>#VALUE!</v>
      </c>
      <c r="R3519" s="38" t="e">
        <f>_xlfn.XLOOKUP(Tabla1[[#This Row],[Ean Normalizado]],tabla_consumos[EAN],tabla_consumos[UM])</f>
        <v>#VALUE!</v>
      </c>
      <c r="S3519" s="38" t="e">
        <f>Tabla1[[#This Row],[StockDisp]]*Tabla1[[#This Row],[UM producto]]</f>
        <v>#VALUE!</v>
      </c>
    </row>
    <row r="3520" spans="1:19" x14ac:dyDescent="0.35">
      <c r="A3520" s="5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6"/>
      <c r="P3520" s="23" t="e">
        <f>TRIM(Tabla1[[#This Row],[Articulo]])</f>
        <v>#VALUE!</v>
      </c>
      <c r="Q3520" s="23" t="e">
        <f>_xlfn.XLOOKUP(Tabla1[[#This Row],[Ean Normalizado]],Consumos!A:A,Consumos!E:E)</f>
        <v>#VALUE!</v>
      </c>
      <c r="R3520" s="38" t="e">
        <f>_xlfn.XLOOKUP(Tabla1[[#This Row],[Ean Normalizado]],tabla_consumos[EAN],tabla_consumos[UM])</f>
        <v>#VALUE!</v>
      </c>
      <c r="S3520" s="38" t="e">
        <f>Tabla1[[#This Row],[StockDisp]]*Tabla1[[#This Row],[UM producto]]</f>
        <v>#VALUE!</v>
      </c>
    </row>
    <row r="3521" spans="1:19" x14ac:dyDescent="0.35">
      <c r="A3521" s="5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6"/>
      <c r="P3521" s="23" t="e">
        <f>TRIM(Tabla1[[#This Row],[Articulo]])</f>
        <v>#VALUE!</v>
      </c>
      <c r="Q3521" s="23" t="e">
        <f>_xlfn.XLOOKUP(Tabla1[[#This Row],[Ean Normalizado]],Consumos!A:A,Consumos!E:E)</f>
        <v>#VALUE!</v>
      </c>
      <c r="R3521" s="38" t="e">
        <f>_xlfn.XLOOKUP(Tabla1[[#This Row],[Ean Normalizado]],tabla_consumos[EAN],tabla_consumos[UM])</f>
        <v>#VALUE!</v>
      </c>
      <c r="S3521" s="38" t="e">
        <f>Tabla1[[#This Row],[StockDisp]]*Tabla1[[#This Row],[UM producto]]</f>
        <v>#VALUE!</v>
      </c>
    </row>
    <row r="3522" spans="1:19" x14ac:dyDescent="0.35">
      <c r="A3522" s="5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6"/>
      <c r="P3522" s="23" t="e">
        <f>TRIM(Tabla1[[#This Row],[Articulo]])</f>
        <v>#VALUE!</v>
      </c>
      <c r="Q3522" s="23" t="e">
        <f>_xlfn.XLOOKUP(Tabla1[[#This Row],[Ean Normalizado]],Consumos!A:A,Consumos!E:E)</f>
        <v>#VALUE!</v>
      </c>
      <c r="R3522" s="38" t="e">
        <f>_xlfn.XLOOKUP(Tabla1[[#This Row],[Ean Normalizado]],tabla_consumos[EAN],tabla_consumos[UM])</f>
        <v>#VALUE!</v>
      </c>
      <c r="S3522" s="38" t="e">
        <f>Tabla1[[#This Row],[StockDisp]]*Tabla1[[#This Row],[UM producto]]</f>
        <v>#VALUE!</v>
      </c>
    </row>
    <row r="3523" spans="1:19" x14ac:dyDescent="0.35">
      <c r="A3523" s="5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6"/>
      <c r="P3523" s="23" t="e">
        <f>TRIM(Tabla1[[#This Row],[Articulo]])</f>
        <v>#VALUE!</v>
      </c>
      <c r="Q3523" s="23" t="e">
        <f>_xlfn.XLOOKUP(Tabla1[[#This Row],[Ean Normalizado]],Consumos!A:A,Consumos!E:E)</f>
        <v>#VALUE!</v>
      </c>
      <c r="R3523" s="38" t="e">
        <f>_xlfn.XLOOKUP(Tabla1[[#This Row],[Ean Normalizado]],tabla_consumos[EAN],tabla_consumos[UM])</f>
        <v>#VALUE!</v>
      </c>
      <c r="S3523" s="38" t="e">
        <f>Tabla1[[#This Row],[StockDisp]]*Tabla1[[#This Row],[UM producto]]</f>
        <v>#VALUE!</v>
      </c>
    </row>
    <row r="3524" spans="1:19" x14ac:dyDescent="0.35">
      <c r="A3524" s="5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6"/>
      <c r="P3524" s="23" t="e">
        <f>TRIM(Tabla1[[#This Row],[Articulo]])</f>
        <v>#VALUE!</v>
      </c>
      <c r="Q3524" s="23" t="e">
        <f>_xlfn.XLOOKUP(Tabla1[[#This Row],[Ean Normalizado]],Consumos!A:A,Consumos!E:E)</f>
        <v>#VALUE!</v>
      </c>
      <c r="R3524" s="38" t="e">
        <f>_xlfn.XLOOKUP(Tabla1[[#This Row],[Ean Normalizado]],tabla_consumos[EAN],tabla_consumos[UM])</f>
        <v>#VALUE!</v>
      </c>
      <c r="S3524" s="38" t="e">
        <f>Tabla1[[#This Row],[StockDisp]]*Tabla1[[#This Row],[UM producto]]</f>
        <v>#VALUE!</v>
      </c>
    </row>
    <row r="3525" spans="1:19" x14ac:dyDescent="0.35">
      <c r="A3525" s="5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6"/>
      <c r="P3525" s="23" t="e">
        <f>TRIM(Tabla1[[#This Row],[Articulo]])</f>
        <v>#VALUE!</v>
      </c>
      <c r="Q3525" s="23" t="e">
        <f>_xlfn.XLOOKUP(Tabla1[[#This Row],[Ean Normalizado]],Consumos!A:A,Consumos!E:E)</f>
        <v>#VALUE!</v>
      </c>
      <c r="R3525" s="38" t="e">
        <f>_xlfn.XLOOKUP(Tabla1[[#This Row],[Ean Normalizado]],tabla_consumos[EAN],tabla_consumos[UM])</f>
        <v>#VALUE!</v>
      </c>
      <c r="S3525" s="38" t="e">
        <f>Tabla1[[#This Row],[StockDisp]]*Tabla1[[#This Row],[UM producto]]</f>
        <v>#VALUE!</v>
      </c>
    </row>
    <row r="3526" spans="1:19" x14ac:dyDescent="0.35">
      <c r="A3526" s="5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6"/>
      <c r="P3526" s="23" t="e">
        <f>TRIM(Tabla1[[#This Row],[Articulo]])</f>
        <v>#VALUE!</v>
      </c>
      <c r="Q3526" s="23" t="e">
        <f>_xlfn.XLOOKUP(Tabla1[[#This Row],[Ean Normalizado]],Consumos!A:A,Consumos!E:E)</f>
        <v>#VALUE!</v>
      </c>
      <c r="R3526" s="38" t="e">
        <f>_xlfn.XLOOKUP(Tabla1[[#This Row],[Ean Normalizado]],tabla_consumos[EAN],tabla_consumos[UM])</f>
        <v>#VALUE!</v>
      </c>
      <c r="S3526" s="38" t="e">
        <f>Tabla1[[#This Row],[StockDisp]]*Tabla1[[#This Row],[UM producto]]</f>
        <v>#VALUE!</v>
      </c>
    </row>
    <row r="3527" spans="1:19" x14ac:dyDescent="0.35">
      <c r="A3527" s="5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6"/>
      <c r="P3527" s="23" t="e">
        <f>TRIM(Tabla1[[#This Row],[Articulo]])</f>
        <v>#VALUE!</v>
      </c>
      <c r="Q3527" s="23" t="e">
        <f>_xlfn.XLOOKUP(Tabla1[[#This Row],[Ean Normalizado]],Consumos!A:A,Consumos!E:E)</f>
        <v>#VALUE!</v>
      </c>
      <c r="R3527" s="38" t="e">
        <f>_xlfn.XLOOKUP(Tabla1[[#This Row],[Ean Normalizado]],tabla_consumos[EAN],tabla_consumos[UM])</f>
        <v>#VALUE!</v>
      </c>
      <c r="S3527" s="38" t="e">
        <f>Tabla1[[#This Row],[StockDisp]]*Tabla1[[#This Row],[UM producto]]</f>
        <v>#VALUE!</v>
      </c>
    </row>
    <row r="3528" spans="1:19" x14ac:dyDescent="0.35">
      <c r="A3528" s="5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6"/>
      <c r="P3528" s="23" t="e">
        <f>TRIM(Tabla1[[#This Row],[Articulo]])</f>
        <v>#VALUE!</v>
      </c>
      <c r="Q3528" s="23" t="e">
        <f>_xlfn.XLOOKUP(Tabla1[[#This Row],[Ean Normalizado]],Consumos!A:A,Consumos!E:E)</f>
        <v>#VALUE!</v>
      </c>
      <c r="R3528" s="38" t="e">
        <f>_xlfn.XLOOKUP(Tabla1[[#This Row],[Ean Normalizado]],tabla_consumos[EAN],tabla_consumos[UM])</f>
        <v>#VALUE!</v>
      </c>
      <c r="S3528" s="38" t="e">
        <f>Tabla1[[#This Row],[StockDisp]]*Tabla1[[#This Row],[UM producto]]</f>
        <v>#VALUE!</v>
      </c>
    </row>
    <row r="3529" spans="1:19" x14ac:dyDescent="0.35">
      <c r="A3529" s="5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6"/>
      <c r="P3529" s="23" t="e">
        <f>TRIM(Tabla1[[#This Row],[Articulo]])</f>
        <v>#VALUE!</v>
      </c>
      <c r="Q3529" s="23" t="e">
        <f>_xlfn.XLOOKUP(Tabla1[[#This Row],[Ean Normalizado]],Consumos!A:A,Consumos!E:E)</f>
        <v>#VALUE!</v>
      </c>
      <c r="R3529" s="38" t="e">
        <f>_xlfn.XLOOKUP(Tabla1[[#This Row],[Ean Normalizado]],tabla_consumos[EAN],tabla_consumos[UM])</f>
        <v>#VALUE!</v>
      </c>
      <c r="S3529" s="38" t="e">
        <f>Tabla1[[#This Row],[StockDisp]]*Tabla1[[#This Row],[UM producto]]</f>
        <v>#VALUE!</v>
      </c>
    </row>
    <row r="3530" spans="1:19" x14ac:dyDescent="0.35">
      <c r="A3530" s="5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6"/>
      <c r="P3530" s="23" t="e">
        <f>TRIM(Tabla1[[#This Row],[Articulo]])</f>
        <v>#VALUE!</v>
      </c>
      <c r="Q3530" s="23" t="e">
        <f>_xlfn.XLOOKUP(Tabla1[[#This Row],[Ean Normalizado]],Consumos!A:A,Consumos!E:E)</f>
        <v>#VALUE!</v>
      </c>
      <c r="R3530" s="38" t="e">
        <f>_xlfn.XLOOKUP(Tabla1[[#This Row],[Ean Normalizado]],tabla_consumos[EAN],tabla_consumos[UM])</f>
        <v>#VALUE!</v>
      </c>
      <c r="S3530" s="38" t="e">
        <f>Tabla1[[#This Row],[StockDisp]]*Tabla1[[#This Row],[UM producto]]</f>
        <v>#VALUE!</v>
      </c>
    </row>
    <row r="3531" spans="1:19" x14ac:dyDescent="0.35">
      <c r="A3531" s="5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6"/>
      <c r="P3531" s="23" t="e">
        <f>TRIM(Tabla1[[#This Row],[Articulo]])</f>
        <v>#VALUE!</v>
      </c>
      <c r="Q3531" s="23" t="e">
        <f>_xlfn.XLOOKUP(Tabla1[[#This Row],[Ean Normalizado]],Consumos!A:A,Consumos!E:E)</f>
        <v>#VALUE!</v>
      </c>
      <c r="R3531" s="38" t="e">
        <f>_xlfn.XLOOKUP(Tabla1[[#This Row],[Ean Normalizado]],tabla_consumos[EAN],tabla_consumos[UM])</f>
        <v>#VALUE!</v>
      </c>
      <c r="S3531" s="38" t="e">
        <f>Tabla1[[#This Row],[StockDisp]]*Tabla1[[#This Row],[UM producto]]</f>
        <v>#VALUE!</v>
      </c>
    </row>
    <row r="3532" spans="1:19" x14ac:dyDescent="0.35">
      <c r="A3532" s="5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6"/>
      <c r="P3532" s="23" t="e">
        <f>TRIM(Tabla1[[#This Row],[Articulo]])</f>
        <v>#VALUE!</v>
      </c>
      <c r="Q3532" s="23" t="e">
        <f>_xlfn.XLOOKUP(Tabla1[[#This Row],[Ean Normalizado]],Consumos!A:A,Consumos!E:E)</f>
        <v>#VALUE!</v>
      </c>
      <c r="R3532" s="38" t="e">
        <f>_xlfn.XLOOKUP(Tabla1[[#This Row],[Ean Normalizado]],tabla_consumos[EAN],tabla_consumos[UM])</f>
        <v>#VALUE!</v>
      </c>
      <c r="S3532" s="38" t="e">
        <f>Tabla1[[#This Row],[StockDisp]]*Tabla1[[#This Row],[UM producto]]</f>
        <v>#VALUE!</v>
      </c>
    </row>
    <row r="3533" spans="1:19" x14ac:dyDescent="0.35">
      <c r="A3533" s="5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6"/>
      <c r="P3533" s="23" t="e">
        <f>TRIM(Tabla1[[#This Row],[Articulo]])</f>
        <v>#VALUE!</v>
      </c>
      <c r="Q3533" s="23" t="e">
        <f>_xlfn.XLOOKUP(Tabla1[[#This Row],[Ean Normalizado]],Consumos!A:A,Consumos!E:E)</f>
        <v>#VALUE!</v>
      </c>
      <c r="R3533" s="38" t="e">
        <f>_xlfn.XLOOKUP(Tabla1[[#This Row],[Ean Normalizado]],tabla_consumos[EAN],tabla_consumos[UM])</f>
        <v>#VALUE!</v>
      </c>
      <c r="S3533" s="38" t="e">
        <f>Tabla1[[#This Row],[StockDisp]]*Tabla1[[#This Row],[UM producto]]</f>
        <v>#VALUE!</v>
      </c>
    </row>
    <row r="3534" spans="1:19" x14ac:dyDescent="0.35">
      <c r="A3534" s="5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6"/>
      <c r="P3534" s="23" t="e">
        <f>TRIM(Tabla1[[#This Row],[Articulo]])</f>
        <v>#VALUE!</v>
      </c>
      <c r="Q3534" s="23" t="e">
        <f>_xlfn.XLOOKUP(Tabla1[[#This Row],[Ean Normalizado]],Consumos!A:A,Consumos!E:E)</f>
        <v>#VALUE!</v>
      </c>
      <c r="R3534" s="38" t="e">
        <f>_xlfn.XLOOKUP(Tabla1[[#This Row],[Ean Normalizado]],tabla_consumos[EAN],tabla_consumos[UM])</f>
        <v>#VALUE!</v>
      </c>
      <c r="S3534" s="38" t="e">
        <f>Tabla1[[#This Row],[StockDisp]]*Tabla1[[#This Row],[UM producto]]</f>
        <v>#VALUE!</v>
      </c>
    </row>
    <row r="3535" spans="1:19" x14ac:dyDescent="0.35">
      <c r="A3535" s="5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6"/>
      <c r="P3535" s="23" t="e">
        <f>TRIM(Tabla1[[#This Row],[Articulo]])</f>
        <v>#VALUE!</v>
      </c>
      <c r="Q3535" s="23" t="e">
        <f>_xlfn.XLOOKUP(Tabla1[[#This Row],[Ean Normalizado]],Consumos!A:A,Consumos!E:E)</f>
        <v>#VALUE!</v>
      </c>
      <c r="R3535" s="38" t="e">
        <f>_xlfn.XLOOKUP(Tabla1[[#This Row],[Ean Normalizado]],tabla_consumos[EAN],tabla_consumos[UM])</f>
        <v>#VALUE!</v>
      </c>
      <c r="S3535" s="38" t="e">
        <f>Tabla1[[#This Row],[StockDisp]]*Tabla1[[#This Row],[UM producto]]</f>
        <v>#VALUE!</v>
      </c>
    </row>
    <row r="3536" spans="1:19" x14ac:dyDescent="0.35">
      <c r="A3536" s="5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6"/>
      <c r="P3536" s="23" t="e">
        <f>TRIM(Tabla1[[#This Row],[Articulo]])</f>
        <v>#VALUE!</v>
      </c>
      <c r="Q3536" s="23" t="e">
        <f>_xlfn.XLOOKUP(Tabla1[[#This Row],[Ean Normalizado]],Consumos!A:A,Consumos!E:E)</f>
        <v>#VALUE!</v>
      </c>
      <c r="R3536" s="38" t="e">
        <f>_xlfn.XLOOKUP(Tabla1[[#This Row],[Ean Normalizado]],tabla_consumos[EAN],tabla_consumos[UM])</f>
        <v>#VALUE!</v>
      </c>
      <c r="S3536" s="38" t="e">
        <f>Tabla1[[#This Row],[StockDisp]]*Tabla1[[#This Row],[UM producto]]</f>
        <v>#VALUE!</v>
      </c>
    </row>
    <row r="3537" spans="1:19" x14ac:dyDescent="0.35">
      <c r="A3537" s="5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6"/>
      <c r="P3537" s="23" t="e">
        <f>TRIM(Tabla1[[#This Row],[Articulo]])</f>
        <v>#VALUE!</v>
      </c>
      <c r="Q3537" s="23" t="e">
        <f>_xlfn.XLOOKUP(Tabla1[[#This Row],[Ean Normalizado]],Consumos!A:A,Consumos!E:E)</f>
        <v>#VALUE!</v>
      </c>
      <c r="R3537" s="38" t="e">
        <f>_xlfn.XLOOKUP(Tabla1[[#This Row],[Ean Normalizado]],tabla_consumos[EAN],tabla_consumos[UM])</f>
        <v>#VALUE!</v>
      </c>
      <c r="S3537" s="38" t="e">
        <f>Tabla1[[#This Row],[StockDisp]]*Tabla1[[#This Row],[UM producto]]</f>
        <v>#VALUE!</v>
      </c>
    </row>
    <row r="3538" spans="1:19" x14ac:dyDescent="0.35">
      <c r="A3538" s="5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6"/>
      <c r="P3538" s="23" t="e">
        <f>TRIM(Tabla1[[#This Row],[Articulo]])</f>
        <v>#VALUE!</v>
      </c>
      <c r="Q3538" s="23" t="e">
        <f>_xlfn.XLOOKUP(Tabla1[[#This Row],[Ean Normalizado]],Consumos!A:A,Consumos!E:E)</f>
        <v>#VALUE!</v>
      </c>
      <c r="R3538" s="38" t="e">
        <f>_xlfn.XLOOKUP(Tabla1[[#This Row],[Ean Normalizado]],tabla_consumos[EAN],tabla_consumos[UM])</f>
        <v>#VALUE!</v>
      </c>
      <c r="S3538" s="38" t="e">
        <f>Tabla1[[#This Row],[StockDisp]]*Tabla1[[#This Row],[UM producto]]</f>
        <v>#VALUE!</v>
      </c>
    </row>
    <row r="3539" spans="1:19" x14ac:dyDescent="0.35">
      <c r="A3539" s="5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6"/>
      <c r="P3539" s="23" t="e">
        <f>TRIM(Tabla1[[#This Row],[Articulo]])</f>
        <v>#VALUE!</v>
      </c>
      <c r="Q3539" s="23" t="e">
        <f>_xlfn.XLOOKUP(Tabla1[[#This Row],[Ean Normalizado]],Consumos!A:A,Consumos!E:E)</f>
        <v>#VALUE!</v>
      </c>
      <c r="R3539" s="38" t="e">
        <f>_xlfn.XLOOKUP(Tabla1[[#This Row],[Ean Normalizado]],tabla_consumos[EAN],tabla_consumos[UM])</f>
        <v>#VALUE!</v>
      </c>
      <c r="S3539" s="38" t="e">
        <f>Tabla1[[#This Row],[StockDisp]]*Tabla1[[#This Row],[UM producto]]</f>
        <v>#VALUE!</v>
      </c>
    </row>
    <row r="3540" spans="1:19" x14ac:dyDescent="0.35">
      <c r="A3540" s="5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6"/>
      <c r="P3540" s="23" t="e">
        <f>TRIM(Tabla1[[#This Row],[Articulo]])</f>
        <v>#VALUE!</v>
      </c>
      <c r="Q3540" s="23" t="e">
        <f>_xlfn.XLOOKUP(Tabla1[[#This Row],[Ean Normalizado]],Consumos!A:A,Consumos!E:E)</f>
        <v>#VALUE!</v>
      </c>
      <c r="R3540" s="38" t="e">
        <f>_xlfn.XLOOKUP(Tabla1[[#This Row],[Ean Normalizado]],tabla_consumos[EAN],tabla_consumos[UM])</f>
        <v>#VALUE!</v>
      </c>
      <c r="S3540" s="38" t="e">
        <f>Tabla1[[#This Row],[StockDisp]]*Tabla1[[#This Row],[UM producto]]</f>
        <v>#VALUE!</v>
      </c>
    </row>
    <row r="3541" spans="1:19" x14ac:dyDescent="0.35">
      <c r="A3541" s="5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6"/>
      <c r="P3541" s="23" t="e">
        <f>TRIM(Tabla1[[#This Row],[Articulo]])</f>
        <v>#VALUE!</v>
      </c>
      <c r="Q3541" s="23" t="e">
        <f>_xlfn.XLOOKUP(Tabla1[[#This Row],[Ean Normalizado]],Consumos!A:A,Consumos!E:E)</f>
        <v>#VALUE!</v>
      </c>
      <c r="R3541" s="38" t="e">
        <f>_xlfn.XLOOKUP(Tabla1[[#This Row],[Ean Normalizado]],tabla_consumos[EAN],tabla_consumos[UM])</f>
        <v>#VALUE!</v>
      </c>
      <c r="S3541" s="38" t="e">
        <f>Tabla1[[#This Row],[StockDisp]]*Tabla1[[#This Row],[UM producto]]</f>
        <v>#VALUE!</v>
      </c>
    </row>
    <row r="3542" spans="1:19" x14ac:dyDescent="0.35">
      <c r="A3542" s="5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6"/>
      <c r="P3542" s="23" t="e">
        <f>TRIM(Tabla1[[#This Row],[Articulo]])</f>
        <v>#VALUE!</v>
      </c>
      <c r="Q3542" s="23" t="e">
        <f>_xlfn.XLOOKUP(Tabla1[[#This Row],[Ean Normalizado]],Consumos!A:A,Consumos!E:E)</f>
        <v>#VALUE!</v>
      </c>
      <c r="R3542" s="38" t="e">
        <f>_xlfn.XLOOKUP(Tabla1[[#This Row],[Ean Normalizado]],tabla_consumos[EAN],tabla_consumos[UM])</f>
        <v>#VALUE!</v>
      </c>
      <c r="S3542" s="38" t="e">
        <f>Tabla1[[#This Row],[StockDisp]]*Tabla1[[#This Row],[UM producto]]</f>
        <v>#VALUE!</v>
      </c>
    </row>
    <row r="3543" spans="1:19" x14ac:dyDescent="0.35">
      <c r="A3543" s="5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6"/>
      <c r="P3543" s="23" t="e">
        <f>TRIM(Tabla1[[#This Row],[Articulo]])</f>
        <v>#VALUE!</v>
      </c>
      <c r="Q3543" s="23" t="e">
        <f>_xlfn.XLOOKUP(Tabla1[[#This Row],[Ean Normalizado]],Consumos!A:A,Consumos!E:E)</f>
        <v>#VALUE!</v>
      </c>
      <c r="R3543" s="38" t="e">
        <f>_xlfn.XLOOKUP(Tabla1[[#This Row],[Ean Normalizado]],tabla_consumos[EAN],tabla_consumos[UM])</f>
        <v>#VALUE!</v>
      </c>
      <c r="S3543" s="38" t="e">
        <f>Tabla1[[#This Row],[StockDisp]]*Tabla1[[#This Row],[UM producto]]</f>
        <v>#VALUE!</v>
      </c>
    </row>
    <row r="3544" spans="1:19" x14ac:dyDescent="0.35">
      <c r="A3544" s="5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6"/>
      <c r="P3544" s="23" t="e">
        <f>TRIM(Tabla1[[#This Row],[Articulo]])</f>
        <v>#VALUE!</v>
      </c>
      <c r="Q3544" s="23" t="e">
        <f>_xlfn.XLOOKUP(Tabla1[[#This Row],[Ean Normalizado]],Consumos!A:A,Consumos!E:E)</f>
        <v>#VALUE!</v>
      </c>
      <c r="R3544" s="38" t="e">
        <f>_xlfn.XLOOKUP(Tabla1[[#This Row],[Ean Normalizado]],tabla_consumos[EAN],tabla_consumos[UM])</f>
        <v>#VALUE!</v>
      </c>
      <c r="S3544" s="38" t="e">
        <f>Tabla1[[#This Row],[StockDisp]]*Tabla1[[#This Row],[UM producto]]</f>
        <v>#VALUE!</v>
      </c>
    </row>
    <row r="3545" spans="1:19" x14ac:dyDescent="0.35">
      <c r="A3545" s="5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6"/>
      <c r="P3545" s="23" t="e">
        <f>TRIM(Tabla1[[#This Row],[Articulo]])</f>
        <v>#VALUE!</v>
      </c>
      <c r="Q3545" s="23" t="e">
        <f>_xlfn.XLOOKUP(Tabla1[[#This Row],[Ean Normalizado]],Consumos!A:A,Consumos!E:E)</f>
        <v>#VALUE!</v>
      </c>
      <c r="R3545" s="38" t="e">
        <f>_xlfn.XLOOKUP(Tabla1[[#This Row],[Ean Normalizado]],tabla_consumos[EAN],tabla_consumos[UM])</f>
        <v>#VALUE!</v>
      </c>
      <c r="S3545" s="38" t="e">
        <f>Tabla1[[#This Row],[StockDisp]]*Tabla1[[#This Row],[UM producto]]</f>
        <v>#VALUE!</v>
      </c>
    </row>
    <row r="3546" spans="1:19" x14ac:dyDescent="0.35">
      <c r="A3546" s="5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6"/>
      <c r="P3546" s="23" t="e">
        <f>TRIM(Tabla1[[#This Row],[Articulo]])</f>
        <v>#VALUE!</v>
      </c>
      <c r="Q3546" s="23" t="e">
        <f>_xlfn.XLOOKUP(Tabla1[[#This Row],[Ean Normalizado]],Consumos!A:A,Consumos!E:E)</f>
        <v>#VALUE!</v>
      </c>
      <c r="R3546" s="38" t="e">
        <f>_xlfn.XLOOKUP(Tabla1[[#This Row],[Ean Normalizado]],tabla_consumos[EAN],tabla_consumos[UM])</f>
        <v>#VALUE!</v>
      </c>
      <c r="S3546" s="38" t="e">
        <f>Tabla1[[#This Row],[StockDisp]]*Tabla1[[#This Row],[UM producto]]</f>
        <v>#VALUE!</v>
      </c>
    </row>
    <row r="3547" spans="1:19" x14ac:dyDescent="0.35">
      <c r="A3547" s="5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6"/>
      <c r="P3547" s="23" t="e">
        <f>TRIM(Tabla1[[#This Row],[Articulo]])</f>
        <v>#VALUE!</v>
      </c>
      <c r="Q3547" s="23" t="e">
        <f>_xlfn.XLOOKUP(Tabla1[[#This Row],[Ean Normalizado]],Consumos!A:A,Consumos!E:E)</f>
        <v>#VALUE!</v>
      </c>
      <c r="R3547" s="38" t="e">
        <f>_xlfn.XLOOKUP(Tabla1[[#This Row],[Ean Normalizado]],tabla_consumos[EAN],tabla_consumos[UM])</f>
        <v>#VALUE!</v>
      </c>
      <c r="S3547" s="38" t="e">
        <f>Tabla1[[#This Row],[StockDisp]]*Tabla1[[#This Row],[UM producto]]</f>
        <v>#VALUE!</v>
      </c>
    </row>
    <row r="3548" spans="1:19" x14ac:dyDescent="0.35">
      <c r="A3548" s="5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6"/>
      <c r="P3548" s="23" t="e">
        <f>TRIM(Tabla1[[#This Row],[Articulo]])</f>
        <v>#VALUE!</v>
      </c>
      <c r="Q3548" s="23" t="e">
        <f>_xlfn.XLOOKUP(Tabla1[[#This Row],[Ean Normalizado]],Consumos!A:A,Consumos!E:E)</f>
        <v>#VALUE!</v>
      </c>
      <c r="R3548" s="38" t="e">
        <f>_xlfn.XLOOKUP(Tabla1[[#This Row],[Ean Normalizado]],tabla_consumos[EAN],tabla_consumos[UM])</f>
        <v>#VALUE!</v>
      </c>
      <c r="S3548" s="38" t="e">
        <f>Tabla1[[#This Row],[StockDisp]]*Tabla1[[#This Row],[UM producto]]</f>
        <v>#VALUE!</v>
      </c>
    </row>
    <row r="3549" spans="1:19" x14ac:dyDescent="0.35">
      <c r="A3549" s="5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6"/>
      <c r="P3549" s="23" t="e">
        <f>TRIM(Tabla1[[#This Row],[Articulo]])</f>
        <v>#VALUE!</v>
      </c>
      <c r="Q3549" s="23" t="e">
        <f>_xlfn.XLOOKUP(Tabla1[[#This Row],[Ean Normalizado]],Consumos!A:A,Consumos!E:E)</f>
        <v>#VALUE!</v>
      </c>
      <c r="R3549" s="38" t="e">
        <f>_xlfn.XLOOKUP(Tabla1[[#This Row],[Ean Normalizado]],tabla_consumos[EAN],tabla_consumos[UM])</f>
        <v>#VALUE!</v>
      </c>
      <c r="S3549" s="38" t="e">
        <f>Tabla1[[#This Row],[StockDisp]]*Tabla1[[#This Row],[UM producto]]</f>
        <v>#VALUE!</v>
      </c>
    </row>
    <row r="3550" spans="1:19" x14ac:dyDescent="0.35">
      <c r="A3550" s="5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6"/>
      <c r="P3550" s="23" t="e">
        <f>TRIM(Tabla1[[#This Row],[Articulo]])</f>
        <v>#VALUE!</v>
      </c>
      <c r="Q3550" s="23" t="e">
        <f>_xlfn.XLOOKUP(Tabla1[[#This Row],[Ean Normalizado]],Consumos!A:A,Consumos!E:E)</f>
        <v>#VALUE!</v>
      </c>
      <c r="R3550" s="38" t="e">
        <f>_xlfn.XLOOKUP(Tabla1[[#This Row],[Ean Normalizado]],tabla_consumos[EAN],tabla_consumos[UM])</f>
        <v>#VALUE!</v>
      </c>
      <c r="S3550" s="38" t="e">
        <f>Tabla1[[#This Row],[StockDisp]]*Tabla1[[#This Row],[UM producto]]</f>
        <v>#VALUE!</v>
      </c>
    </row>
    <row r="3551" spans="1:19" x14ac:dyDescent="0.35">
      <c r="A3551" s="5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6"/>
      <c r="P3551" s="23" t="e">
        <f>TRIM(Tabla1[[#This Row],[Articulo]])</f>
        <v>#VALUE!</v>
      </c>
      <c r="Q3551" s="23" t="e">
        <f>_xlfn.XLOOKUP(Tabla1[[#This Row],[Ean Normalizado]],Consumos!A:A,Consumos!E:E)</f>
        <v>#VALUE!</v>
      </c>
      <c r="R3551" s="38" t="e">
        <f>_xlfn.XLOOKUP(Tabla1[[#This Row],[Ean Normalizado]],tabla_consumos[EAN],tabla_consumos[UM])</f>
        <v>#VALUE!</v>
      </c>
      <c r="S3551" s="38" t="e">
        <f>Tabla1[[#This Row],[StockDisp]]*Tabla1[[#This Row],[UM producto]]</f>
        <v>#VALUE!</v>
      </c>
    </row>
    <row r="3552" spans="1:19" x14ac:dyDescent="0.35">
      <c r="A3552" s="5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6"/>
      <c r="P3552" s="23" t="e">
        <f>TRIM(Tabla1[[#This Row],[Articulo]])</f>
        <v>#VALUE!</v>
      </c>
      <c r="Q3552" s="23" t="e">
        <f>_xlfn.XLOOKUP(Tabla1[[#This Row],[Ean Normalizado]],Consumos!A:A,Consumos!E:E)</f>
        <v>#VALUE!</v>
      </c>
      <c r="R3552" s="38" t="e">
        <f>_xlfn.XLOOKUP(Tabla1[[#This Row],[Ean Normalizado]],tabla_consumos[EAN],tabla_consumos[UM])</f>
        <v>#VALUE!</v>
      </c>
      <c r="S3552" s="38" t="e">
        <f>Tabla1[[#This Row],[StockDisp]]*Tabla1[[#This Row],[UM producto]]</f>
        <v>#VALUE!</v>
      </c>
    </row>
    <row r="3553" spans="1:19" x14ac:dyDescent="0.35">
      <c r="A3553" s="5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6"/>
      <c r="P3553" s="23" t="e">
        <f>TRIM(Tabla1[[#This Row],[Articulo]])</f>
        <v>#VALUE!</v>
      </c>
      <c r="Q3553" s="23" t="e">
        <f>_xlfn.XLOOKUP(Tabla1[[#This Row],[Ean Normalizado]],Consumos!A:A,Consumos!E:E)</f>
        <v>#VALUE!</v>
      </c>
      <c r="R3553" s="38" t="e">
        <f>_xlfn.XLOOKUP(Tabla1[[#This Row],[Ean Normalizado]],tabla_consumos[EAN],tabla_consumos[UM])</f>
        <v>#VALUE!</v>
      </c>
      <c r="S3553" s="38" t="e">
        <f>Tabla1[[#This Row],[StockDisp]]*Tabla1[[#This Row],[UM producto]]</f>
        <v>#VALUE!</v>
      </c>
    </row>
    <row r="3554" spans="1:19" x14ac:dyDescent="0.35">
      <c r="A3554" s="5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6"/>
      <c r="P3554" s="23" t="e">
        <f>TRIM(Tabla1[[#This Row],[Articulo]])</f>
        <v>#VALUE!</v>
      </c>
      <c r="Q3554" s="23" t="e">
        <f>_xlfn.XLOOKUP(Tabla1[[#This Row],[Ean Normalizado]],Consumos!A:A,Consumos!E:E)</f>
        <v>#VALUE!</v>
      </c>
      <c r="R3554" s="38" t="e">
        <f>_xlfn.XLOOKUP(Tabla1[[#This Row],[Ean Normalizado]],tabla_consumos[EAN],tabla_consumos[UM])</f>
        <v>#VALUE!</v>
      </c>
      <c r="S3554" s="38" t="e">
        <f>Tabla1[[#This Row],[StockDisp]]*Tabla1[[#This Row],[UM producto]]</f>
        <v>#VALUE!</v>
      </c>
    </row>
    <row r="3555" spans="1:19" x14ac:dyDescent="0.35">
      <c r="A3555" s="5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6"/>
      <c r="P3555" s="23" t="e">
        <f>TRIM(Tabla1[[#This Row],[Articulo]])</f>
        <v>#VALUE!</v>
      </c>
      <c r="Q3555" s="23" t="e">
        <f>_xlfn.XLOOKUP(Tabla1[[#This Row],[Ean Normalizado]],Consumos!A:A,Consumos!E:E)</f>
        <v>#VALUE!</v>
      </c>
      <c r="R3555" s="38" t="e">
        <f>_xlfn.XLOOKUP(Tabla1[[#This Row],[Ean Normalizado]],tabla_consumos[EAN],tabla_consumos[UM])</f>
        <v>#VALUE!</v>
      </c>
      <c r="S3555" s="38" t="e">
        <f>Tabla1[[#This Row],[StockDisp]]*Tabla1[[#This Row],[UM producto]]</f>
        <v>#VALUE!</v>
      </c>
    </row>
    <row r="3556" spans="1:19" x14ac:dyDescent="0.35">
      <c r="A3556" s="5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6"/>
      <c r="P3556" s="23" t="e">
        <f>TRIM(Tabla1[[#This Row],[Articulo]])</f>
        <v>#VALUE!</v>
      </c>
      <c r="Q3556" s="23" t="e">
        <f>_xlfn.XLOOKUP(Tabla1[[#This Row],[Ean Normalizado]],Consumos!A:A,Consumos!E:E)</f>
        <v>#VALUE!</v>
      </c>
      <c r="R3556" s="38" t="e">
        <f>_xlfn.XLOOKUP(Tabla1[[#This Row],[Ean Normalizado]],tabla_consumos[EAN],tabla_consumos[UM])</f>
        <v>#VALUE!</v>
      </c>
      <c r="S3556" s="38" t="e">
        <f>Tabla1[[#This Row],[StockDisp]]*Tabla1[[#This Row],[UM producto]]</f>
        <v>#VALUE!</v>
      </c>
    </row>
    <row r="3557" spans="1:19" x14ac:dyDescent="0.35">
      <c r="A3557" s="5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6"/>
      <c r="P3557" s="23" t="e">
        <f>TRIM(Tabla1[[#This Row],[Articulo]])</f>
        <v>#VALUE!</v>
      </c>
      <c r="Q3557" s="23" t="e">
        <f>_xlfn.XLOOKUP(Tabla1[[#This Row],[Ean Normalizado]],Consumos!A:A,Consumos!E:E)</f>
        <v>#VALUE!</v>
      </c>
      <c r="R3557" s="38" t="e">
        <f>_xlfn.XLOOKUP(Tabla1[[#This Row],[Ean Normalizado]],tabla_consumos[EAN],tabla_consumos[UM])</f>
        <v>#VALUE!</v>
      </c>
      <c r="S3557" s="38" t="e">
        <f>Tabla1[[#This Row],[StockDisp]]*Tabla1[[#This Row],[UM producto]]</f>
        <v>#VALUE!</v>
      </c>
    </row>
    <row r="3558" spans="1:19" x14ac:dyDescent="0.35">
      <c r="A3558" s="5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6"/>
      <c r="P3558" s="23" t="e">
        <f>TRIM(Tabla1[[#This Row],[Articulo]])</f>
        <v>#VALUE!</v>
      </c>
      <c r="Q3558" s="23" t="e">
        <f>_xlfn.XLOOKUP(Tabla1[[#This Row],[Ean Normalizado]],Consumos!A:A,Consumos!E:E)</f>
        <v>#VALUE!</v>
      </c>
      <c r="R3558" s="38" t="e">
        <f>_xlfn.XLOOKUP(Tabla1[[#This Row],[Ean Normalizado]],tabla_consumos[EAN],tabla_consumos[UM])</f>
        <v>#VALUE!</v>
      </c>
      <c r="S3558" s="38" t="e">
        <f>Tabla1[[#This Row],[StockDisp]]*Tabla1[[#This Row],[UM producto]]</f>
        <v>#VALUE!</v>
      </c>
    </row>
    <row r="3559" spans="1:19" x14ac:dyDescent="0.35">
      <c r="A3559" s="5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6"/>
      <c r="P3559" s="23" t="e">
        <f>TRIM(Tabla1[[#This Row],[Articulo]])</f>
        <v>#VALUE!</v>
      </c>
      <c r="Q3559" s="23" t="e">
        <f>_xlfn.XLOOKUP(Tabla1[[#This Row],[Ean Normalizado]],Consumos!A:A,Consumos!E:E)</f>
        <v>#VALUE!</v>
      </c>
      <c r="R3559" s="38" t="e">
        <f>_xlfn.XLOOKUP(Tabla1[[#This Row],[Ean Normalizado]],tabla_consumos[EAN],tabla_consumos[UM])</f>
        <v>#VALUE!</v>
      </c>
      <c r="S3559" s="38" t="e">
        <f>Tabla1[[#This Row],[StockDisp]]*Tabla1[[#This Row],[UM producto]]</f>
        <v>#VALUE!</v>
      </c>
    </row>
    <row r="3560" spans="1:19" x14ac:dyDescent="0.35">
      <c r="A3560" s="5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6"/>
      <c r="P3560" s="23" t="e">
        <f>TRIM(Tabla1[[#This Row],[Articulo]])</f>
        <v>#VALUE!</v>
      </c>
      <c r="Q3560" s="23" t="e">
        <f>_xlfn.XLOOKUP(Tabla1[[#This Row],[Ean Normalizado]],Consumos!A:A,Consumos!E:E)</f>
        <v>#VALUE!</v>
      </c>
      <c r="R3560" s="38" t="e">
        <f>_xlfn.XLOOKUP(Tabla1[[#This Row],[Ean Normalizado]],tabla_consumos[EAN],tabla_consumos[UM])</f>
        <v>#VALUE!</v>
      </c>
      <c r="S3560" s="38" t="e">
        <f>Tabla1[[#This Row],[StockDisp]]*Tabla1[[#This Row],[UM producto]]</f>
        <v>#VALUE!</v>
      </c>
    </row>
    <row r="3561" spans="1:19" x14ac:dyDescent="0.35">
      <c r="A3561" s="5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6"/>
      <c r="P3561" s="23" t="e">
        <f>TRIM(Tabla1[[#This Row],[Articulo]])</f>
        <v>#VALUE!</v>
      </c>
      <c r="Q3561" s="23" t="e">
        <f>_xlfn.XLOOKUP(Tabla1[[#This Row],[Ean Normalizado]],Consumos!A:A,Consumos!E:E)</f>
        <v>#VALUE!</v>
      </c>
      <c r="R3561" s="38" t="e">
        <f>_xlfn.XLOOKUP(Tabla1[[#This Row],[Ean Normalizado]],tabla_consumos[EAN],tabla_consumos[UM])</f>
        <v>#VALUE!</v>
      </c>
      <c r="S3561" s="38" t="e">
        <f>Tabla1[[#This Row],[StockDisp]]*Tabla1[[#This Row],[UM producto]]</f>
        <v>#VALUE!</v>
      </c>
    </row>
    <row r="3562" spans="1:19" x14ac:dyDescent="0.35">
      <c r="A3562" s="5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6"/>
      <c r="P3562" s="23" t="e">
        <f>TRIM(Tabla1[[#This Row],[Articulo]])</f>
        <v>#VALUE!</v>
      </c>
      <c r="Q3562" s="23" t="e">
        <f>_xlfn.XLOOKUP(Tabla1[[#This Row],[Ean Normalizado]],Consumos!A:A,Consumos!E:E)</f>
        <v>#VALUE!</v>
      </c>
      <c r="R3562" s="38" t="e">
        <f>_xlfn.XLOOKUP(Tabla1[[#This Row],[Ean Normalizado]],tabla_consumos[EAN],tabla_consumos[UM])</f>
        <v>#VALUE!</v>
      </c>
      <c r="S3562" s="38" t="e">
        <f>Tabla1[[#This Row],[StockDisp]]*Tabla1[[#This Row],[UM producto]]</f>
        <v>#VALUE!</v>
      </c>
    </row>
    <row r="3563" spans="1:19" x14ac:dyDescent="0.35">
      <c r="A3563" s="5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6"/>
      <c r="P3563" s="23" t="e">
        <f>TRIM(Tabla1[[#This Row],[Articulo]])</f>
        <v>#VALUE!</v>
      </c>
      <c r="Q3563" s="23" t="e">
        <f>_xlfn.XLOOKUP(Tabla1[[#This Row],[Ean Normalizado]],Consumos!A:A,Consumos!E:E)</f>
        <v>#VALUE!</v>
      </c>
      <c r="R3563" s="38" t="e">
        <f>_xlfn.XLOOKUP(Tabla1[[#This Row],[Ean Normalizado]],tabla_consumos[EAN],tabla_consumos[UM])</f>
        <v>#VALUE!</v>
      </c>
      <c r="S3563" s="38" t="e">
        <f>Tabla1[[#This Row],[StockDisp]]*Tabla1[[#This Row],[UM producto]]</f>
        <v>#VALUE!</v>
      </c>
    </row>
    <row r="3564" spans="1:19" x14ac:dyDescent="0.35">
      <c r="A3564" s="5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6"/>
      <c r="P3564" s="23" t="e">
        <f>TRIM(Tabla1[[#This Row],[Articulo]])</f>
        <v>#VALUE!</v>
      </c>
      <c r="Q3564" s="23" t="e">
        <f>_xlfn.XLOOKUP(Tabla1[[#This Row],[Ean Normalizado]],Consumos!A:A,Consumos!E:E)</f>
        <v>#VALUE!</v>
      </c>
      <c r="R3564" s="38" t="e">
        <f>_xlfn.XLOOKUP(Tabla1[[#This Row],[Ean Normalizado]],tabla_consumos[EAN],tabla_consumos[UM])</f>
        <v>#VALUE!</v>
      </c>
      <c r="S3564" s="38" t="e">
        <f>Tabla1[[#This Row],[StockDisp]]*Tabla1[[#This Row],[UM producto]]</f>
        <v>#VALUE!</v>
      </c>
    </row>
    <row r="3565" spans="1:19" x14ac:dyDescent="0.35">
      <c r="A3565" s="5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6"/>
      <c r="P3565" s="23" t="e">
        <f>TRIM(Tabla1[[#This Row],[Articulo]])</f>
        <v>#VALUE!</v>
      </c>
      <c r="Q3565" s="23" t="e">
        <f>_xlfn.XLOOKUP(Tabla1[[#This Row],[Ean Normalizado]],Consumos!A:A,Consumos!E:E)</f>
        <v>#VALUE!</v>
      </c>
      <c r="R3565" s="38" t="e">
        <f>_xlfn.XLOOKUP(Tabla1[[#This Row],[Ean Normalizado]],tabla_consumos[EAN],tabla_consumos[UM])</f>
        <v>#VALUE!</v>
      </c>
      <c r="S3565" s="38" t="e">
        <f>Tabla1[[#This Row],[StockDisp]]*Tabla1[[#This Row],[UM producto]]</f>
        <v>#VALUE!</v>
      </c>
    </row>
    <row r="3566" spans="1:19" x14ac:dyDescent="0.35">
      <c r="A3566" s="5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6"/>
      <c r="P3566" s="23" t="e">
        <f>TRIM(Tabla1[[#This Row],[Articulo]])</f>
        <v>#VALUE!</v>
      </c>
      <c r="Q3566" s="23" t="e">
        <f>_xlfn.XLOOKUP(Tabla1[[#This Row],[Ean Normalizado]],Consumos!A:A,Consumos!E:E)</f>
        <v>#VALUE!</v>
      </c>
      <c r="R3566" s="38" t="e">
        <f>_xlfn.XLOOKUP(Tabla1[[#This Row],[Ean Normalizado]],tabla_consumos[EAN],tabla_consumos[UM])</f>
        <v>#VALUE!</v>
      </c>
      <c r="S3566" s="38" t="e">
        <f>Tabla1[[#This Row],[StockDisp]]*Tabla1[[#This Row],[UM producto]]</f>
        <v>#VALUE!</v>
      </c>
    </row>
    <row r="3567" spans="1:19" x14ac:dyDescent="0.35">
      <c r="A3567" s="5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6"/>
      <c r="P3567" s="23" t="e">
        <f>TRIM(Tabla1[[#This Row],[Articulo]])</f>
        <v>#VALUE!</v>
      </c>
      <c r="Q3567" s="23" t="e">
        <f>_xlfn.XLOOKUP(Tabla1[[#This Row],[Ean Normalizado]],Consumos!A:A,Consumos!E:E)</f>
        <v>#VALUE!</v>
      </c>
      <c r="R3567" s="38" t="e">
        <f>_xlfn.XLOOKUP(Tabla1[[#This Row],[Ean Normalizado]],tabla_consumos[EAN],tabla_consumos[UM])</f>
        <v>#VALUE!</v>
      </c>
      <c r="S3567" s="38" t="e">
        <f>Tabla1[[#This Row],[StockDisp]]*Tabla1[[#This Row],[UM producto]]</f>
        <v>#VALUE!</v>
      </c>
    </row>
    <row r="3568" spans="1:19" x14ac:dyDescent="0.35">
      <c r="A3568" s="5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6"/>
      <c r="P3568" s="23" t="e">
        <f>TRIM(Tabla1[[#This Row],[Articulo]])</f>
        <v>#VALUE!</v>
      </c>
      <c r="Q3568" s="23" t="e">
        <f>_xlfn.XLOOKUP(Tabla1[[#This Row],[Ean Normalizado]],Consumos!A:A,Consumos!E:E)</f>
        <v>#VALUE!</v>
      </c>
      <c r="R3568" s="38" t="e">
        <f>_xlfn.XLOOKUP(Tabla1[[#This Row],[Ean Normalizado]],tabla_consumos[EAN],tabla_consumos[UM])</f>
        <v>#VALUE!</v>
      </c>
      <c r="S3568" s="38" t="e">
        <f>Tabla1[[#This Row],[StockDisp]]*Tabla1[[#This Row],[UM producto]]</f>
        <v>#VALUE!</v>
      </c>
    </row>
    <row r="3569" spans="1:19" x14ac:dyDescent="0.35">
      <c r="A3569" s="5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6"/>
      <c r="P3569" s="23" t="e">
        <f>TRIM(Tabla1[[#This Row],[Articulo]])</f>
        <v>#VALUE!</v>
      </c>
      <c r="Q3569" s="23" t="e">
        <f>_xlfn.XLOOKUP(Tabla1[[#This Row],[Ean Normalizado]],Consumos!A:A,Consumos!E:E)</f>
        <v>#VALUE!</v>
      </c>
      <c r="R3569" s="38" t="e">
        <f>_xlfn.XLOOKUP(Tabla1[[#This Row],[Ean Normalizado]],tabla_consumos[EAN],tabla_consumos[UM])</f>
        <v>#VALUE!</v>
      </c>
      <c r="S3569" s="38" t="e">
        <f>Tabla1[[#This Row],[StockDisp]]*Tabla1[[#This Row],[UM producto]]</f>
        <v>#VALUE!</v>
      </c>
    </row>
    <row r="3570" spans="1:19" x14ac:dyDescent="0.35">
      <c r="A3570" s="5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6"/>
      <c r="P3570" s="23" t="e">
        <f>TRIM(Tabla1[[#This Row],[Articulo]])</f>
        <v>#VALUE!</v>
      </c>
      <c r="Q3570" s="23" t="e">
        <f>_xlfn.XLOOKUP(Tabla1[[#This Row],[Ean Normalizado]],Consumos!A:A,Consumos!E:E)</f>
        <v>#VALUE!</v>
      </c>
      <c r="R3570" s="38" t="e">
        <f>_xlfn.XLOOKUP(Tabla1[[#This Row],[Ean Normalizado]],tabla_consumos[EAN],tabla_consumos[UM])</f>
        <v>#VALUE!</v>
      </c>
      <c r="S3570" s="38" t="e">
        <f>Tabla1[[#This Row],[StockDisp]]*Tabla1[[#This Row],[UM producto]]</f>
        <v>#VALUE!</v>
      </c>
    </row>
    <row r="3571" spans="1:19" x14ac:dyDescent="0.35">
      <c r="A3571" s="5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6"/>
      <c r="P3571" s="23" t="e">
        <f>TRIM(Tabla1[[#This Row],[Articulo]])</f>
        <v>#VALUE!</v>
      </c>
      <c r="Q3571" s="23" t="e">
        <f>_xlfn.XLOOKUP(Tabla1[[#This Row],[Ean Normalizado]],Consumos!A:A,Consumos!E:E)</f>
        <v>#VALUE!</v>
      </c>
      <c r="R3571" s="38" t="e">
        <f>_xlfn.XLOOKUP(Tabla1[[#This Row],[Ean Normalizado]],tabla_consumos[EAN],tabla_consumos[UM])</f>
        <v>#VALUE!</v>
      </c>
      <c r="S3571" s="38" t="e">
        <f>Tabla1[[#This Row],[StockDisp]]*Tabla1[[#This Row],[UM producto]]</f>
        <v>#VALUE!</v>
      </c>
    </row>
    <row r="3572" spans="1:19" x14ac:dyDescent="0.35">
      <c r="A3572" s="5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6"/>
      <c r="P3572" s="23" t="e">
        <f>TRIM(Tabla1[[#This Row],[Articulo]])</f>
        <v>#VALUE!</v>
      </c>
      <c r="Q3572" s="23" t="e">
        <f>_xlfn.XLOOKUP(Tabla1[[#This Row],[Ean Normalizado]],Consumos!A:A,Consumos!E:E)</f>
        <v>#VALUE!</v>
      </c>
      <c r="R3572" s="38" t="e">
        <f>_xlfn.XLOOKUP(Tabla1[[#This Row],[Ean Normalizado]],tabla_consumos[EAN],tabla_consumos[UM])</f>
        <v>#VALUE!</v>
      </c>
      <c r="S3572" s="38" t="e">
        <f>Tabla1[[#This Row],[StockDisp]]*Tabla1[[#This Row],[UM producto]]</f>
        <v>#VALUE!</v>
      </c>
    </row>
    <row r="3573" spans="1:19" x14ac:dyDescent="0.35">
      <c r="A3573" s="5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6"/>
      <c r="P3573" s="23" t="e">
        <f>TRIM(Tabla1[[#This Row],[Articulo]])</f>
        <v>#VALUE!</v>
      </c>
      <c r="Q3573" s="23" t="e">
        <f>_xlfn.XLOOKUP(Tabla1[[#This Row],[Ean Normalizado]],Consumos!A:A,Consumos!E:E)</f>
        <v>#VALUE!</v>
      </c>
      <c r="R3573" s="38" t="e">
        <f>_xlfn.XLOOKUP(Tabla1[[#This Row],[Ean Normalizado]],tabla_consumos[EAN],tabla_consumos[UM])</f>
        <v>#VALUE!</v>
      </c>
      <c r="S3573" s="38" t="e">
        <f>Tabla1[[#This Row],[StockDisp]]*Tabla1[[#This Row],[UM producto]]</f>
        <v>#VALUE!</v>
      </c>
    </row>
    <row r="3574" spans="1:19" x14ac:dyDescent="0.35">
      <c r="A3574" s="5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6"/>
      <c r="P3574" s="23" t="e">
        <f>TRIM(Tabla1[[#This Row],[Articulo]])</f>
        <v>#VALUE!</v>
      </c>
      <c r="Q3574" s="23" t="e">
        <f>_xlfn.XLOOKUP(Tabla1[[#This Row],[Ean Normalizado]],Consumos!A:A,Consumos!E:E)</f>
        <v>#VALUE!</v>
      </c>
      <c r="R3574" s="38" t="e">
        <f>_xlfn.XLOOKUP(Tabla1[[#This Row],[Ean Normalizado]],tabla_consumos[EAN],tabla_consumos[UM])</f>
        <v>#VALUE!</v>
      </c>
      <c r="S3574" s="38" t="e">
        <f>Tabla1[[#This Row],[StockDisp]]*Tabla1[[#This Row],[UM producto]]</f>
        <v>#VALUE!</v>
      </c>
    </row>
    <row r="3575" spans="1:19" x14ac:dyDescent="0.35">
      <c r="A3575" s="5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6"/>
      <c r="P3575" s="23" t="e">
        <f>TRIM(Tabla1[[#This Row],[Articulo]])</f>
        <v>#VALUE!</v>
      </c>
      <c r="Q3575" s="23" t="e">
        <f>_xlfn.XLOOKUP(Tabla1[[#This Row],[Ean Normalizado]],Consumos!A:A,Consumos!E:E)</f>
        <v>#VALUE!</v>
      </c>
      <c r="R3575" s="38" t="e">
        <f>_xlfn.XLOOKUP(Tabla1[[#This Row],[Ean Normalizado]],tabla_consumos[EAN],tabla_consumos[UM])</f>
        <v>#VALUE!</v>
      </c>
      <c r="S3575" s="38" t="e">
        <f>Tabla1[[#This Row],[StockDisp]]*Tabla1[[#This Row],[UM producto]]</f>
        <v>#VALUE!</v>
      </c>
    </row>
    <row r="3576" spans="1:19" x14ac:dyDescent="0.35">
      <c r="A3576" s="5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6"/>
      <c r="P3576" s="23" t="e">
        <f>TRIM(Tabla1[[#This Row],[Articulo]])</f>
        <v>#VALUE!</v>
      </c>
      <c r="Q3576" s="23" t="e">
        <f>_xlfn.XLOOKUP(Tabla1[[#This Row],[Ean Normalizado]],Consumos!A:A,Consumos!E:E)</f>
        <v>#VALUE!</v>
      </c>
      <c r="R3576" s="38" t="e">
        <f>_xlfn.XLOOKUP(Tabla1[[#This Row],[Ean Normalizado]],tabla_consumos[EAN],tabla_consumos[UM])</f>
        <v>#VALUE!</v>
      </c>
      <c r="S3576" s="38" t="e">
        <f>Tabla1[[#This Row],[StockDisp]]*Tabla1[[#This Row],[UM producto]]</f>
        <v>#VALUE!</v>
      </c>
    </row>
    <row r="3577" spans="1:19" x14ac:dyDescent="0.35">
      <c r="A3577" s="5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6"/>
      <c r="P3577" s="23" t="e">
        <f>TRIM(Tabla1[[#This Row],[Articulo]])</f>
        <v>#VALUE!</v>
      </c>
      <c r="Q3577" s="23" t="e">
        <f>_xlfn.XLOOKUP(Tabla1[[#This Row],[Ean Normalizado]],Consumos!A:A,Consumos!E:E)</f>
        <v>#VALUE!</v>
      </c>
      <c r="R3577" s="38" t="e">
        <f>_xlfn.XLOOKUP(Tabla1[[#This Row],[Ean Normalizado]],tabla_consumos[EAN],tabla_consumos[UM])</f>
        <v>#VALUE!</v>
      </c>
      <c r="S3577" s="38" t="e">
        <f>Tabla1[[#This Row],[StockDisp]]*Tabla1[[#This Row],[UM producto]]</f>
        <v>#VALUE!</v>
      </c>
    </row>
    <row r="3578" spans="1:19" x14ac:dyDescent="0.35">
      <c r="A3578" s="5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6"/>
      <c r="P3578" s="23" t="e">
        <f>TRIM(Tabla1[[#This Row],[Articulo]])</f>
        <v>#VALUE!</v>
      </c>
      <c r="Q3578" s="23" t="e">
        <f>_xlfn.XLOOKUP(Tabla1[[#This Row],[Ean Normalizado]],Consumos!A:A,Consumos!E:E)</f>
        <v>#VALUE!</v>
      </c>
      <c r="R3578" s="38" t="e">
        <f>_xlfn.XLOOKUP(Tabla1[[#This Row],[Ean Normalizado]],tabla_consumos[EAN],tabla_consumos[UM])</f>
        <v>#VALUE!</v>
      </c>
      <c r="S3578" s="38" t="e">
        <f>Tabla1[[#This Row],[StockDisp]]*Tabla1[[#This Row],[UM producto]]</f>
        <v>#VALUE!</v>
      </c>
    </row>
    <row r="3579" spans="1:19" x14ac:dyDescent="0.35">
      <c r="A3579" s="5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6"/>
      <c r="P3579" s="23" t="e">
        <f>TRIM(Tabla1[[#This Row],[Articulo]])</f>
        <v>#VALUE!</v>
      </c>
      <c r="Q3579" s="23" t="e">
        <f>_xlfn.XLOOKUP(Tabla1[[#This Row],[Ean Normalizado]],Consumos!A:A,Consumos!E:E)</f>
        <v>#VALUE!</v>
      </c>
      <c r="R3579" s="38" t="e">
        <f>_xlfn.XLOOKUP(Tabla1[[#This Row],[Ean Normalizado]],tabla_consumos[EAN],tabla_consumos[UM])</f>
        <v>#VALUE!</v>
      </c>
      <c r="S3579" s="38" t="e">
        <f>Tabla1[[#This Row],[StockDisp]]*Tabla1[[#This Row],[UM producto]]</f>
        <v>#VALUE!</v>
      </c>
    </row>
    <row r="3580" spans="1:19" x14ac:dyDescent="0.35">
      <c r="A3580" s="5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6"/>
      <c r="P3580" s="23" t="e">
        <f>TRIM(Tabla1[[#This Row],[Articulo]])</f>
        <v>#VALUE!</v>
      </c>
      <c r="Q3580" s="23" t="e">
        <f>_xlfn.XLOOKUP(Tabla1[[#This Row],[Ean Normalizado]],Consumos!A:A,Consumos!E:E)</f>
        <v>#VALUE!</v>
      </c>
      <c r="R3580" s="38" t="e">
        <f>_xlfn.XLOOKUP(Tabla1[[#This Row],[Ean Normalizado]],tabla_consumos[EAN],tabla_consumos[UM])</f>
        <v>#VALUE!</v>
      </c>
      <c r="S3580" s="38" t="e">
        <f>Tabla1[[#This Row],[StockDisp]]*Tabla1[[#This Row],[UM producto]]</f>
        <v>#VALUE!</v>
      </c>
    </row>
    <row r="3581" spans="1:19" x14ac:dyDescent="0.35">
      <c r="A3581" s="5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6"/>
      <c r="P3581" s="23" t="e">
        <f>TRIM(Tabla1[[#This Row],[Articulo]])</f>
        <v>#VALUE!</v>
      </c>
      <c r="Q3581" s="23" t="e">
        <f>_xlfn.XLOOKUP(Tabla1[[#This Row],[Ean Normalizado]],Consumos!A:A,Consumos!E:E)</f>
        <v>#VALUE!</v>
      </c>
      <c r="R3581" s="38" t="e">
        <f>_xlfn.XLOOKUP(Tabla1[[#This Row],[Ean Normalizado]],tabla_consumos[EAN],tabla_consumos[UM])</f>
        <v>#VALUE!</v>
      </c>
      <c r="S3581" s="38" t="e">
        <f>Tabla1[[#This Row],[StockDisp]]*Tabla1[[#This Row],[UM producto]]</f>
        <v>#VALUE!</v>
      </c>
    </row>
    <row r="3582" spans="1:19" x14ac:dyDescent="0.35">
      <c r="A3582" s="5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6"/>
      <c r="P3582" s="23" t="e">
        <f>TRIM(Tabla1[[#This Row],[Articulo]])</f>
        <v>#VALUE!</v>
      </c>
      <c r="Q3582" s="23" t="e">
        <f>_xlfn.XLOOKUP(Tabla1[[#This Row],[Ean Normalizado]],Consumos!A:A,Consumos!E:E)</f>
        <v>#VALUE!</v>
      </c>
      <c r="R3582" s="38" t="e">
        <f>_xlfn.XLOOKUP(Tabla1[[#This Row],[Ean Normalizado]],tabla_consumos[EAN],tabla_consumos[UM])</f>
        <v>#VALUE!</v>
      </c>
      <c r="S3582" s="38" t="e">
        <f>Tabla1[[#This Row],[StockDisp]]*Tabla1[[#This Row],[UM producto]]</f>
        <v>#VALUE!</v>
      </c>
    </row>
    <row r="3583" spans="1:19" x14ac:dyDescent="0.35">
      <c r="A3583" s="5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6"/>
      <c r="P3583" s="23" t="e">
        <f>TRIM(Tabla1[[#This Row],[Articulo]])</f>
        <v>#VALUE!</v>
      </c>
      <c r="Q3583" s="23" t="e">
        <f>_xlfn.XLOOKUP(Tabla1[[#This Row],[Ean Normalizado]],Consumos!A:A,Consumos!E:E)</f>
        <v>#VALUE!</v>
      </c>
      <c r="R3583" s="38" t="e">
        <f>_xlfn.XLOOKUP(Tabla1[[#This Row],[Ean Normalizado]],tabla_consumos[EAN],tabla_consumos[UM])</f>
        <v>#VALUE!</v>
      </c>
      <c r="S3583" s="38" t="e">
        <f>Tabla1[[#This Row],[StockDisp]]*Tabla1[[#This Row],[UM producto]]</f>
        <v>#VALUE!</v>
      </c>
    </row>
    <row r="3584" spans="1:19" x14ac:dyDescent="0.35">
      <c r="A3584" s="5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6"/>
      <c r="P3584" s="23" t="e">
        <f>TRIM(Tabla1[[#This Row],[Articulo]])</f>
        <v>#VALUE!</v>
      </c>
      <c r="Q3584" s="23" t="e">
        <f>_xlfn.XLOOKUP(Tabla1[[#This Row],[Ean Normalizado]],Consumos!A:A,Consumos!E:E)</f>
        <v>#VALUE!</v>
      </c>
      <c r="R3584" s="38" t="e">
        <f>_xlfn.XLOOKUP(Tabla1[[#This Row],[Ean Normalizado]],tabla_consumos[EAN],tabla_consumos[UM])</f>
        <v>#VALUE!</v>
      </c>
      <c r="S3584" s="38" t="e">
        <f>Tabla1[[#This Row],[StockDisp]]*Tabla1[[#This Row],[UM producto]]</f>
        <v>#VALUE!</v>
      </c>
    </row>
    <row r="3585" spans="1:19" x14ac:dyDescent="0.35">
      <c r="A3585" s="5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6"/>
      <c r="P3585" s="23" t="e">
        <f>TRIM(Tabla1[[#This Row],[Articulo]])</f>
        <v>#VALUE!</v>
      </c>
      <c r="Q3585" s="23" t="e">
        <f>_xlfn.XLOOKUP(Tabla1[[#This Row],[Ean Normalizado]],Consumos!A:A,Consumos!E:E)</f>
        <v>#VALUE!</v>
      </c>
      <c r="R3585" s="38" t="e">
        <f>_xlfn.XLOOKUP(Tabla1[[#This Row],[Ean Normalizado]],tabla_consumos[EAN],tabla_consumos[UM])</f>
        <v>#VALUE!</v>
      </c>
      <c r="S3585" s="38" t="e">
        <f>Tabla1[[#This Row],[StockDisp]]*Tabla1[[#This Row],[UM producto]]</f>
        <v>#VALUE!</v>
      </c>
    </row>
    <row r="3586" spans="1:19" x14ac:dyDescent="0.35">
      <c r="A3586" s="5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6"/>
      <c r="P3586" s="23" t="e">
        <f>TRIM(Tabla1[[#This Row],[Articulo]])</f>
        <v>#VALUE!</v>
      </c>
      <c r="Q3586" s="23" t="e">
        <f>_xlfn.XLOOKUP(Tabla1[[#This Row],[Ean Normalizado]],Consumos!A:A,Consumos!E:E)</f>
        <v>#VALUE!</v>
      </c>
      <c r="R3586" s="38" t="e">
        <f>_xlfn.XLOOKUP(Tabla1[[#This Row],[Ean Normalizado]],tabla_consumos[EAN],tabla_consumos[UM])</f>
        <v>#VALUE!</v>
      </c>
      <c r="S3586" s="38" t="e">
        <f>Tabla1[[#This Row],[StockDisp]]*Tabla1[[#This Row],[UM producto]]</f>
        <v>#VALUE!</v>
      </c>
    </row>
    <row r="3587" spans="1:19" x14ac:dyDescent="0.35">
      <c r="A3587" s="5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6"/>
      <c r="P3587" s="23" t="e">
        <f>TRIM(Tabla1[[#This Row],[Articulo]])</f>
        <v>#VALUE!</v>
      </c>
      <c r="Q3587" s="23" t="e">
        <f>_xlfn.XLOOKUP(Tabla1[[#This Row],[Ean Normalizado]],Consumos!A:A,Consumos!E:E)</f>
        <v>#VALUE!</v>
      </c>
      <c r="R3587" s="38" t="e">
        <f>_xlfn.XLOOKUP(Tabla1[[#This Row],[Ean Normalizado]],tabla_consumos[EAN],tabla_consumos[UM])</f>
        <v>#VALUE!</v>
      </c>
      <c r="S3587" s="38" t="e">
        <f>Tabla1[[#This Row],[StockDisp]]*Tabla1[[#This Row],[UM producto]]</f>
        <v>#VALUE!</v>
      </c>
    </row>
    <row r="3588" spans="1:19" x14ac:dyDescent="0.35">
      <c r="A3588" s="5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6"/>
      <c r="P3588" s="23" t="e">
        <f>TRIM(Tabla1[[#This Row],[Articulo]])</f>
        <v>#VALUE!</v>
      </c>
      <c r="Q3588" s="23" t="e">
        <f>_xlfn.XLOOKUP(Tabla1[[#This Row],[Ean Normalizado]],Consumos!A:A,Consumos!E:E)</f>
        <v>#VALUE!</v>
      </c>
      <c r="R3588" s="38" t="e">
        <f>_xlfn.XLOOKUP(Tabla1[[#This Row],[Ean Normalizado]],tabla_consumos[EAN],tabla_consumos[UM])</f>
        <v>#VALUE!</v>
      </c>
      <c r="S3588" s="38" t="e">
        <f>Tabla1[[#This Row],[StockDisp]]*Tabla1[[#This Row],[UM producto]]</f>
        <v>#VALUE!</v>
      </c>
    </row>
    <row r="3589" spans="1:19" x14ac:dyDescent="0.35">
      <c r="A3589" s="5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6"/>
      <c r="P3589" s="23" t="e">
        <f>TRIM(Tabla1[[#This Row],[Articulo]])</f>
        <v>#VALUE!</v>
      </c>
      <c r="Q3589" s="23" t="e">
        <f>_xlfn.XLOOKUP(Tabla1[[#This Row],[Ean Normalizado]],Consumos!A:A,Consumos!E:E)</f>
        <v>#VALUE!</v>
      </c>
      <c r="R3589" s="38" t="e">
        <f>_xlfn.XLOOKUP(Tabla1[[#This Row],[Ean Normalizado]],tabla_consumos[EAN],tabla_consumos[UM])</f>
        <v>#VALUE!</v>
      </c>
      <c r="S3589" s="38" t="e">
        <f>Tabla1[[#This Row],[StockDisp]]*Tabla1[[#This Row],[UM producto]]</f>
        <v>#VALUE!</v>
      </c>
    </row>
    <row r="3590" spans="1:19" x14ac:dyDescent="0.35">
      <c r="A3590" s="5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6"/>
      <c r="P3590" s="23" t="e">
        <f>TRIM(Tabla1[[#This Row],[Articulo]])</f>
        <v>#VALUE!</v>
      </c>
      <c r="Q3590" s="23" t="e">
        <f>_xlfn.XLOOKUP(Tabla1[[#This Row],[Ean Normalizado]],Consumos!A:A,Consumos!E:E)</f>
        <v>#VALUE!</v>
      </c>
      <c r="R3590" s="38" t="e">
        <f>_xlfn.XLOOKUP(Tabla1[[#This Row],[Ean Normalizado]],tabla_consumos[EAN],tabla_consumos[UM])</f>
        <v>#VALUE!</v>
      </c>
      <c r="S3590" s="38" t="e">
        <f>Tabla1[[#This Row],[StockDisp]]*Tabla1[[#This Row],[UM producto]]</f>
        <v>#VALUE!</v>
      </c>
    </row>
    <row r="3591" spans="1:19" x14ac:dyDescent="0.35">
      <c r="A3591" s="5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6"/>
      <c r="P3591" s="23" t="e">
        <f>TRIM(Tabla1[[#This Row],[Articulo]])</f>
        <v>#VALUE!</v>
      </c>
      <c r="Q3591" s="23" t="e">
        <f>_xlfn.XLOOKUP(Tabla1[[#This Row],[Ean Normalizado]],Consumos!A:A,Consumos!E:E)</f>
        <v>#VALUE!</v>
      </c>
      <c r="R3591" s="38" t="e">
        <f>_xlfn.XLOOKUP(Tabla1[[#This Row],[Ean Normalizado]],tabla_consumos[EAN],tabla_consumos[UM])</f>
        <v>#VALUE!</v>
      </c>
      <c r="S3591" s="38" t="e">
        <f>Tabla1[[#This Row],[StockDisp]]*Tabla1[[#This Row],[UM producto]]</f>
        <v>#VALUE!</v>
      </c>
    </row>
    <row r="3592" spans="1:19" x14ac:dyDescent="0.35">
      <c r="A3592" s="5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6"/>
      <c r="P3592" s="23" t="e">
        <f>TRIM(Tabla1[[#This Row],[Articulo]])</f>
        <v>#VALUE!</v>
      </c>
      <c r="Q3592" s="23" t="e">
        <f>_xlfn.XLOOKUP(Tabla1[[#This Row],[Ean Normalizado]],Consumos!A:A,Consumos!E:E)</f>
        <v>#VALUE!</v>
      </c>
      <c r="R3592" s="38" t="e">
        <f>_xlfn.XLOOKUP(Tabla1[[#This Row],[Ean Normalizado]],tabla_consumos[EAN],tabla_consumos[UM])</f>
        <v>#VALUE!</v>
      </c>
      <c r="S3592" s="38" t="e">
        <f>Tabla1[[#This Row],[StockDisp]]*Tabla1[[#This Row],[UM producto]]</f>
        <v>#VALUE!</v>
      </c>
    </row>
    <row r="3593" spans="1:19" x14ac:dyDescent="0.35">
      <c r="A3593" s="5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6"/>
      <c r="P3593" s="23" t="e">
        <f>TRIM(Tabla1[[#This Row],[Articulo]])</f>
        <v>#VALUE!</v>
      </c>
      <c r="Q3593" s="23" t="e">
        <f>_xlfn.XLOOKUP(Tabla1[[#This Row],[Ean Normalizado]],Consumos!A:A,Consumos!E:E)</f>
        <v>#VALUE!</v>
      </c>
      <c r="R3593" s="38" t="e">
        <f>_xlfn.XLOOKUP(Tabla1[[#This Row],[Ean Normalizado]],tabla_consumos[EAN],tabla_consumos[UM])</f>
        <v>#VALUE!</v>
      </c>
      <c r="S3593" s="38" t="e">
        <f>Tabla1[[#This Row],[StockDisp]]*Tabla1[[#This Row],[UM producto]]</f>
        <v>#VALUE!</v>
      </c>
    </row>
    <row r="3594" spans="1:19" x14ac:dyDescent="0.35">
      <c r="A3594" s="5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6"/>
      <c r="P3594" s="23" t="e">
        <f>TRIM(Tabla1[[#This Row],[Articulo]])</f>
        <v>#VALUE!</v>
      </c>
      <c r="Q3594" s="23" t="e">
        <f>_xlfn.XLOOKUP(Tabla1[[#This Row],[Ean Normalizado]],Consumos!A:A,Consumos!E:E)</f>
        <v>#VALUE!</v>
      </c>
      <c r="R3594" s="38" t="e">
        <f>_xlfn.XLOOKUP(Tabla1[[#This Row],[Ean Normalizado]],tabla_consumos[EAN],tabla_consumos[UM])</f>
        <v>#VALUE!</v>
      </c>
      <c r="S3594" s="38" t="e">
        <f>Tabla1[[#This Row],[StockDisp]]*Tabla1[[#This Row],[UM producto]]</f>
        <v>#VALUE!</v>
      </c>
    </row>
    <row r="3595" spans="1:19" x14ac:dyDescent="0.35">
      <c r="A3595" s="5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6"/>
      <c r="P3595" s="23" t="e">
        <f>TRIM(Tabla1[[#This Row],[Articulo]])</f>
        <v>#VALUE!</v>
      </c>
      <c r="Q3595" s="23" t="e">
        <f>_xlfn.XLOOKUP(Tabla1[[#This Row],[Ean Normalizado]],Consumos!A:A,Consumos!E:E)</f>
        <v>#VALUE!</v>
      </c>
      <c r="R3595" s="38" t="e">
        <f>_xlfn.XLOOKUP(Tabla1[[#This Row],[Ean Normalizado]],tabla_consumos[EAN],tabla_consumos[UM])</f>
        <v>#VALUE!</v>
      </c>
      <c r="S3595" s="38" t="e">
        <f>Tabla1[[#This Row],[StockDisp]]*Tabla1[[#This Row],[UM producto]]</f>
        <v>#VALUE!</v>
      </c>
    </row>
    <row r="3596" spans="1:19" x14ac:dyDescent="0.35">
      <c r="A3596" s="5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6"/>
      <c r="P3596" s="23" t="e">
        <f>TRIM(Tabla1[[#This Row],[Articulo]])</f>
        <v>#VALUE!</v>
      </c>
      <c r="Q3596" s="23" t="e">
        <f>_xlfn.XLOOKUP(Tabla1[[#This Row],[Ean Normalizado]],Consumos!A:A,Consumos!E:E)</f>
        <v>#VALUE!</v>
      </c>
      <c r="R3596" s="38" t="e">
        <f>_xlfn.XLOOKUP(Tabla1[[#This Row],[Ean Normalizado]],tabla_consumos[EAN],tabla_consumos[UM])</f>
        <v>#VALUE!</v>
      </c>
      <c r="S3596" s="38" t="e">
        <f>Tabla1[[#This Row],[StockDisp]]*Tabla1[[#This Row],[UM producto]]</f>
        <v>#VALUE!</v>
      </c>
    </row>
    <row r="3597" spans="1:19" x14ac:dyDescent="0.35">
      <c r="A3597" s="5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6"/>
      <c r="P3597" s="23" t="e">
        <f>TRIM(Tabla1[[#This Row],[Articulo]])</f>
        <v>#VALUE!</v>
      </c>
      <c r="Q3597" s="23" t="e">
        <f>_xlfn.XLOOKUP(Tabla1[[#This Row],[Ean Normalizado]],Consumos!A:A,Consumos!E:E)</f>
        <v>#VALUE!</v>
      </c>
      <c r="R3597" s="38" t="e">
        <f>_xlfn.XLOOKUP(Tabla1[[#This Row],[Ean Normalizado]],tabla_consumos[EAN],tabla_consumos[UM])</f>
        <v>#VALUE!</v>
      </c>
      <c r="S3597" s="38" t="e">
        <f>Tabla1[[#This Row],[StockDisp]]*Tabla1[[#This Row],[UM producto]]</f>
        <v>#VALUE!</v>
      </c>
    </row>
    <row r="3598" spans="1:19" x14ac:dyDescent="0.35">
      <c r="A3598" s="5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6"/>
      <c r="P3598" s="23" t="e">
        <f>TRIM(Tabla1[[#This Row],[Articulo]])</f>
        <v>#VALUE!</v>
      </c>
      <c r="Q3598" s="23" t="e">
        <f>_xlfn.XLOOKUP(Tabla1[[#This Row],[Ean Normalizado]],Consumos!A:A,Consumos!E:E)</f>
        <v>#VALUE!</v>
      </c>
      <c r="R3598" s="38" t="e">
        <f>_xlfn.XLOOKUP(Tabla1[[#This Row],[Ean Normalizado]],tabla_consumos[EAN],tabla_consumos[UM])</f>
        <v>#VALUE!</v>
      </c>
      <c r="S3598" s="38" t="e">
        <f>Tabla1[[#This Row],[StockDisp]]*Tabla1[[#This Row],[UM producto]]</f>
        <v>#VALUE!</v>
      </c>
    </row>
    <row r="3599" spans="1:19" x14ac:dyDescent="0.35">
      <c r="A3599" s="5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6"/>
      <c r="P3599" s="23" t="e">
        <f>TRIM(Tabla1[[#This Row],[Articulo]])</f>
        <v>#VALUE!</v>
      </c>
      <c r="Q3599" s="23" t="e">
        <f>_xlfn.XLOOKUP(Tabla1[[#This Row],[Ean Normalizado]],Consumos!A:A,Consumos!E:E)</f>
        <v>#VALUE!</v>
      </c>
      <c r="R3599" s="38" t="e">
        <f>_xlfn.XLOOKUP(Tabla1[[#This Row],[Ean Normalizado]],tabla_consumos[EAN],tabla_consumos[UM])</f>
        <v>#VALUE!</v>
      </c>
      <c r="S3599" s="38" t="e">
        <f>Tabla1[[#This Row],[StockDisp]]*Tabla1[[#This Row],[UM producto]]</f>
        <v>#VALUE!</v>
      </c>
    </row>
    <row r="3600" spans="1:19" x14ac:dyDescent="0.35">
      <c r="A3600" s="5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6"/>
      <c r="P3600" s="23" t="e">
        <f>TRIM(Tabla1[[#This Row],[Articulo]])</f>
        <v>#VALUE!</v>
      </c>
      <c r="Q3600" s="23" t="e">
        <f>_xlfn.XLOOKUP(Tabla1[[#This Row],[Ean Normalizado]],Consumos!A:A,Consumos!E:E)</f>
        <v>#VALUE!</v>
      </c>
      <c r="R3600" s="38" t="e">
        <f>_xlfn.XLOOKUP(Tabla1[[#This Row],[Ean Normalizado]],tabla_consumos[EAN],tabla_consumos[UM])</f>
        <v>#VALUE!</v>
      </c>
      <c r="S3600" s="38" t="e">
        <f>Tabla1[[#This Row],[StockDisp]]*Tabla1[[#This Row],[UM producto]]</f>
        <v>#VALUE!</v>
      </c>
    </row>
    <row r="3601" spans="1:19" x14ac:dyDescent="0.35">
      <c r="A3601" s="5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6"/>
      <c r="P3601" s="23" t="e">
        <f>TRIM(Tabla1[[#This Row],[Articulo]])</f>
        <v>#VALUE!</v>
      </c>
      <c r="Q3601" s="23" t="e">
        <f>_xlfn.XLOOKUP(Tabla1[[#This Row],[Ean Normalizado]],Consumos!A:A,Consumos!E:E)</f>
        <v>#VALUE!</v>
      </c>
      <c r="R3601" s="38" t="e">
        <f>_xlfn.XLOOKUP(Tabla1[[#This Row],[Ean Normalizado]],tabla_consumos[EAN],tabla_consumos[UM])</f>
        <v>#VALUE!</v>
      </c>
      <c r="S3601" s="38" t="e">
        <f>Tabla1[[#This Row],[StockDisp]]*Tabla1[[#This Row],[UM producto]]</f>
        <v>#VALUE!</v>
      </c>
    </row>
    <row r="3602" spans="1:19" x14ac:dyDescent="0.35">
      <c r="A3602" s="5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6"/>
      <c r="P3602" s="23" t="e">
        <f>TRIM(Tabla1[[#This Row],[Articulo]])</f>
        <v>#VALUE!</v>
      </c>
      <c r="Q3602" s="23" t="e">
        <f>_xlfn.XLOOKUP(Tabla1[[#This Row],[Ean Normalizado]],Consumos!A:A,Consumos!E:E)</f>
        <v>#VALUE!</v>
      </c>
      <c r="R3602" s="38" t="e">
        <f>_xlfn.XLOOKUP(Tabla1[[#This Row],[Ean Normalizado]],tabla_consumos[EAN],tabla_consumos[UM])</f>
        <v>#VALUE!</v>
      </c>
      <c r="S3602" s="38" t="e">
        <f>Tabla1[[#This Row],[StockDisp]]*Tabla1[[#This Row],[UM producto]]</f>
        <v>#VALUE!</v>
      </c>
    </row>
    <row r="3603" spans="1:19" x14ac:dyDescent="0.35">
      <c r="A3603" s="5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6"/>
      <c r="P3603" s="23" t="e">
        <f>TRIM(Tabla1[[#This Row],[Articulo]])</f>
        <v>#VALUE!</v>
      </c>
      <c r="Q3603" s="23" t="e">
        <f>_xlfn.XLOOKUP(Tabla1[[#This Row],[Ean Normalizado]],Consumos!A:A,Consumos!E:E)</f>
        <v>#VALUE!</v>
      </c>
      <c r="R3603" s="38" t="e">
        <f>_xlfn.XLOOKUP(Tabla1[[#This Row],[Ean Normalizado]],tabla_consumos[EAN],tabla_consumos[UM])</f>
        <v>#VALUE!</v>
      </c>
      <c r="S3603" s="38" t="e">
        <f>Tabla1[[#This Row],[StockDisp]]*Tabla1[[#This Row],[UM producto]]</f>
        <v>#VALUE!</v>
      </c>
    </row>
    <row r="3604" spans="1:19" x14ac:dyDescent="0.35">
      <c r="A3604" s="5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6"/>
      <c r="P3604" s="23" t="e">
        <f>TRIM(Tabla1[[#This Row],[Articulo]])</f>
        <v>#VALUE!</v>
      </c>
      <c r="Q3604" s="23" t="e">
        <f>_xlfn.XLOOKUP(Tabla1[[#This Row],[Ean Normalizado]],Consumos!A:A,Consumos!E:E)</f>
        <v>#VALUE!</v>
      </c>
      <c r="R3604" s="38" t="e">
        <f>_xlfn.XLOOKUP(Tabla1[[#This Row],[Ean Normalizado]],tabla_consumos[EAN],tabla_consumos[UM])</f>
        <v>#VALUE!</v>
      </c>
      <c r="S3604" s="38" t="e">
        <f>Tabla1[[#This Row],[StockDisp]]*Tabla1[[#This Row],[UM producto]]</f>
        <v>#VALUE!</v>
      </c>
    </row>
    <row r="3605" spans="1:19" x14ac:dyDescent="0.35">
      <c r="A3605" s="5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6"/>
      <c r="P3605" s="23" t="e">
        <f>TRIM(Tabla1[[#This Row],[Articulo]])</f>
        <v>#VALUE!</v>
      </c>
      <c r="Q3605" s="23" t="e">
        <f>_xlfn.XLOOKUP(Tabla1[[#This Row],[Ean Normalizado]],Consumos!A:A,Consumos!E:E)</f>
        <v>#VALUE!</v>
      </c>
      <c r="R3605" s="38" t="e">
        <f>_xlfn.XLOOKUP(Tabla1[[#This Row],[Ean Normalizado]],tabla_consumos[EAN],tabla_consumos[UM])</f>
        <v>#VALUE!</v>
      </c>
      <c r="S3605" s="38" t="e">
        <f>Tabla1[[#This Row],[StockDisp]]*Tabla1[[#This Row],[UM producto]]</f>
        <v>#VALUE!</v>
      </c>
    </row>
    <row r="3606" spans="1:19" x14ac:dyDescent="0.35">
      <c r="A3606" s="5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6"/>
      <c r="P3606" s="23" t="e">
        <f>TRIM(Tabla1[[#This Row],[Articulo]])</f>
        <v>#VALUE!</v>
      </c>
      <c r="Q3606" s="23" t="e">
        <f>_xlfn.XLOOKUP(Tabla1[[#This Row],[Ean Normalizado]],Consumos!A:A,Consumos!E:E)</f>
        <v>#VALUE!</v>
      </c>
      <c r="R3606" s="38" t="e">
        <f>_xlfn.XLOOKUP(Tabla1[[#This Row],[Ean Normalizado]],tabla_consumos[EAN],tabla_consumos[UM])</f>
        <v>#VALUE!</v>
      </c>
      <c r="S3606" s="38" t="e">
        <f>Tabla1[[#This Row],[StockDisp]]*Tabla1[[#This Row],[UM producto]]</f>
        <v>#VALUE!</v>
      </c>
    </row>
    <row r="3607" spans="1:19" x14ac:dyDescent="0.35">
      <c r="A3607" s="5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6"/>
      <c r="P3607" s="23" t="e">
        <f>TRIM(Tabla1[[#This Row],[Articulo]])</f>
        <v>#VALUE!</v>
      </c>
      <c r="Q3607" s="23" t="e">
        <f>_xlfn.XLOOKUP(Tabla1[[#This Row],[Ean Normalizado]],Consumos!A:A,Consumos!E:E)</f>
        <v>#VALUE!</v>
      </c>
      <c r="R3607" s="38" t="e">
        <f>_xlfn.XLOOKUP(Tabla1[[#This Row],[Ean Normalizado]],tabla_consumos[EAN],tabla_consumos[UM])</f>
        <v>#VALUE!</v>
      </c>
      <c r="S3607" s="38" t="e">
        <f>Tabla1[[#This Row],[StockDisp]]*Tabla1[[#This Row],[UM producto]]</f>
        <v>#VALUE!</v>
      </c>
    </row>
    <row r="3608" spans="1:19" x14ac:dyDescent="0.35">
      <c r="A3608" s="5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6"/>
      <c r="P3608" s="23" t="e">
        <f>TRIM(Tabla1[[#This Row],[Articulo]])</f>
        <v>#VALUE!</v>
      </c>
      <c r="Q3608" s="23" t="e">
        <f>_xlfn.XLOOKUP(Tabla1[[#This Row],[Ean Normalizado]],Consumos!A:A,Consumos!E:E)</f>
        <v>#VALUE!</v>
      </c>
      <c r="R3608" s="38" t="e">
        <f>_xlfn.XLOOKUP(Tabla1[[#This Row],[Ean Normalizado]],tabla_consumos[EAN],tabla_consumos[UM])</f>
        <v>#VALUE!</v>
      </c>
      <c r="S3608" s="38" t="e">
        <f>Tabla1[[#This Row],[StockDisp]]*Tabla1[[#This Row],[UM producto]]</f>
        <v>#VALUE!</v>
      </c>
    </row>
    <row r="3609" spans="1:19" x14ac:dyDescent="0.35">
      <c r="A3609" s="5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6"/>
      <c r="P3609" s="23" t="e">
        <f>TRIM(Tabla1[[#This Row],[Articulo]])</f>
        <v>#VALUE!</v>
      </c>
      <c r="Q3609" s="23" t="e">
        <f>_xlfn.XLOOKUP(Tabla1[[#This Row],[Ean Normalizado]],Consumos!A:A,Consumos!E:E)</f>
        <v>#VALUE!</v>
      </c>
      <c r="R3609" s="38" t="e">
        <f>_xlfn.XLOOKUP(Tabla1[[#This Row],[Ean Normalizado]],tabla_consumos[EAN],tabla_consumos[UM])</f>
        <v>#VALUE!</v>
      </c>
      <c r="S3609" s="38" t="e">
        <f>Tabla1[[#This Row],[StockDisp]]*Tabla1[[#This Row],[UM producto]]</f>
        <v>#VALUE!</v>
      </c>
    </row>
    <row r="3610" spans="1:19" x14ac:dyDescent="0.35">
      <c r="A3610" s="5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6"/>
      <c r="P3610" s="23" t="e">
        <f>TRIM(Tabla1[[#This Row],[Articulo]])</f>
        <v>#VALUE!</v>
      </c>
      <c r="Q3610" s="23" t="e">
        <f>_xlfn.XLOOKUP(Tabla1[[#This Row],[Ean Normalizado]],Consumos!A:A,Consumos!E:E)</f>
        <v>#VALUE!</v>
      </c>
      <c r="R3610" s="38" t="e">
        <f>_xlfn.XLOOKUP(Tabla1[[#This Row],[Ean Normalizado]],tabla_consumos[EAN],tabla_consumos[UM])</f>
        <v>#VALUE!</v>
      </c>
      <c r="S3610" s="38" t="e">
        <f>Tabla1[[#This Row],[StockDisp]]*Tabla1[[#This Row],[UM producto]]</f>
        <v>#VALUE!</v>
      </c>
    </row>
    <row r="3611" spans="1:19" x14ac:dyDescent="0.35">
      <c r="A3611" s="5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6"/>
      <c r="P3611" s="23" t="e">
        <f>TRIM(Tabla1[[#This Row],[Articulo]])</f>
        <v>#VALUE!</v>
      </c>
      <c r="Q3611" s="23" t="e">
        <f>_xlfn.XLOOKUP(Tabla1[[#This Row],[Ean Normalizado]],Consumos!A:A,Consumos!E:E)</f>
        <v>#VALUE!</v>
      </c>
      <c r="R3611" s="38" t="e">
        <f>_xlfn.XLOOKUP(Tabla1[[#This Row],[Ean Normalizado]],tabla_consumos[EAN],tabla_consumos[UM])</f>
        <v>#VALUE!</v>
      </c>
      <c r="S3611" s="38" t="e">
        <f>Tabla1[[#This Row],[StockDisp]]*Tabla1[[#This Row],[UM producto]]</f>
        <v>#VALUE!</v>
      </c>
    </row>
    <row r="3612" spans="1:19" x14ac:dyDescent="0.35">
      <c r="A3612" s="5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6"/>
      <c r="P3612" s="23" t="e">
        <f>TRIM(Tabla1[[#This Row],[Articulo]])</f>
        <v>#VALUE!</v>
      </c>
      <c r="Q3612" s="23" t="e">
        <f>_xlfn.XLOOKUP(Tabla1[[#This Row],[Ean Normalizado]],Consumos!A:A,Consumos!E:E)</f>
        <v>#VALUE!</v>
      </c>
      <c r="R3612" s="38" t="e">
        <f>_xlfn.XLOOKUP(Tabla1[[#This Row],[Ean Normalizado]],tabla_consumos[EAN],tabla_consumos[UM])</f>
        <v>#VALUE!</v>
      </c>
      <c r="S3612" s="38" t="e">
        <f>Tabla1[[#This Row],[StockDisp]]*Tabla1[[#This Row],[UM producto]]</f>
        <v>#VALUE!</v>
      </c>
    </row>
    <row r="3613" spans="1:19" x14ac:dyDescent="0.35">
      <c r="A3613" s="5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6"/>
      <c r="P3613" s="23" t="e">
        <f>TRIM(Tabla1[[#This Row],[Articulo]])</f>
        <v>#VALUE!</v>
      </c>
      <c r="Q3613" s="23" t="e">
        <f>_xlfn.XLOOKUP(Tabla1[[#This Row],[Ean Normalizado]],Consumos!A:A,Consumos!E:E)</f>
        <v>#VALUE!</v>
      </c>
      <c r="R3613" s="38" t="e">
        <f>_xlfn.XLOOKUP(Tabla1[[#This Row],[Ean Normalizado]],tabla_consumos[EAN],tabla_consumos[UM])</f>
        <v>#VALUE!</v>
      </c>
      <c r="S3613" s="38" t="e">
        <f>Tabla1[[#This Row],[StockDisp]]*Tabla1[[#This Row],[UM producto]]</f>
        <v>#VALUE!</v>
      </c>
    </row>
    <row r="3614" spans="1:19" x14ac:dyDescent="0.35">
      <c r="A3614" s="5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6"/>
      <c r="P3614" s="23" t="e">
        <f>TRIM(Tabla1[[#This Row],[Articulo]])</f>
        <v>#VALUE!</v>
      </c>
      <c r="Q3614" s="23" t="e">
        <f>_xlfn.XLOOKUP(Tabla1[[#This Row],[Ean Normalizado]],Consumos!A:A,Consumos!E:E)</f>
        <v>#VALUE!</v>
      </c>
      <c r="R3614" s="38" t="e">
        <f>_xlfn.XLOOKUP(Tabla1[[#This Row],[Ean Normalizado]],tabla_consumos[EAN],tabla_consumos[UM])</f>
        <v>#VALUE!</v>
      </c>
      <c r="S3614" s="38" t="e">
        <f>Tabla1[[#This Row],[StockDisp]]*Tabla1[[#This Row],[UM producto]]</f>
        <v>#VALUE!</v>
      </c>
    </row>
    <row r="3615" spans="1:19" x14ac:dyDescent="0.35">
      <c r="A3615" s="5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6"/>
      <c r="P3615" s="23" t="e">
        <f>TRIM(Tabla1[[#This Row],[Articulo]])</f>
        <v>#VALUE!</v>
      </c>
      <c r="Q3615" s="23" t="e">
        <f>_xlfn.XLOOKUP(Tabla1[[#This Row],[Ean Normalizado]],Consumos!A:A,Consumos!E:E)</f>
        <v>#VALUE!</v>
      </c>
      <c r="R3615" s="38" t="e">
        <f>_xlfn.XLOOKUP(Tabla1[[#This Row],[Ean Normalizado]],tabla_consumos[EAN],tabla_consumos[UM])</f>
        <v>#VALUE!</v>
      </c>
      <c r="S3615" s="38" t="e">
        <f>Tabla1[[#This Row],[StockDisp]]*Tabla1[[#This Row],[UM producto]]</f>
        <v>#VALUE!</v>
      </c>
    </row>
    <row r="3616" spans="1:19" x14ac:dyDescent="0.35">
      <c r="A3616" s="5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6"/>
      <c r="P3616" s="23" t="e">
        <f>TRIM(Tabla1[[#This Row],[Articulo]])</f>
        <v>#VALUE!</v>
      </c>
      <c r="Q3616" s="23" t="e">
        <f>_xlfn.XLOOKUP(Tabla1[[#This Row],[Ean Normalizado]],Consumos!A:A,Consumos!E:E)</f>
        <v>#VALUE!</v>
      </c>
      <c r="R3616" s="38" t="e">
        <f>_xlfn.XLOOKUP(Tabla1[[#This Row],[Ean Normalizado]],tabla_consumos[EAN],tabla_consumos[UM])</f>
        <v>#VALUE!</v>
      </c>
      <c r="S3616" s="38" t="e">
        <f>Tabla1[[#This Row],[StockDisp]]*Tabla1[[#This Row],[UM producto]]</f>
        <v>#VALUE!</v>
      </c>
    </row>
    <row r="3617" spans="1:19" x14ac:dyDescent="0.35">
      <c r="A3617" s="5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6"/>
      <c r="P3617" s="23" t="e">
        <f>TRIM(Tabla1[[#This Row],[Articulo]])</f>
        <v>#VALUE!</v>
      </c>
      <c r="Q3617" s="23" t="e">
        <f>_xlfn.XLOOKUP(Tabla1[[#This Row],[Ean Normalizado]],Consumos!A:A,Consumos!E:E)</f>
        <v>#VALUE!</v>
      </c>
      <c r="R3617" s="38" t="e">
        <f>_xlfn.XLOOKUP(Tabla1[[#This Row],[Ean Normalizado]],tabla_consumos[EAN],tabla_consumos[UM])</f>
        <v>#VALUE!</v>
      </c>
      <c r="S3617" s="38" t="e">
        <f>Tabla1[[#This Row],[StockDisp]]*Tabla1[[#This Row],[UM producto]]</f>
        <v>#VALUE!</v>
      </c>
    </row>
    <row r="3618" spans="1:19" x14ac:dyDescent="0.35">
      <c r="A3618" s="5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6"/>
      <c r="P3618" s="23" t="e">
        <f>TRIM(Tabla1[[#This Row],[Articulo]])</f>
        <v>#VALUE!</v>
      </c>
      <c r="Q3618" s="23" t="e">
        <f>_xlfn.XLOOKUP(Tabla1[[#This Row],[Ean Normalizado]],Consumos!A:A,Consumos!E:E)</f>
        <v>#VALUE!</v>
      </c>
      <c r="R3618" s="38" t="e">
        <f>_xlfn.XLOOKUP(Tabla1[[#This Row],[Ean Normalizado]],tabla_consumos[EAN],tabla_consumos[UM])</f>
        <v>#VALUE!</v>
      </c>
      <c r="S3618" s="38" t="e">
        <f>Tabla1[[#This Row],[StockDisp]]*Tabla1[[#This Row],[UM producto]]</f>
        <v>#VALUE!</v>
      </c>
    </row>
    <row r="3619" spans="1:19" x14ac:dyDescent="0.35">
      <c r="A3619" s="5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6"/>
      <c r="P3619" s="23" t="e">
        <f>TRIM(Tabla1[[#This Row],[Articulo]])</f>
        <v>#VALUE!</v>
      </c>
      <c r="Q3619" s="23" t="e">
        <f>_xlfn.XLOOKUP(Tabla1[[#This Row],[Ean Normalizado]],Consumos!A:A,Consumos!E:E)</f>
        <v>#VALUE!</v>
      </c>
      <c r="R3619" s="38" t="e">
        <f>_xlfn.XLOOKUP(Tabla1[[#This Row],[Ean Normalizado]],tabla_consumos[EAN],tabla_consumos[UM])</f>
        <v>#VALUE!</v>
      </c>
      <c r="S3619" s="38" t="e">
        <f>Tabla1[[#This Row],[StockDisp]]*Tabla1[[#This Row],[UM producto]]</f>
        <v>#VALUE!</v>
      </c>
    </row>
    <row r="3620" spans="1:19" x14ac:dyDescent="0.35">
      <c r="A3620" s="5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6"/>
      <c r="P3620" s="23" t="e">
        <f>TRIM(Tabla1[[#This Row],[Articulo]])</f>
        <v>#VALUE!</v>
      </c>
      <c r="Q3620" s="23" t="e">
        <f>_xlfn.XLOOKUP(Tabla1[[#This Row],[Ean Normalizado]],Consumos!A:A,Consumos!E:E)</f>
        <v>#VALUE!</v>
      </c>
      <c r="R3620" s="38" t="e">
        <f>_xlfn.XLOOKUP(Tabla1[[#This Row],[Ean Normalizado]],tabla_consumos[EAN],tabla_consumos[UM])</f>
        <v>#VALUE!</v>
      </c>
      <c r="S3620" s="38" t="e">
        <f>Tabla1[[#This Row],[StockDisp]]*Tabla1[[#This Row],[UM producto]]</f>
        <v>#VALUE!</v>
      </c>
    </row>
    <row r="3621" spans="1:19" x14ac:dyDescent="0.35">
      <c r="A3621" s="5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6"/>
      <c r="P3621" s="23" t="e">
        <f>TRIM(Tabla1[[#This Row],[Articulo]])</f>
        <v>#VALUE!</v>
      </c>
      <c r="Q3621" s="23" t="e">
        <f>_xlfn.XLOOKUP(Tabla1[[#This Row],[Ean Normalizado]],Consumos!A:A,Consumos!E:E)</f>
        <v>#VALUE!</v>
      </c>
      <c r="R3621" s="38" t="e">
        <f>_xlfn.XLOOKUP(Tabla1[[#This Row],[Ean Normalizado]],tabla_consumos[EAN],tabla_consumos[UM])</f>
        <v>#VALUE!</v>
      </c>
      <c r="S3621" s="38" t="e">
        <f>Tabla1[[#This Row],[StockDisp]]*Tabla1[[#This Row],[UM producto]]</f>
        <v>#VALUE!</v>
      </c>
    </row>
    <row r="3622" spans="1:19" x14ac:dyDescent="0.35">
      <c r="A3622" s="5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6"/>
      <c r="P3622" s="23" t="e">
        <f>TRIM(Tabla1[[#This Row],[Articulo]])</f>
        <v>#VALUE!</v>
      </c>
      <c r="Q3622" s="23" t="e">
        <f>_xlfn.XLOOKUP(Tabla1[[#This Row],[Ean Normalizado]],Consumos!A:A,Consumos!E:E)</f>
        <v>#VALUE!</v>
      </c>
      <c r="R3622" s="38" t="e">
        <f>_xlfn.XLOOKUP(Tabla1[[#This Row],[Ean Normalizado]],tabla_consumos[EAN],tabla_consumos[UM])</f>
        <v>#VALUE!</v>
      </c>
      <c r="S3622" s="38" t="e">
        <f>Tabla1[[#This Row],[StockDisp]]*Tabla1[[#This Row],[UM producto]]</f>
        <v>#VALUE!</v>
      </c>
    </row>
    <row r="3623" spans="1:19" x14ac:dyDescent="0.35">
      <c r="A3623" s="5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6"/>
      <c r="P3623" s="23" t="e">
        <f>TRIM(Tabla1[[#This Row],[Articulo]])</f>
        <v>#VALUE!</v>
      </c>
      <c r="Q3623" s="23" t="e">
        <f>_xlfn.XLOOKUP(Tabla1[[#This Row],[Ean Normalizado]],Consumos!A:A,Consumos!E:E)</f>
        <v>#VALUE!</v>
      </c>
      <c r="R3623" s="38" t="e">
        <f>_xlfn.XLOOKUP(Tabla1[[#This Row],[Ean Normalizado]],tabla_consumos[EAN],tabla_consumos[UM])</f>
        <v>#VALUE!</v>
      </c>
      <c r="S3623" s="38" t="e">
        <f>Tabla1[[#This Row],[StockDisp]]*Tabla1[[#This Row],[UM producto]]</f>
        <v>#VALUE!</v>
      </c>
    </row>
    <row r="3624" spans="1:19" x14ac:dyDescent="0.35">
      <c r="A3624" s="5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6"/>
      <c r="P3624" s="23" t="e">
        <f>TRIM(Tabla1[[#This Row],[Articulo]])</f>
        <v>#VALUE!</v>
      </c>
      <c r="Q3624" s="23" t="e">
        <f>_xlfn.XLOOKUP(Tabla1[[#This Row],[Ean Normalizado]],Consumos!A:A,Consumos!E:E)</f>
        <v>#VALUE!</v>
      </c>
      <c r="R3624" s="38" t="e">
        <f>_xlfn.XLOOKUP(Tabla1[[#This Row],[Ean Normalizado]],tabla_consumos[EAN],tabla_consumos[UM])</f>
        <v>#VALUE!</v>
      </c>
      <c r="S3624" s="38" t="e">
        <f>Tabla1[[#This Row],[StockDisp]]*Tabla1[[#This Row],[UM producto]]</f>
        <v>#VALUE!</v>
      </c>
    </row>
    <row r="3625" spans="1:19" x14ac:dyDescent="0.35">
      <c r="A3625" s="5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6"/>
      <c r="P3625" s="23" t="e">
        <f>TRIM(Tabla1[[#This Row],[Articulo]])</f>
        <v>#VALUE!</v>
      </c>
      <c r="Q3625" s="23" t="e">
        <f>_xlfn.XLOOKUP(Tabla1[[#This Row],[Ean Normalizado]],Consumos!A:A,Consumos!E:E)</f>
        <v>#VALUE!</v>
      </c>
      <c r="R3625" s="38" t="e">
        <f>_xlfn.XLOOKUP(Tabla1[[#This Row],[Ean Normalizado]],tabla_consumos[EAN],tabla_consumos[UM])</f>
        <v>#VALUE!</v>
      </c>
      <c r="S3625" s="38" t="e">
        <f>Tabla1[[#This Row],[StockDisp]]*Tabla1[[#This Row],[UM producto]]</f>
        <v>#VALUE!</v>
      </c>
    </row>
    <row r="3626" spans="1:19" x14ac:dyDescent="0.35">
      <c r="A3626" s="5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6"/>
      <c r="P3626" s="23" t="e">
        <f>TRIM(Tabla1[[#This Row],[Articulo]])</f>
        <v>#VALUE!</v>
      </c>
      <c r="Q3626" s="23" t="e">
        <f>_xlfn.XLOOKUP(Tabla1[[#This Row],[Ean Normalizado]],Consumos!A:A,Consumos!E:E)</f>
        <v>#VALUE!</v>
      </c>
      <c r="R3626" s="38" t="e">
        <f>_xlfn.XLOOKUP(Tabla1[[#This Row],[Ean Normalizado]],tabla_consumos[EAN],tabla_consumos[UM])</f>
        <v>#VALUE!</v>
      </c>
      <c r="S3626" s="38" t="e">
        <f>Tabla1[[#This Row],[StockDisp]]*Tabla1[[#This Row],[UM producto]]</f>
        <v>#VALUE!</v>
      </c>
    </row>
    <row r="3627" spans="1:19" x14ac:dyDescent="0.35">
      <c r="A3627" s="5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6"/>
      <c r="P3627" s="23" t="e">
        <f>TRIM(Tabla1[[#This Row],[Articulo]])</f>
        <v>#VALUE!</v>
      </c>
      <c r="Q3627" s="23" t="e">
        <f>_xlfn.XLOOKUP(Tabla1[[#This Row],[Ean Normalizado]],Consumos!A:A,Consumos!E:E)</f>
        <v>#VALUE!</v>
      </c>
      <c r="R3627" s="38" t="e">
        <f>_xlfn.XLOOKUP(Tabla1[[#This Row],[Ean Normalizado]],tabla_consumos[EAN],tabla_consumos[UM])</f>
        <v>#VALUE!</v>
      </c>
      <c r="S3627" s="38" t="e">
        <f>Tabla1[[#This Row],[StockDisp]]*Tabla1[[#This Row],[UM producto]]</f>
        <v>#VALUE!</v>
      </c>
    </row>
    <row r="3628" spans="1:19" x14ac:dyDescent="0.35">
      <c r="A3628" s="5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6"/>
      <c r="P3628" s="23" t="e">
        <f>TRIM(Tabla1[[#This Row],[Articulo]])</f>
        <v>#VALUE!</v>
      </c>
      <c r="Q3628" s="23" t="e">
        <f>_xlfn.XLOOKUP(Tabla1[[#This Row],[Ean Normalizado]],Consumos!A:A,Consumos!E:E)</f>
        <v>#VALUE!</v>
      </c>
      <c r="R3628" s="38" t="e">
        <f>_xlfn.XLOOKUP(Tabla1[[#This Row],[Ean Normalizado]],tabla_consumos[EAN],tabla_consumos[UM])</f>
        <v>#VALUE!</v>
      </c>
      <c r="S3628" s="38" t="e">
        <f>Tabla1[[#This Row],[StockDisp]]*Tabla1[[#This Row],[UM producto]]</f>
        <v>#VALUE!</v>
      </c>
    </row>
    <row r="3629" spans="1:19" x14ac:dyDescent="0.35">
      <c r="A3629" s="5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6"/>
      <c r="P3629" s="23" t="e">
        <f>TRIM(Tabla1[[#This Row],[Articulo]])</f>
        <v>#VALUE!</v>
      </c>
      <c r="Q3629" s="23" t="e">
        <f>_xlfn.XLOOKUP(Tabla1[[#This Row],[Ean Normalizado]],Consumos!A:A,Consumos!E:E)</f>
        <v>#VALUE!</v>
      </c>
      <c r="R3629" s="38" t="e">
        <f>_xlfn.XLOOKUP(Tabla1[[#This Row],[Ean Normalizado]],tabla_consumos[EAN],tabla_consumos[UM])</f>
        <v>#VALUE!</v>
      </c>
      <c r="S3629" s="38" t="e">
        <f>Tabla1[[#This Row],[StockDisp]]*Tabla1[[#This Row],[UM producto]]</f>
        <v>#VALUE!</v>
      </c>
    </row>
    <row r="3630" spans="1:19" x14ac:dyDescent="0.35">
      <c r="A3630" s="5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6"/>
      <c r="P3630" s="23" t="e">
        <f>TRIM(Tabla1[[#This Row],[Articulo]])</f>
        <v>#VALUE!</v>
      </c>
      <c r="Q3630" s="23" t="e">
        <f>_xlfn.XLOOKUP(Tabla1[[#This Row],[Ean Normalizado]],Consumos!A:A,Consumos!E:E)</f>
        <v>#VALUE!</v>
      </c>
      <c r="R3630" s="38" t="e">
        <f>_xlfn.XLOOKUP(Tabla1[[#This Row],[Ean Normalizado]],tabla_consumos[EAN],tabla_consumos[UM])</f>
        <v>#VALUE!</v>
      </c>
      <c r="S3630" s="38" t="e">
        <f>Tabla1[[#This Row],[StockDisp]]*Tabla1[[#This Row],[UM producto]]</f>
        <v>#VALUE!</v>
      </c>
    </row>
    <row r="3631" spans="1:19" x14ac:dyDescent="0.35">
      <c r="A3631" s="5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6"/>
      <c r="P3631" s="23" t="e">
        <f>TRIM(Tabla1[[#This Row],[Articulo]])</f>
        <v>#VALUE!</v>
      </c>
      <c r="Q3631" s="23" t="e">
        <f>_xlfn.XLOOKUP(Tabla1[[#This Row],[Ean Normalizado]],Consumos!A:A,Consumos!E:E)</f>
        <v>#VALUE!</v>
      </c>
      <c r="R3631" s="38" t="e">
        <f>_xlfn.XLOOKUP(Tabla1[[#This Row],[Ean Normalizado]],tabla_consumos[EAN],tabla_consumos[UM])</f>
        <v>#VALUE!</v>
      </c>
      <c r="S3631" s="38" t="e">
        <f>Tabla1[[#This Row],[StockDisp]]*Tabla1[[#This Row],[UM producto]]</f>
        <v>#VALUE!</v>
      </c>
    </row>
    <row r="3632" spans="1:19" x14ac:dyDescent="0.35">
      <c r="A3632" s="5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6"/>
      <c r="P3632" s="23" t="e">
        <f>TRIM(Tabla1[[#This Row],[Articulo]])</f>
        <v>#VALUE!</v>
      </c>
      <c r="Q3632" s="23" t="e">
        <f>_xlfn.XLOOKUP(Tabla1[[#This Row],[Ean Normalizado]],Consumos!A:A,Consumos!E:E)</f>
        <v>#VALUE!</v>
      </c>
      <c r="R3632" s="38" t="e">
        <f>_xlfn.XLOOKUP(Tabla1[[#This Row],[Ean Normalizado]],tabla_consumos[EAN],tabla_consumos[UM])</f>
        <v>#VALUE!</v>
      </c>
      <c r="S3632" s="38" t="e">
        <f>Tabla1[[#This Row],[StockDisp]]*Tabla1[[#This Row],[UM producto]]</f>
        <v>#VALUE!</v>
      </c>
    </row>
    <row r="3633" spans="1:19" x14ac:dyDescent="0.35">
      <c r="A3633" s="5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6"/>
      <c r="P3633" s="23" t="e">
        <f>TRIM(Tabla1[[#This Row],[Articulo]])</f>
        <v>#VALUE!</v>
      </c>
      <c r="Q3633" s="23" t="e">
        <f>_xlfn.XLOOKUP(Tabla1[[#This Row],[Ean Normalizado]],Consumos!A:A,Consumos!E:E)</f>
        <v>#VALUE!</v>
      </c>
      <c r="R3633" s="38" t="e">
        <f>_xlfn.XLOOKUP(Tabla1[[#This Row],[Ean Normalizado]],tabla_consumos[EAN],tabla_consumos[UM])</f>
        <v>#VALUE!</v>
      </c>
      <c r="S3633" s="38" t="e">
        <f>Tabla1[[#This Row],[StockDisp]]*Tabla1[[#This Row],[UM producto]]</f>
        <v>#VALUE!</v>
      </c>
    </row>
    <row r="3634" spans="1:19" x14ac:dyDescent="0.35">
      <c r="A3634" s="5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6"/>
      <c r="P3634" s="23" t="e">
        <f>TRIM(Tabla1[[#This Row],[Articulo]])</f>
        <v>#VALUE!</v>
      </c>
      <c r="Q3634" s="23" t="e">
        <f>_xlfn.XLOOKUP(Tabla1[[#This Row],[Ean Normalizado]],Consumos!A:A,Consumos!E:E)</f>
        <v>#VALUE!</v>
      </c>
      <c r="R3634" s="38" t="e">
        <f>_xlfn.XLOOKUP(Tabla1[[#This Row],[Ean Normalizado]],tabla_consumos[EAN],tabla_consumos[UM])</f>
        <v>#VALUE!</v>
      </c>
      <c r="S3634" s="38" t="e">
        <f>Tabla1[[#This Row],[StockDisp]]*Tabla1[[#This Row],[UM producto]]</f>
        <v>#VALUE!</v>
      </c>
    </row>
    <row r="3635" spans="1:19" x14ac:dyDescent="0.35">
      <c r="A3635" s="5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6"/>
      <c r="P3635" s="23" t="e">
        <f>TRIM(Tabla1[[#This Row],[Articulo]])</f>
        <v>#VALUE!</v>
      </c>
      <c r="Q3635" s="23" t="e">
        <f>_xlfn.XLOOKUP(Tabla1[[#This Row],[Ean Normalizado]],Consumos!A:A,Consumos!E:E)</f>
        <v>#VALUE!</v>
      </c>
      <c r="R3635" s="38" t="e">
        <f>_xlfn.XLOOKUP(Tabla1[[#This Row],[Ean Normalizado]],tabla_consumos[EAN],tabla_consumos[UM])</f>
        <v>#VALUE!</v>
      </c>
      <c r="S3635" s="38" t="e">
        <f>Tabla1[[#This Row],[StockDisp]]*Tabla1[[#This Row],[UM producto]]</f>
        <v>#VALUE!</v>
      </c>
    </row>
    <row r="3636" spans="1:19" x14ac:dyDescent="0.35">
      <c r="A3636" s="5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6"/>
      <c r="P3636" s="23" t="e">
        <f>TRIM(Tabla1[[#This Row],[Articulo]])</f>
        <v>#VALUE!</v>
      </c>
      <c r="Q3636" s="23" t="e">
        <f>_xlfn.XLOOKUP(Tabla1[[#This Row],[Ean Normalizado]],Consumos!A:A,Consumos!E:E)</f>
        <v>#VALUE!</v>
      </c>
      <c r="R3636" s="38" t="e">
        <f>_xlfn.XLOOKUP(Tabla1[[#This Row],[Ean Normalizado]],tabla_consumos[EAN],tabla_consumos[UM])</f>
        <v>#VALUE!</v>
      </c>
      <c r="S3636" s="38" t="e">
        <f>Tabla1[[#This Row],[StockDisp]]*Tabla1[[#This Row],[UM producto]]</f>
        <v>#VALUE!</v>
      </c>
    </row>
    <row r="3637" spans="1:19" x14ac:dyDescent="0.35">
      <c r="A3637" s="5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6"/>
      <c r="P3637" s="23" t="e">
        <f>TRIM(Tabla1[[#This Row],[Articulo]])</f>
        <v>#VALUE!</v>
      </c>
      <c r="Q3637" s="23" t="e">
        <f>_xlfn.XLOOKUP(Tabla1[[#This Row],[Ean Normalizado]],Consumos!A:A,Consumos!E:E)</f>
        <v>#VALUE!</v>
      </c>
      <c r="R3637" s="38" t="e">
        <f>_xlfn.XLOOKUP(Tabla1[[#This Row],[Ean Normalizado]],tabla_consumos[EAN],tabla_consumos[UM])</f>
        <v>#VALUE!</v>
      </c>
      <c r="S3637" s="38" t="e">
        <f>Tabla1[[#This Row],[StockDisp]]*Tabla1[[#This Row],[UM producto]]</f>
        <v>#VALUE!</v>
      </c>
    </row>
    <row r="3638" spans="1:19" x14ac:dyDescent="0.35">
      <c r="A3638" s="5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6"/>
      <c r="P3638" s="23" t="e">
        <f>TRIM(Tabla1[[#This Row],[Articulo]])</f>
        <v>#VALUE!</v>
      </c>
      <c r="Q3638" s="23" t="e">
        <f>_xlfn.XLOOKUP(Tabla1[[#This Row],[Ean Normalizado]],Consumos!A:A,Consumos!E:E)</f>
        <v>#VALUE!</v>
      </c>
      <c r="R3638" s="38" t="e">
        <f>_xlfn.XLOOKUP(Tabla1[[#This Row],[Ean Normalizado]],tabla_consumos[EAN],tabla_consumos[UM])</f>
        <v>#VALUE!</v>
      </c>
      <c r="S3638" s="38" t="e">
        <f>Tabla1[[#This Row],[StockDisp]]*Tabla1[[#This Row],[UM producto]]</f>
        <v>#VALUE!</v>
      </c>
    </row>
    <row r="3639" spans="1:19" x14ac:dyDescent="0.35">
      <c r="A3639" s="5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6"/>
      <c r="P3639" s="23" t="e">
        <f>TRIM(Tabla1[[#This Row],[Articulo]])</f>
        <v>#VALUE!</v>
      </c>
      <c r="Q3639" s="23" t="e">
        <f>_xlfn.XLOOKUP(Tabla1[[#This Row],[Ean Normalizado]],Consumos!A:A,Consumos!E:E)</f>
        <v>#VALUE!</v>
      </c>
      <c r="R3639" s="38" t="e">
        <f>_xlfn.XLOOKUP(Tabla1[[#This Row],[Ean Normalizado]],tabla_consumos[EAN],tabla_consumos[UM])</f>
        <v>#VALUE!</v>
      </c>
      <c r="S3639" s="38" t="e">
        <f>Tabla1[[#This Row],[StockDisp]]*Tabla1[[#This Row],[UM producto]]</f>
        <v>#VALUE!</v>
      </c>
    </row>
    <row r="3640" spans="1:19" x14ac:dyDescent="0.35">
      <c r="A3640" s="5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6"/>
      <c r="P3640" s="23" t="e">
        <f>TRIM(Tabla1[[#This Row],[Articulo]])</f>
        <v>#VALUE!</v>
      </c>
      <c r="Q3640" s="23" t="e">
        <f>_xlfn.XLOOKUP(Tabla1[[#This Row],[Ean Normalizado]],Consumos!A:A,Consumos!E:E)</f>
        <v>#VALUE!</v>
      </c>
      <c r="R3640" s="38" t="e">
        <f>_xlfn.XLOOKUP(Tabla1[[#This Row],[Ean Normalizado]],tabla_consumos[EAN],tabla_consumos[UM])</f>
        <v>#VALUE!</v>
      </c>
      <c r="S3640" s="38" t="e">
        <f>Tabla1[[#This Row],[StockDisp]]*Tabla1[[#This Row],[UM producto]]</f>
        <v>#VALUE!</v>
      </c>
    </row>
    <row r="3641" spans="1:19" x14ac:dyDescent="0.35">
      <c r="A3641" s="5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6"/>
      <c r="P3641" s="23" t="e">
        <f>TRIM(Tabla1[[#This Row],[Articulo]])</f>
        <v>#VALUE!</v>
      </c>
      <c r="Q3641" s="23" t="e">
        <f>_xlfn.XLOOKUP(Tabla1[[#This Row],[Ean Normalizado]],Consumos!A:A,Consumos!E:E)</f>
        <v>#VALUE!</v>
      </c>
      <c r="R3641" s="38" t="e">
        <f>_xlfn.XLOOKUP(Tabla1[[#This Row],[Ean Normalizado]],tabla_consumos[EAN],tabla_consumos[UM])</f>
        <v>#VALUE!</v>
      </c>
      <c r="S3641" s="38" t="e">
        <f>Tabla1[[#This Row],[StockDisp]]*Tabla1[[#This Row],[UM producto]]</f>
        <v>#VALUE!</v>
      </c>
    </row>
    <row r="3642" spans="1:19" x14ac:dyDescent="0.35">
      <c r="A3642" s="5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6"/>
      <c r="P3642" s="23" t="e">
        <f>TRIM(Tabla1[[#This Row],[Articulo]])</f>
        <v>#VALUE!</v>
      </c>
      <c r="Q3642" s="23" t="e">
        <f>_xlfn.XLOOKUP(Tabla1[[#This Row],[Ean Normalizado]],Consumos!A:A,Consumos!E:E)</f>
        <v>#VALUE!</v>
      </c>
      <c r="R3642" s="38" t="e">
        <f>_xlfn.XLOOKUP(Tabla1[[#This Row],[Ean Normalizado]],tabla_consumos[EAN],tabla_consumos[UM])</f>
        <v>#VALUE!</v>
      </c>
      <c r="S3642" s="38" t="e">
        <f>Tabla1[[#This Row],[StockDisp]]*Tabla1[[#This Row],[UM producto]]</f>
        <v>#VALUE!</v>
      </c>
    </row>
    <row r="3643" spans="1:19" x14ac:dyDescent="0.35">
      <c r="A3643" s="5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6"/>
      <c r="P3643" s="23" t="e">
        <f>TRIM(Tabla1[[#This Row],[Articulo]])</f>
        <v>#VALUE!</v>
      </c>
      <c r="Q3643" s="23" t="e">
        <f>_xlfn.XLOOKUP(Tabla1[[#This Row],[Ean Normalizado]],Consumos!A:A,Consumos!E:E)</f>
        <v>#VALUE!</v>
      </c>
      <c r="R3643" s="38" t="e">
        <f>_xlfn.XLOOKUP(Tabla1[[#This Row],[Ean Normalizado]],tabla_consumos[EAN],tabla_consumos[UM])</f>
        <v>#VALUE!</v>
      </c>
      <c r="S3643" s="38" t="e">
        <f>Tabla1[[#This Row],[StockDisp]]*Tabla1[[#This Row],[UM producto]]</f>
        <v>#VALUE!</v>
      </c>
    </row>
    <row r="3644" spans="1:19" x14ac:dyDescent="0.35">
      <c r="A3644" s="5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6"/>
      <c r="P3644" s="23" t="e">
        <f>TRIM(Tabla1[[#This Row],[Articulo]])</f>
        <v>#VALUE!</v>
      </c>
      <c r="Q3644" s="23" t="e">
        <f>_xlfn.XLOOKUP(Tabla1[[#This Row],[Ean Normalizado]],Consumos!A:A,Consumos!E:E)</f>
        <v>#VALUE!</v>
      </c>
      <c r="R3644" s="38" t="e">
        <f>_xlfn.XLOOKUP(Tabla1[[#This Row],[Ean Normalizado]],tabla_consumos[EAN],tabla_consumos[UM])</f>
        <v>#VALUE!</v>
      </c>
      <c r="S3644" s="38" t="e">
        <f>Tabla1[[#This Row],[StockDisp]]*Tabla1[[#This Row],[UM producto]]</f>
        <v>#VALUE!</v>
      </c>
    </row>
    <row r="3645" spans="1:19" x14ac:dyDescent="0.35">
      <c r="A3645" s="5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6"/>
      <c r="P3645" s="23" t="e">
        <f>TRIM(Tabla1[[#This Row],[Articulo]])</f>
        <v>#VALUE!</v>
      </c>
      <c r="Q3645" s="23" t="e">
        <f>_xlfn.XLOOKUP(Tabla1[[#This Row],[Ean Normalizado]],Consumos!A:A,Consumos!E:E)</f>
        <v>#VALUE!</v>
      </c>
      <c r="R3645" s="38" t="e">
        <f>_xlfn.XLOOKUP(Tabla1[[#This Row],[Ean Normalizado]],tabla_consumos[EAN],tabla_consumos[UM])</f>
        <v>#VALUE!</v>
      </c>
      <c r="S3645" s="38" t="e">
        <f>Tabla1[[#This Row],[StockDisp]]*Tabla1[[#This Row],[UM producto]]</f>
        <v>#VALUE!</v>
      </c>
    </row>
    <row r="3646" spans="1:19" x14ac:dyDescent="0.35">
      <c r="A3646" s="5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6"/>
      <c r="P3646" s="23" t="e">
        <f>TRIM(Tabla1[[#This Row],[Articulo]])</f>
        <v>#VALUE!</v>
      </c>
      <c r="Q3646" s="23" t="e">
        <f>_xlfn.XLOOKUP(Tabla1[[#This Row],[Ean Normalizado]],Consumos!A:A,Consumos!E:E)</f>
        <v>#VALUE!</v>
      </c>
      <c r="R3646" s="38" t="e">
        <f>_xlfn.XLOOKUP(Tabla1[[#This Row],[Ean Normalizado]],tabla_consumos[EAN],tabla_consumos[UM])</f>
        <v>#VALUE!</v>
      </c>
      <c r="S3646" s="38" t="e">
        <f>Tabla1[[#This Row],[StockDisp]]*Tabla1[[#This Row],[UM producto]]</f>
        <v>#VALUE!</v>
      </c>
    </row>
    <row r="3647" spans="1:19" x14ac:dyDescent="0.35">
      <c r="A3647" s="5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6"/>
      <c r="P3647" s="23" t="e">
        <f>TRIM(Tabla1[[#This Row],[Articulo]])</f>
        <v>#VALUE!</v>
      </c>
      <c r="Q3647" s="23" t="e">
        <f>_xlfn.XLOOKUP(Tabla1[[#This Row],[Ean Normalizado]],Consumos!A:A,Consumos!E:E)</f>
        <v>#VALUE!</v>
      </c>
      <c r="R3647" s="38" t="e">
        <f>_xlfn.XLOOKUP(Tabla1[[#This Row],[Ean Normalizado]],tabla_consumos[EAN],tabla_consumos[UM])</f>
        <v>#VALUE!</v>
      </c>
      <c r="S3647" s="38" t="e">
        <f>Tabla1[[#This Row],[StockDisp]]*Tabla1[[#This Row],[UM producto]]</f>
        <v>#VALUE!</v>
      </c>
    </row>
    <row r="3648" spans="1:19" x14ac:dyDescent="0.35">
      <c r="A3648" s="5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6"/>
      <c r="P3648" s="23" t="e">
        <f>TRIM(Tabla1[[#This Row],[Articulo]])</f>
        <v>#VALUE!</v>
      </c>
      <c r="Q3648" s="23" t="e">
        <f>_xlfn.XLOOKUP(Tabla1[[#This Row],[Ean Normalizado]],Consumos!A:A,Consumos!E:E)</f>
        <v>#VALUE!</v>
      </c>
      <c r="R3648" s="38" t="e">
        <f>_xlfn.XLOOKUP(Tabla1[[#This Row],[Ean Normalizado]],tabla_consumos[EAN],tabla_consumos[UM])</f>
        <v>#VALUE!</v>
      </c>
      <c r="S3648" s="38" t="e">
        <f>Tabla1[[#This Row],[StockDisp]]*Tabla1[[#This Row],[UM producto]]</f>
        <v>#VALUE!</v>
      </c>
    </row>
    <row r="3649" spans="1:19" x14ac:dyDescent="0.35">
      <c r="A3649" s="5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6"/>
      <c r="P3649" s="23" t="e">
        <f>TRIM(Tabla1[[#This Row],[Articulo]])</f>
        <v>#VALUE!</v>
      </c>
      <c r="Q3649" s="23" t="e">
        <f>_xlfn.XLOOKUP(Tabla1[[#This Row],[Ean Normalizado]],Consumos!A:A,Consumos!E:E)</f>
        <v>#VALUE!</v>
      </c>
      <c r="R3649" s="38" t="e">
        <f>_xlfn.XLOOKUP(Tabla1[[#This Row],[Ean Normalizado]],tabla_consumos[EAN],tabla_consumos[UM])</f>
        <v>#VALUE!</v>
      </c>
      <c r="S3649" s="38" t="e">
        <f>Tabla1[[#This Row],[StockDisp]]*Tabla1[[#This Row],[UM producto]]</f>
        <v>#VALUE!</v>
      </c>
    </row>
    <row r="3650" spans="1:19" x14ac:dyDescent="0.35">
      <c r="A3650" s="5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6"/>
      <c r="P3650" s="23" t="e">
        <f>TRIM(Tabla1[[#This Row],[Articulo]])</f>
        <v>#VALUE!</v>
      </c>
      <c r="Q3650" s="23" t="e">
        <f>_xlfn.XLOOKUP(Tabla1[[#This Row],[Ean Normalizado]],Consumos!A:A,Consumos!E:E)</f>
        <v>#VALUE!</v>
      </c>
      <c r="R3650" s="38" t="e">
        <f>_xlfn.XLOOKUP(Tabla1[[#This Row],[Ean Normalizado]],tabla_consumos[EAN],tabla_consumos[UM])</f>
        <v>#VALUE!</v>
      </c>
      <c r="S3650" s="38" t="e">
        <f>Tabla1[[#This Row],[StockDisp]]*Tabla1[[#This Row],[UM producto]]</f>
        <v>#VALUE!</v>
      </c>
    </row>
    <row r="3651" spans="1:19" x14ac:dyDescent="0.35">
      <c r="A3651" s="5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6"/>
      <c r="P3651" s="23" t="e">
        <f>TRIM(Tabla1[[#This Row],[Articulo]])</f>
        <v>#VALUE!</v>
      </c>
      <c r="Q3651" s="23" t="e">
        <f>_xlfn.XLOOKUP(Tabla1[[#This Row],[Ean Normalizado]],Consumos!A:A,Consumos!E:E)</f>
        <v>#VALUE!</v>
      </c>
      <c r="R3651" s="38" t="e">
        <f>_xlfn.XLOOKUP(Tabla1[[#This Row],[Ean Normalizado]],tabla_consumos[EAN],tabla_consumos[UM])</f>
        <v>#VALUE!</v>
      </c>
      <c r="S3651" s="38" t="e">
        <f>Tabla1[[#This Row],[StockDisp]]*Tabla1[[#This Row],[UM producto]]</f>
        <v>#VALUE!</v>
      </c>
    </row>
    <row r="3652" spans="1:19" x14ac:dyDescent="0.35">
      <c r="A3652" s="5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6"/>
      <c r="P3652" s="23" t="e">
        <f>TRIM(Tabla1[[#This Row],[Articulo]])</f>
        <v>#VALUE!</v>
      </c>
      <c r="Q3652" s="23" t="e">
        <f>_xlfn.XLOOKUP(Tabla1[[#This Row],[Ean Normalizado]],Consumos!A:A,Consumos!E:E)</f>
        <v>#VALUE!</v>
      </c>
      <c r="R3652" s="38" t="e">
        <f>_xlfn.XLOOKUP(Tabla1[[#This Row],[Ean Normalizado]],tabla_consumos[EAN],tabla_consumos[UM])</f>
        <v>#VALUE!</v>
      </c>
      <c r="S3652" s="38" t="e">
        <f>Tabla1[[#This Row],[StockDisp]]*Tabla1[[#This Row],[UM producto]]</f>
        <v>#VALUE!</v>
      </c>
    </row>
    <row r="3653" spans="1:19" x14ac:dyDescent="0.35">
      <c r="A3653" s="5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6"/>
      <c r="P3653" s="23" t="e">
        <f>TRIM(Tabla1[[#This Row],[Articulo]])</f>
        <v>#VALUE!</v>
      </c>
      <c r="Q3653" s="23" t="e">
        <f>_xlfn.XLOOKUP(Tabla1[[#This Row],[Ean Normalizado]],Consumos!A:A,Consumos!E:E)</f>
        <v>#VALUE!</v>
      </c>
      <c r="R3653" s="38" t="e">
        <f>_xlfn.XLOOKUP(Tabla1[[#This Row],[Ean Normalizado]],tabla_consumos[EAN],tabla_consumos[UM])</f>
        <v>#VALUE!</v>
      </c>
      <c r="S3653" s="38" t="e">
        <f>Tabla1[[#This Row],[StockDisp]]*Tabla1[[#This Row],[UM producto]]</f>
        <v>#VALUE!</v>
      </c>
    </row>
    <row r="3654" spans="1:19" x14ac:dyDescent="0.35">
      <c r="A3654" s="5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6"/>
      <c r="P3654" s="23" t="e">
        <f>TRIM(Tabla1[[#This Row],[Articulo]])</f>
        <v>#VALUE!</v>
      </c>
      <c r="Q3654" s="23" t="e">
        <f>_xlfn.XLOOKUP(Tabla1[[#This Row],[Ean Normalizado]],Consumos!A:A,Consumos!E:E)</f>
        <v>#VALUE!</v>
      </c>
      <c r="R3654" s="38" t="e">
        <f>_xlfn.XLOOKUP(Tabla1[[#This Row],[Ean Normalizado]],tabla_consumos[EAN],tabla_consumos[UM])</f>
        <v>#VALUE!</v>
      </c>
      <c r="S3654" s="38" t="e">
        <f>Tabla1[[#This Row],[StockDisp]]*Tabla1[[#This Row],[UM producto]]</f>
        <v>#VALUE!</v>
      </c>
    </row>
    <row r="3655" spans="1:19" x14ac:dyDescent="0.35">
      <c r="A3655" s="5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6"/>
      <c r="P3655" s="23" t="e">
        <f>TRIM(Tabla1[[#This Row],[Articulo]])</f>
        <v>#VALUE!</v>
      </c>
      <c r="Q3655" s="23" t="e">
        <f>_xlfn.XLOOKUP(Tabla1[[#This Row],[Ean Normalizado]],Consumos!A:A,Consumos!E:E)</f>
        <v>#VALUE!</v>
      </c>
      <c r="R3655" s="38" t="e">
        <f>_xlfn.XLOOKUP(Tabla1[[#This Row],[Ean Normalizado]],tabla_consumos[EAN],tabla_consumos[UM])</f>
        <v>#VALUE!</v>
      </c>
      <c r="S3655" s="38" t="e">
        <f>Tabla1[[#This Row],[StockDisp]]*Tabla1[[#This Row],[UM producto]]</f>
        <v>#VALUE!</v>
      </c>
    </row>
    <row r="3656" spans="1:19" x14ac:dyDescent="0.35">
      <c r="A3656" s="5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6"/>
      <c r="P3656" s="23" t="e">
        <f>TRIM(Tabla1[[#This Row],[Articulo]])</f>
        <v>#VALUE!</v>
      </c>
      <c r="Q3656" s="23" t="e">
        <f>_xlfn.XLOOKUP(Tabla1[[#This Row],[Ean Normalizado]],Consumos!A:A,Consumos!E:E)</f>
        <v>#VALUE!</v>
      </c>
      <c r="R3656" s="38" t="e">
        <f>_xlfn.XLOOKUP(Tabla1[[#This Row],[Ean Normalizado]],tabla_consumos[EAN],tabla_consumos[UM])</f>
        <v>#VALUE!</v>
      </c>
      <c r="S3656" s="38" t="e">
        <f>Tabla1[[#This Row],[StockDisp]]*Tabla1[[#This Row],[UM producto]]</f>
        <v>#VALUE!</v>
      </c>
    </row>
    <row r="3657" spans="1:19" x14ac:dyDescent="0.35">
      <c r="A3657" s="5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6"/>
      <c r="P3657" s="23" t="e">
        <f>TRIM(Tabla1[[#This Row],[Articulo]])</f>
        <v>#VALUE!</v>
      </c>
      <c r="Q3657" s="23" t="e">
        <f>_xlfn.XLOOKUP(Tabla1[[#This Row],[Ean Normalizado]],Consumos!A:A,Consumos!E:E)</f>
        <v>#VALUE!</v>
      </c>
      <c r="R3657" s="38" t="e">
        <f>_xlfn.XLOOKUP(Tabla1[[#This Row],[Ean Normalizado]],tabla_consumos[EAN],tabla_consumos[UM])</f>
        <v>#VALUE!</v>
      </c>
      <c r="S3657" s="38" t="e">
        <f>Tabla1[[#This Row],[StockDisp]]*Tabla1[[#This Row],[UM producto]]</f>
        <v>#VALUE!</v>
      </c>
    </row>
    <row r="3658" spans="1:19" x14ac:dyDescent="0.35">
      <c r="A3658" s="5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6"/>
      <c r="P3658" s="23" t="e">
        <f>TRIM(Tabla1[[#This Row],[Articulo]])</f>
        <v>#VALUE!</v>
      </c>
      <c r="Q3658" s="23" t="e">
        <f>_xlfn.XLOOKUP(Tabla1[[#This Row],[Ean Normalizado]],Consumos!A:A,Consumos!E:E)</f>
        <v>#VALUE!</v>
      </c>
      <c r="R3658" s="38" t="e">
        <f>_xlfn.XLOOKUP(Tabla1[[#This Row],[Ean Normalizado]],tabla_consumos[EAN],tabla_consumos[UM])</f>
        <v>#VALUE!</v>
      </c>
      <c r="S3658" s="38" t="e">
        <f>Tabla1[[#This Row],[StockDisp]]*Tabla1[[#This Row],[UM producto]]</f>
        <v>#VALUE!</v>
      </c>
    </row>
    <row r="3659" spans="1:19" x14ac:dyDescent="0.35">
      <c r="A3659" s="5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6"/>
      <c r="P3659" s="23" t="e">
        <f>TRIM(Tabla1[[#This Row],[Articulo]])</f>
        <v>#VALUE!</v>
      </c>
      <c r="Q3659" s="23" t="e">
        <f>_xlfn.XLOOKUP(Tabla1[[#This Row],[Ean Normalizado]],Consumos!A:A,Consumos!E:E)</f>
        <v>#VALUE!</v>
      </c>
      <c r="R3659" s="38" t="e">
        <f>_xlfn.XLOOKUP(Tabla1[[#This Row],[Ean Normalizado]],tabla_consumos[EAN],tabla_consumos[UM])</f>
        <v>#VALUE!</v>
      </c>
      <c r="S3659" s="38" t="e">
        <f>Tabla1[[#This Row],[StockDisp]]*Tabla1[[#This Row],[UM producto]]</f>
        <v>#VALUE!</v>
      </c>
    </row>
    <row r="3660" spans="1:19" x14ac:dyDescent="0.35">
      <c r="A3660" s="5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6"/>
      <c r="P3660" s="23" t="e">
        <f>TRIM(Tabla1[[#This Row],[Articulo]])</f>
        <v>#VALUE!</v>
      </c>
      <c r="Q3660" s="23" t="e">
        <f>_xlfn.XLOOKUP(Tabla1[[#This Row],[Ean Normalizado]],Consumos!A:A,Consumos!E:E)</f>
        <v>#VALUE!</v>
      </c>
      <c r="R3660" s="38" t="e">
        <f>_xlfn.XLOOKUP(Tabla1[[#This Row],[Ean Normalizado]],tabla_consumos[EAN],tabla_consumos[UM])</f>
        <v>#VALUE!</v>
      </c>
      <c r="S3660" s="38" t="e">
        <f>Tabla1[[#This Row],[StockDisp]]*Tabla1[[#This Row],[UM producto]]</f>
        <v>#VALUE!</v>
      </c>
    </row>
    <row r="3661" spans="1:19" x14ac:dyDescent="0.35">
      <c r="A3661" s="5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6"/>
      <c r="P3661" s="23" t="e">
        <f>TRIM(Tabla1[[#This Row],[Articulo]])</f>
        <v>#VALUE!</v>
      </c>
      <c r="Q3661" s="23" t="e">
        <f>_xlfn.XLOOKUP(Tabla1[[#This Row],[Ean Normalizado]],Consumos!A:A,Consumos!E:E)</f>
        <v>#VALUE!</v>
      </c>
      <c r="R3661" s="38" t="e">
        <f>_xlfn.XLOOKUP(Tabla1[[#This Row],[Ean Normalizado]],tabla_consumos[EAN],tabla_consumos[UM])</f>
        <v>#VALUE!</v>
      </c>
      <c r="S3661" s="38" t="e">
        <f>Tabla1[[#This Row],[StockDisp]]*Tabla1[[#This Row],[UM producto]]</f>
        <v>#VALUE!</v>
      </c>
    </row>
    <row r="3662" spans="1:19" x14ac:dyDescent="0.35">
      <c r="A3662" s="5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6"/>
      <c r="P3662" s="23" t="e">
        <f>TRIM(Tabla1[[#This Row],[Articulo]])</f>
        <v>#VALUE!</v>
      </c>
      <c r="Q3662" s="23" t="e">
        <f>_xlfn.XLOOKUP(Tabla1[[#This Row],[Ean Normalizado]],Consumos!A:A,Consumos!E:E)</f>
        <v>#VALUE!</v>
      </c>
      <c r="R3662" s="38" t="e">
        <f>_xlfn.XLOOKUP(Tabla1[[#This Row],[Ean Normalizado]],tabla_consumos[EAN],tabla_consumos[UM])</f>
        <v>#VALUE!</v>
      </c>
      <c r="S3662" s="38" t="e">
        <f>Tabla1[[#This Row],[StockDisp]]*Tabla1[[#This Row],[UM producto]]</f>
        <v>#VALUE!</v>
      </c>
    </row>
    <row r="3663" spans="1:19" x14ac:dyDescent="0.35">
      <c r="A3663" s="5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6"/>
      <c r="P3663" s="23" t="e">
        <f>TRIM(Tabla1[[#This Row],[Articulo]])</f>
        <v>#VALUE!</v>
      </c>
      <c r="Q3663" s="23" t="e">
        <f>_xlfn.XLOOKUP(Tabla1[[#This Row],[Ean Normalizado]],Consumos!A:A,Consumos!E:E)</f>
        <v>#VALUE!</v>
      </c>
      <c r="R3663" s="38" t="e">
        <f>_xlfn.XLOOKUP(Tabla1[[#This Row],[Ean Normalizado]],tabla_consumos[EAN],tabla_consumos[UM])</f>
        <v>#VALUE!</v>
      </c>
      <c r="S3663" s="38" t="e">
        <f>Tabla1[[#This Row],[StockDisp]]*Tabla1[[#This Row],[UM producto]]</f>
        <v>#VALUE!</v>
      </c>
    </row>
    <row r="3664" spans="1:19" x14ac:dyDescent="0.35">
      <c r="A3664" s="5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6"/>
      <c r="P3664" s="23" t="e">
        <f>TRIM(Tabla1[[#This Row],[Articulo]])</f>
        <v>#VALUE!</v>
      </c>
      <c r="Q3664" s="23" t="e">
        <f>_xlfn.XLOOKUP(Tabla1[[#This Row],[Ean Normalizado]],Consumos!A:A,Consumos!E:E)</f>
        <v>#VALUE!</v>
      </c>
      <c r="R3664" s="38" t="e">
        <f>_xlfn.XLOOKUP(Tabla1[[#This Row],[Ean Normalizado]],tabla_consumos[EAN],tabla_consumos[UM])</f>
        <v>#VALUE!</v>
      </c>
      <c r="S3664" s="38" t="e">
        <f>Tabla1[[#This Row],[StockDisp]]*Tabla1[[#This Row],[UM producto]]</f>
        <v>#VALUE!</v>
      </c>
    </row>
    <row r="3665" spans="1:19" x14ac:dyDescent="0.35">
      <c r="A3665" s="5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6"/>
      <c r="P3665" s="23" t="e">
        <f>TRIM(Tabla1[[#This Row],[Articulo]])</f>
        <v>#VALUE!</v>
      </c>
      <c r="Q3665" s="23" t="e">
        <f>_xlfn.XLOOKUP(Tabla1[[#This Row],[Ean Normalizado]],Consumos!A:A,Consumos!E:E)</f>
        <v>#VALUE!</v>
      </c>
      <c r="R3665" s="38" t="e">
        <f>_xlfn.XLOOKUP(Tabla1[[#This Row],[Ean Normalizado]],tabla_consumos[EAN],tabla_consumos[UM])</f>
        <v>#VALUE!</v>
      </c>
      <c r="S3665" s="38" t="e">
        <f>Tabla1[[#This Row],[StockDisp]]*Tabla1[[#This Row],[UM producto]]</f>
        <v>#VALUE!</v>
      </c>
    </row>
    <row r="3666" spans="1:19" x14ac:dyDescent="0.35">
      <c r="A3666" s="5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6"/>
      <c r="P3666" s="23" t="e">
        <f>TRIM(Tabla1[[#This Row],[Articulo]])</f>
        <v>#VALUE!</v>
      </c>
      <c r="Q3666" s="23" t="e">
        <f>_xlfn.XLOOKUP(Tabla1[[#This Row],[Ean Normalizado]],Consumos!A:A,Consumos!E:E)</f>
        <v>#VALUE!</v>
      </c>
      <c r="R3666" s="38" t="e">
        <f>_xlfn.XLOOKUP(Tabla1[[#This Row],[Ean Normalizado]],tabla_consumos[EAN],tabla_consumos[UM])</f>
        <v>#VALUE!</v>
      </c>
      <c r="S3666" s="38" t="e">
        <f>Tabla1[[#This Row],[StockDisp]]*Tabla1[[#This Row],[UM producto]]</f>
        <v>#VALUE!</v>
      </c>
    </row>
    <row r="3667" spans="1:19" x14ac:dyDescent="0.35">
      <c r="A3667" s="5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6"/>
      <c r="P3667" s="23" t="e">
        <f>TRIM(Tabla1[[#This Row],[Articulo]])</f>
        <v>#VALUE!</v>
      </c>
      <c r="Q3667" s="23" t="e">
        <f>_xlfn.XLOOKUP(Tabla1[[#This Row],[Ean Normalizado]],Consumos!A:A,Consumos!E:E)</f>
        <v>#VALUE!</v>
      </c>
      <c r="R3667" s="38" t="e">
        <f>_xlfn.XLOOKUP(Tabla1[[#This Row],[Ean Normalizado]],tabla_consumos[EAN],tabla_consumos[UM])</f>
        <v>#VALUE!</v>
      </c>
      <c r="S3667" s="38" t="e">
        <f>Tabla1[[#This Row],[StockDisp]]*Tabla1[[#This Row],[UM producto]]</f>
        <v>#VALUE!</v>
      </c>
    </row>
    <row r="3668" spans="1:19" x14ac:dyDescent="0.35">
      <c r="A3668" s="5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6"/>
      <c r="P3668" s="23" t="e">
        <f>TRIM(Tabla1[[#This Row],[Articulo]])</f>
        <v>#VALUE!</v>
      </c>
      <c r="Q3668" s="23" t="e">
        <f>_xlfn.XLOOKUP(Tabla1[[#This Row],[Ean Normalizado]],Consumos!A:A,Consumos!E:E)</f>
        <v>#VALUE!</v>
      </c>
      <c r="R3668" s="38" t="e">
        <f>_xlfn.XLOOKUP(Tabla1[[#This Row],[Ean Normalizado]],tabla_consumos[EAN],tabla_consumos[UM])</f>
        <v>#VALUE!</v>
      </c>
      <c r="S3668" s="38" t="e">
        <f>Tabla1[[#This Row],[StockDisp]]*Tabla1[[#This Row],[UM producto]]</f>
        <v>#VALUE!</v>
      </c>
    </row>
    <row r="3669" spans="1:19" x14ac:dyDescent="0.35">
      <c r="A3669" s="5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6"/>
      <c r="P3669" s="23" t="e">
        <f>TRIM(Tabla1[[#This Row],[Articulo]])</f>
        <v>#VALUE!</v>
      </c>
      <c r="Q3669" s="23" t="e">
        <f>_xlfn.XLOOKUP(Tabla1[[#This Row],[Ean Normalizado]],Consumos!A:A,Consumos!E:E)</f>
        <v>#VALUE!</v>
      </c>
      <c r="R3669" s="38" t="e">
        <f>_xlfn.XLOOKUP(Tabla1[[#This Row],[Ean Normalizado]],tabla_consumos[EAN],tabla_consumos[UM])</f>
        <v>#VALUE!</v>
      </c>
      <c r="S3669" s="38" t="e">
        <f>Tabla1[[#This Row],[StockDisp]]*Tabla1[[#This Row],[UM producto]]</f>
        <v>#VALUE!</v>
      </c>
    </row>
    <row r="3670" spans="1:19" x14ac:dyDescent="0.35">
      <c r="A3670" s="5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6"/>
      <c r="P3670" s="23" t="e">
        <f>TRIM(Tabla1[[#This Row],[Articulo]])</f>
        <v>#VALUE!</v>
      </c>
      <c r="Q3670" s="23" t="e">
        <f>_xlfn.XLOOKUP(Tabla1[[#This Row],[Ean Normalizado]],Consumos!A:A,Consumos!E:E)</f>
        <v>#VALUE!</v>
      </c>
      <c r="R3670" s="38" t="e">
        <f>_xlfn.XLOOKUP(Tabla1[[#This Row],[Ean Normalizado]],tabla_consumos[EAN],tabla_consumos[UM])</f>
        <v>#VALUE!</v>
      </c>
      <c r="S3670" s="38" t="e">
        <f>Tabla1[[#This Row],[StockDisp]]*Tabla1[[#This Row],[UM producto]]</f>
        <v>#VALUE!</v>
      </c>
    </row>
    <row r="3671" spans="1:19" x14ac:dyDescent="0.35">
      <c r="A3671" s="5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6"/>
      <c r="P3671" s="23" t="e">
        <f>TRIM(Tabla1[[#This Row],[Articulo]])</f>
        <v>#VALUE!</v>
      </c>
      <c r="Q3671" s="23" t="e">
        <f>_xlfn.XLOOKUP(Tabla1[[#This Row],[Ean Normalizado]],Consumos!A:A,Consumos!E:E)</f>
        <v>#VALUE!</v>
      </c>
      <c r="R3671" s="38" t="e">
        <f>_xlfn.XLOOKUP(Tabla1[[#This Row],[Ean Normalizado]],tabla_consumos[EAN],tabla_consumos[UM])</f>
        <v>#VALUE!</v>
      </c>
      <c r="S3671" s="38" t="e">
        <f>Tabla1[[#This Row],[StockDisp]]*Tabla1[[#This Row],[UM producto]]</f>
        <v>#VALUE!</v>
      </c>
    </row>
    <row r="3672" spans="1:19" x14ac:dyDescent="0.35">
      <c r="A3672" s="5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6"/>
      <c r="P3672" s="23" t="e">
        <f>TRIM(Tabla1[[#This Row],[Articulo]])</f>
        <v>#VALUE!</v>
      </c>
      <c r="Q3672" s="23" t="e">
        <f>_xlfn.XLOOKUP(Tabla1[[#This Row],[Ean Normalizado]],Consumos!A:A,Consumos!E:E)</f>
        <v>#VALUE!</v>
      </c>
      <c r="R3672" s="38" t="e">
        <f>_xlfn.XLOOKUP(Tabla1[[#This Row],[Ean Normalizado]],tabla_consumos[EAN],tabla_consumos[UM])</f>
        <v>#VALUE!</v>
      </c>
      <c r="S3672" s="38" t="e">
        <f>Tabla1[[#This Row],[StockDisp]]*Tabla1[[#This Row],[UM producto]]</f>
        <v>#VALUE!</v>
      </c>
    </row>
    <row r="3673" spans="1:19" x14ac:dyDescent="0.35">
      <c r="A3673" s="5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6"/>
      <c r="P3673" s="23" t="e">
        <f>TRIM(Tabla1[[#This Row],[Articulo]])</f>
        <v>#VALUE!</v>
      </c>
      <c r="Q3673" s="23" t="e">
        <f>_xlfn.XLOOKUP(Tabla1[[#This Row],[Ean Normalizado]],Consumos!A:A,Consumos!E:E)</f>
        <v>#VALUE!</v>
      </c>
      <c r="R3673" s="38" t="e">
        <f>_xlfn.XLOOKUP(Tabla1[[#This Row],[Ean Normalizado]],tabla_consumos[EAN],tabla_consumos[UM])</f>
        <v>#VALUE!</v>
      </c>
      <c r="S3673" s="38" t="e">
        <f>Tabla1[[#This Row],[StockDisp]]*Tabla1[[#This Row],[UM producto]]</f>
        <v>#VALUE!</v>
      </c>
    </row>
    <row r="3674" spans="1:19" x14ac:dyDescent="0.35">
      <c r="A3674" s="5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6"/>
      <c r="P3674" s="23" t="e">
        <f>TRIM(Tabla1[[#This Row],[Articulo]])</f>
        <v>#VALUE!</v>
      </c>
      <c r="Q3674" s="23" t="e">
        <f>_xlfn.XLOOKUP(Tabla1[[#This Row],[Ean Normalizado]],Consumos!A:A,Consumos!E:E)</f>
        <v>#VALUE!</v>
      </c>
      <c r="R3674" s="38" t="e">
        <f>_xlfn.XLOOKUP(Tabla1[[#This Row],[Ean Normalizado]],tabla_consumos[EAN],tabla_consumos[UM])</f>
        <v>#VALUE!</v>
      </c>
      <c r="S3674" s="38" t="e">
        <f>Tabla1[[#This Row],[StockDisp]]*Tabla1[[#This Row],[UM producto]]</f>
        <v>#VALUE!</v>
      </c>
    </row>
    <row r="3675" spans="1:19" x14ac:dyDescent="0.35">
      <c r="A3675" s="5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6"/>
      <c r="P3675" s="23" t="e">
        <f>TRIM(Tabla1[[#This Row],[Articulo]])</f>
        <v>#VALUE!</v>
      </c>
      <c r="Q3675" s="23" t="e">
        <f>_xlfn.XLOOKUP(Tabla1[[#This Row],[Ean Normalizado]],Consumos!A:A,Consumos!E:E)</f>
        <v>#VALUE!</v>
      </c>
      <c r="R3675" s="38" t="e">
        <f>_xlfn.XLOOKUP(Tabla1[[#This Row],[Ean Normalizado]],tabla_consumos[EAN],tabla_consumos[UM])</f>
        <v>#VALUE!</v>
      </c>
      <c r="S3675" s="38" t="e">
        <f>Tabla1[[#This Row],[StockDisp]]*Tabla1[[#This Row],[UM producto]]</f>
        <v>#VALUE!</v>
      </c>
    </row>
    <row r="3676" spans="1:19" x14ac:dyDescent="0.35">
      <c r="A3676" s="5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6"/>
      <c r="P3676" s="23" t="e">
        <f>TRIM(Tabla1[[#This Row],[Articulo]])</f>
        <v>#VALUE!</v>
      </c>
      <c r="Q3676" s="23" t="e">
        <f>_xlfn.XLOOKUP(Tabla1[[#This Row],[Ean Normalizado]],Consumos!A:A,Consumos!E:E)</f>
        <v>#VALUE!</v>
      </c>
      <c r="R3676" s="38" t="e">
        <f>_xlfn.XLOOKUP(Tabla1[[#This Row],[Ean Normalizado]],tabla_consumos[EAN],tabla_consumos[UM])</f>
        <v>#VALUE!</v>
      </c>
      <c r="S3676" s="38" t="e">
        <f>Tabla1[[#This Row],[StockDisp]]*Tabla1[[#This Row],[UM producto]]</f>
        <v>#VALUE!</v>
      </c>
    </row>
    <row r="3677" spans="1:19" x14ac:dyDescent="0.35">
      <c r="A3677" s="5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6"/>
      <c r="P3677" s="23" t="e">
        <f>TRIM(Tabla1[[#This Row],[Articulo]])</f>
        <v>#VALUE!</v>
      </c>
      <c r="Q3677" s="23" t="e">
        <f>_xlfn.XLOOKUP(Tabla1[[#This Row],[Ean Normalizado]],Consumos!A:A,Consumos!E:E)</f>
        <v>#VALUE!</v>
      </c>
      <c r="R3677" s="38" t="e">
        <f>_xlfn.XLOOKUP(Tabla1[[#This Row],[Ean Normalizado]],tabla_consumos[EAN],tabla_consumos[UM])</f>
        <v>#VALUE!</v>
      </c>
      <c r="S3677" s="38" t="e">
        <f>Tabla1[[#This Row],[StockDisp]]*Tabla1[[#This Row],[UM producto]]</f>
        <v>#VALUE!</v>
      </c>
    </row>
    <row r="3678" spans="1:19" x14ac:dyDescent="0.35">
      <c r="A3678" s="5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6"/>
      <c r="P3678" s="23" t="e">
        <f>TRIM(Tabla1[[#This Row],[Articulo]])</f>
        <v>#VALUE!</v>
      </c>
      <c r="Q3678" s="23" t="e">
        <f>_xlfn.XLOOKUP(Tabla1[[#This Row],[Ean Normalizado]],Consumos!A:A,Consumos!E:E)</f>
        <v>#VALUE!</v>
      </c>
      <c r="R3678" s="38" t="e">
        <f>_xlfn.XLOOKUP(Tabla1[[#This Row],[Ean Normalizado]],tabla_consumos[EAN],tabla_consumos[UM])</f>
        <v>#VALUE!</v>
      </c>
      <c r="S3678" s="38" t="e">
        <f>Tabla1[[#This Row],[StockDisp]]*Tabla1[[#This Row],[UM producto]]</f>
        <v>#VALUE!</v>
      </c>
    </row>
    <row r="3679" spans="1:19" x14ac:dyDescent="0.35">
      <c r="A3679" s="5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6"/>
      <c r="P3679" s="23" t="e">
        <f>TRIM(Tabla1[[#This Row],[Articulo]])</f>
        <v>#VALUE!</v>
      </c>
      <c r="Q3679" s="23" t="e">
        <f>_xlfn.XLOOKUP(Tabla1[[#This Row],[Ean Normalizado]],Consumos!A:A,Consumos!E:E)</f>
        <v>#VALUE!</v>
      </c>
      <c r="R3679" s="38" t="e">
        <f>_xlfn.XLOOKUP(Tabla1[[#This Row],[Ean Normalizado]],tabla_consumos[EAN],tabla_consumos[UM])</f>
        <v>#VALUE!</v>
      </c>
      <c r="S3679" s="38" t="e">
        <f>Tabla1[[#This Row],[StockDisp]]*Tabla1[[#This Row],[UM producto]]</f>
        <v>#VALUE!</v>
      </c>
    </row>
    <row r="3680" spans="1:19" x14ac:dyDescent="0.35">
      <c r="A3680" s="5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6"/>
      <c r="P3680" s="23" t="e">
        <f>TRIM(Tabla1[[#This Row],[Articulo]])</f>
        <v>#VALUE!</v>
      </c>
      <c r="Q3680" s="23" t="e">
        <f>_xlfn.XLOOKUP(Tabla1[[#This Row],[Ean Normalizado]],Consumos!A:A,Consumos!E:E)</f>
        <v>#VALUE!</v>
      </c>
      <c r="R3680" s="38" t="e">
        <f>_xlfn.XLOOKUP(Tabla1[[#This Row],[Ean Normalizado]],tabla_consumos[EAN],tabla_consumos[UM])</f>
        <v>#VALUE!</v>
      </c>
      <c r="S3680" s="38" t="e">
        <f>Tabla1[[#This Row],[StockDisp]]*Tabla1[[#This Row],[UM producto]]</f>
        <v>#VALUE!</v>
      </c>
    </row>
    <row r="3681" spans="1:19" x14ac:dyDescent="0.35">
      <c r="A3681" s="5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6"/>
      <c r="P3681" s="23" t="e">
        <f>TRIM(Tabla1[[#This Row],[Articulo]])</f>
        <v>#VALUE!</v>
      </c>
      <c r="Q3681" s="23" t="e">
        <f>_xlfn.XLOOKUP(Tabla1[[#This Row],[Ean Normalizado]],Consumos!A:A,Consumos!E:E)</f>
        <v>#VALUE!</v>
      </c>
      <c r="R3681" s="38" t="e">
        <f>_xlfn.XLOOKUP(Tabla1[[#This Row],[Ean Normalizado]],tabla_consumos[EAN],tabla_consumos[UM])</f>
        <v>#VALUE!</v>
      </c>
      <c r="S3681" s="38" t="e">
        <f>Tabla1[[#This Row],[StockDisp]]*Tabla1[[#This Row],[UM producto]]</f>
        <v>#VALUE!</v>
      </c>
    </row>
    <row r="3682" spans="1:19" x14ac:dyDescent="0.35">
      <c r="A3682" s="5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6"/>
      <c r="P3682" s="23" t="e">
        <f>TRIM(Tabla1[[#This Row],[Articulo]])</f>
        <v>#VALUE!</v>
      </c>
      <c r="Q3682" s="23" t="e">
        <f>_xlfn.XLOOKUP(Tabla1[[#This Row],[Ean Normalizado]],Consumos!A:A,Consumos!E:E)</f>
        <v>#VALUE!</v>
      </c>
      <c r="R3682" s="38" t="e">
        <f>_xlfn.XLOOKUP(Tabla1[[#This Row],[Ean Normalizado]],tabla_consumos[EAN],tabla_consumos[UM])</f>
        <v>#VALUE!</v>
      </c>
      <c r="S3682" s="38" t="e">
        <f>Tabla1[[#This Row],[StockDisp]]*Tabla1[[#This Row],[UM producto]]</f>
        <v>#VALUE!</v>
      </c>
    </row>
    <row r="3683" spans="1:19" x14ac:dyDescent="0.35">
      <c r="A3683" s="5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6"/>
      <c r="P3683" s="23" t="e">
        <f>TRIM(Tabla1[[#This Row],[Articulo]])</f>
        <v>#VALUE!</v>
      </c>
      <c r="Q3683" s="23" t="e">
        <f>_xlfn.XLOOKUP(Tabla1[[#This Row],[Ean Normalizado]],Consumos!A:A,Consumos!E:E)</f>
        <v>#VALUE!</v>
      </c>
      <c r="R3683" s="38" t="e">
        <f>_xlfn.XLOOKUP(Tabla1[[#This Row],[Ean Normalizado]],tabla_consumos[EAN],tabla_consumos[UM])</f>
        <v>#VALUE!</v>
      </c>
      <c r="S3683" s="38" t="e">
        <f>Tabla1[[#This Row],[StockDisp]]*Tabla1[[#This Row],[UM producto]]</f>
        <v>#VALUE!</v>
      </c>
    </row>
    <row r="3684" spans="1:19" x14ac:dyDescent="0.35">
      <c r="A3684" s="5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6"/>
      <c r="P3684" s="23" t="e">
        <f>TRIM(Tabla1[[#This Row],[Articulo]])</f>
        <v>#VALUE!</v>
      </c>
      <c r="Q3684" s="23" t="e">
        <f>_xlfn.XLOOKUP(Tabla1[[#This Row],[Ean Normalizado]],Consumos!A:A,Consumos!E:E)</f>
        <v>#VALUE!</v>
      </c>
      <c r="R3684" s="38" t="e">
        <f>_xlfn.XLOOKUP(Tabla1[[#This Row],[Ean Normalizado]],tabla_consumos[EAN],tabla_consumos[UM])</f>
        <v>#VALUE!</v>
      </c>
      <c r="S3684" s="38" t="e">
        <f>Tabla1[[#This Row],[StockDisp]]*Tabla1[[#This Row],[UM producto]]</f>
        <v>#VALUE!</v>
      </c>
    </row>
    <row r="3685" spans="1:19" x14ac:dyDescent="0.35">
      <c r="A3685" s="5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6"/>
      <c r="P3685" s="23" t="e">
        <f>TRIM(Tabla1[[#This Row],[Articulo]])</f>
        <v>#VALUE!</v>
      </c>
      <c r="Q3685" s="23" t="e">
        <f>_xlfn.XLOOKUP(Tabla1[[#This Row],[Ean Normalizado]],Consumos!A:A,Consumos!E:E)</f>
        <v>#VALUE!</v>
      </c>
      <c r="R3685" s="38" t="e">
        <f>_xlfn.XLOOKUP(Tabla1[[#This Row],[Ean Normalizado]],tabla_consumos[EAN],tabla_consumos[UM])</f>
        <v>#VALUE!</v>
      </c>
      <c r="S3685" s="38" t="e">
        <f>Tabla1[[#This Row],[StockDisp]]*Tabla1[[#This Row],[UM producto]]</f>
        <v>#VALUE!</v>
      </c>
    </row>
    <row r="3686" spans="1:19" x14ac:dyDescent="0.35">
      <c r="A3686" s="5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6"/>
      <c r="P3686" s="23" t="e">
        <f>TRIM(Tabla1[[#This Row],[Articulo]])</f>
        <v>#VALUE!</v>
      </c>
      <c r="Q3686" s="23" t="e">
        <f>_xlfn.XLOOKUP(Tabla1[[#This Row],[Ean Normalizado]],Consumos!A:A,Consumos!E:E)</f>
        <v>#VALUE!</v>
      </c>
      <c r="R3686" s="38" t="e">
        <f>_xlfn.XLOOKUP(Tabla1[[#This Row],[Ean Normalizado]],tabla_consumos[EAN],tabla_consumos[UM])</f>
        <v>#VALUE!</v>
      </c>
      <c r="S3686" s="38" t="e">
        <f>Tabla1[[#This Row],[StockDisp]]*Tabla1[[#This Row],[UM producto]]</f>
        <v>#VALUE!</v>
      </c>
    </row>
    <row r="3687" spans="1:19" x14ac:dyDescent="0.35">
      <c r="A3687" s="5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6"/>
      <c r="P3687" s="23" t="e">
        <f>TRIM(Tabla1[[#This Row],[Articulo]])</f>
        <v>#VALUE!</v>
      </c>
      <c r="Q3687" s="23" t="e">
        <f>_xlfn.XLOOKUP(Tabla1[[#This Row],[Ean Normalizado]],Consumos!A:A,Consumos!E:E)</f>
        <v>#VALUE!</v>
      </c>
      <c r="R3687" s="38" t="e">
        <f>_xlfn.XLOOKUP(Tabla1[[#This Row],[Ean Normalizado]],tabla_consumos[EAN],tabla_consumos[UM])</f>
        <v>#VALUE!</v>
      </c>
      <c r="S3687" s="38" t="e">
        <f>Tabla1[[#This Row],[StockDisp]]*Tabla1[[#This Row],[UM producto]]</f>
        <v>#VALUE!</v>
      </c>
    </row>
    <row r="3688" spans="1:19" x14ac:dyDescent="0.35">
      <c r="A3688" s="5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6"/>
      <c r="P3688" s="23" t="e">
        <f>TRIM(Tabla1[[#This Row],[Articulo]])</f>
        <v>#VALUE!</v>
      </c>
      <c r="Q3688" s="23" t="e">
        <f>_xlfn.XLOOKUP(Tabla1[[#This Row],[Ean Normalizado]],Consumos!A:A,Consumos!E:E)</f>
        <v>#VALUE!</v>
      </c>
      <c r="R3688" s="38" t="e">
        <f>_xlfn.XLOOKUP(Tabla1[[#This Row],[Ean Normalizado]],tabla_consumos[EAN],tabla_consumos[UM])</f>
        <v>#VALUE!</v>
      </c>
      <c r="S3688" s="38" t="e">
        <f>Tabla1[[#This Row],[StockDisp]]*Tabla1[[#This Row],[UM producto]]</f>
        <v>#VALUE!</v>
      </c>
    </row>
    <row r="3689" spans="1:19" x14ac:dyDescent="0.35">
      <c r="A3689" s="5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6"/>
      <c r="P3689" s="23" t="e">
        <f>TRIM(Tabla1[[#This Row],[Articulo]])</f>
        <v>#VALUE!</v>
      </c>
      <c r="Q3689" s="23" t="e">
        <f>_xlfn.XLOOKUP(Tabla1[[#This Row],[Ean Normalizado]],Consumos!A:A,Consumos!E:E)</f>
        <v>#VALUE!</v>
      </c>
      <c r="R3689" s="38" t="e">
        <f>_xlfn.XLOOKUP(Tabla1[[#This Row],[Ean Normalizado]],tabla_consumos[EAN],tabla_consumos[UM])</f>
        <v>#VALUE!</v>
      </c>
      <c r="S3689" s="38" t="e">
        <f>Tabla1[[#This Row],[StockDisp]]*Tabla1[[#This Row],[UM producto]]</f>
        <v>#VALUE!</v>
      </c>
    </row>
    <row r="3690" spans="1:19" x14ac:dyDescent="0.35">
      <c r="A3690" s="5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6"/>
      <c r="P3690" s="23" t="e">
        <f>TRIM(Tabla1[[#This Row],[Articulo]])</f>
        <v>#VALUE!</v>
      </c>
      <c r="Q3690" s="23" t="e">
        <f>_xlfn.XLOOKUP(Tabla1[[#This Row],[Ean Normalizado]],Consumos!A:A,Consumos!E:E)</f>
        <v>#VALUE!</v>
      </c>
      <c r="R3690" s="38" t="e">
        <f>_xlfn.XLOOKUP(Tabla1[[#This Row],[Ean Normalizado]],tabla_consumos[EAN],tabla_consumos[UM])</f>
        <v>#VALUE!</v>
      </c>
      <c r="S3690" s="38" t="e">
        <f>Tabla1[[#This Row],[StockDisp]]*Tabla1[[#This Row],[UM producto]]</f>
        <v>#VALUE!</v>
      </c>
    </row>
    <row r="3691" spans="1:19" x14ac:dyDescent="0.35">
      <c r="A3691" s="5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6"/>
      <c r="P3691" s="23" t="e">
        <f>TRIM(Tabla1[[#This Row],[Articulo]])</f>
        <v>#VALUE!</v>
      </c>
      <c r="Q3691" s="23" t="e">
        <f>_xlfn.XLOOKUP(Tabla1[[#This Row],[Ean Normalizado]],Consumos!A:A,Consumos!E:E)</f>
        <v>#VALUE!</v>
      </c>
      <c r="R3691" s="38" t="e">
        <f>_xlfn.XLOOKUP(Tabla1[[#This Row],[Ean Normalizado]],tabla_consumos[EAN],tabla_consumos[UM])</f>
        <v>#VALUE!</v>
      </c>
      <c r="S3691" s="38" t="e">
        <f>Tabla1[[#This Row],[StockDisp]]*Tabla1[[#This Row],[UM producto]]</f>
        <v>#VALUE!</v>
      </c>
    </row>
    <row r="3692" spans="1:19" x14ac:dyDescent="0.35">
      <c r="A3692" s="5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6"/>
      <c r="P3692" s="23" t="e">
        <f>TRIM(Tabla1[[#This Row],[Articulo]])</f>
        <v>#VALUE!</v>
      </c>
      <c r="Q3692" s="23" t="e">
        <f>_xlfn.XLOOKUP(Tabla1[[#This Row],[Ean Normalizado]],Consumos!A:A,Consumos!E:E)</f>
        <v>#VALUE!</v>
      </c>
      <c r="R3692" s="38" t="e">
        <f>_xlfn.XLOOKUP(Tabla1[[#This Row],[Ean Normalizado]],tabla_consumos[EAN],tabla_consumos[UM])</f>
        <v>#VALUE!</v>
      </c>
      <c r="S3692" s="38" t="e">
        <f>Tabla1[[#This Row],[StockDisp]]*Tabla1[[#This Row],[UM producto]]</f>
        <v>#VALUE!</v>
      </c>
    </row>
    <row r="3693" spans="1:19" x14ac:dyDescent="0.35">
      <c r="A3693" s="5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6"/>
      <c r="P3693" s="23" t="e">
        <f>TRIM(Tabla1[[#This Row],[Articulo]])</f>
        <v>#VALUE!</v>
      </c>
      <c r="Q3693" s="23" t="e">
        <f>_xlfn.XLOOKUP(Tabla1[[#This Row],[Ean Normalizado]],Consumos!A:A,Consumos!E:E)</f>
        <v>#VALUE!</v>
      </c>
      <c r="R3693" s="38" t="e">
        <f>_xlfn.XLOOKUP(Tabla1[[#This Row],[Ean Normalizado]],tabla_consumos[EAN],tabla_consumos[UM])</f>
        <v>#VALUE!</v>
      </c>
      <c r="S3693" s="38" t="e">
        <f>Tabla1[[#This Row],[StockDisp]]*Tabla1[[#This Row],[UM producto]]</f>
        <v>#VALUE!</v>
      </c>
    </row>
    <row r="3694" spans="1:19" x14ac:dyDescent="0.35">
      <c r="A3694" s="5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6"/>
      <c r="P3694" s="23" t="e">
        <f>TRIM(Tabla1[[#This Row],[Articulo]])</f>
        <v>#VALUE!</v>
      </c>
      <c r="Q3694" s="23" t="e">
        <f>_xlfn.XLOOKUP(Tabla1[[#This Row],[Ean Normalizado]],Consumos!A:A,Consumos!E:E)</f>
        <v>#VALUE!</v>
      </c>
      <c r="R3694" s="38" t="e">
        <f>_xlfn.XLOOKUP(Tabla1[[#This Row],[Ean Normalizado]],tabla_consumos[EAN],tabla_consumos[UM])</f>
        <v>#VALUE!</v>
      </c>
      <c r="S3694" s="38" t="e">
        <f>Tabla1[[#This Row],[StockDisp]]*Tabla1[[#This Row],[UM producto]]</f>
        <v>#VALUE!</v>
      </c>
    </row>
    <row r="3695" spans="1:19" x14ac:dyDescent="0.35">
      <c r="A3695" s="5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6"/>
      <c r="P3695" s="23" t="e">
        <f>TRIM(Tabla1[[#This Row],[Articulo]])</f>
        <v>#VALUE!</v>
      </c>
      <c r="Q3695" s="23" t="e">
        <f>_xlfn.XLOOKUP(Tabla1[[#This Row],[Ean Normalizado]],Consumos!A:A,Consumos!E:E)</f>
        <v>#VALUE!</v>
      </c>
      <c r="R3695" s="38" t="e">
        <f>_xlfn.XLOOKUP(Tabla1[[#This Row],[Ean Normalizado]],tabla_consumos[EAN],tabla_consumos[UM])</f>
        <v>#VALUE!</v>
      </c>
      <c r="S3695" s="38" t="e">
        <f>Tabla1[[#This Row],[StockDisp]]*Tabla1[[#This Row],[UM producto]]</f>
        <v>#VALUE!</v>
      </c>
    </row>
    <row r="3696" spans="1:19" x14ac:dyDescent="0.35">
      <c r="A3696" s="5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6"/>
      <c r="P3696" s="23" t="e">
        <f>TRIM(Tabla1[[#This Row],[Articulo]])</f>
        <v>#VALUE!</v>
      </c>
      <c r="Q3696" s="23" t="e">
        <f>_xlfn.XLOOKUP(Tabla1[[#This Row],[Ean Normalizado]],Consumos!A:A,Consumos!E:E)</f>
        <v>#VALUE!</v>
      </c>
      <c r="R3696" s="38" t="e">
        <f>_xlfn.XLOOKUP(Tabla1[[#This Row],[Ean Normalizado]],tabla_consumos[EAN],tabla_consumos[UM])</f>
        <v>#VALUE!</v>
      </c>
      <c r="S3696" s="38" t="e">
        <f>Tabla1[[#This Row],[StockDisp]]*Tabla1[[#This Row],[UM producto]]</f>
        <v>#VALUE!</v>
      </c>
    </row>
    <row r="3697" spans="1:19" x14ac:dyDescent="0.35">
      <c r="A3697" s="5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6"/>
      <c r="P3697" s="23" t="e">
        <f>TRIM(Tabla1[[#This Row],[Articulo]])</f>
        <v>#VALUE!</v>
      </c>
      <c r="Q3697" s="23" t="e">
        <f>_xlfn.XLOOKUP(Tabla1[[#This Row],[Ean Normalizado]],Consumos!A:A,Consumos!E:E)</f>
        <v>#VALUE!</v>
      </c>
      <c r="R3697" s="38" t="e">
        <f>_xlfn.XLOOKUP(Tabla1[[#This Row],[Ean Normalizado]],tabla_consumos[EAN],tabla_consumos[UM])</f>
        <v>#VALUE!</v>
      </c>
      <c r="S3697" s="38" t="e">
        <f>Tabla1[[#This Row],[StockDisp]]*Tabla1[[#This Row],[UM producto]]</f>
        <v>#VALUE!</v>
      </c>
    </row>
    <row r="3698" spans="1:19" x14ac:dyDescent="0.35">
      <c r="A3698" s="5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6"/>
      <c r="P3698" s="23" t="e">
        <f>TRIM(Tabla1[[#This Row],[Articulo]])</f>
        <v>#VALUE!</v>
      </c>
      <c r="Q3698" s="23" t="e">
        <f>_xlfn.XLOOKUP(Tabla1[[#This Row],[Ean Normalizado]],Consumos!A:A,Consumos!E:E)</f>
        <v>#VALUE!</v>
      </c>
      <c r="R3698" s="38" t="e">
        <f>_xlfn.XLOOKUP(Tabla1[[#This Row],[Ean Normalizado]],tabla_consumos[EAN],tabla_consumos[UM])</f>
        <v>#VALUE!</v>
      </c>
      <c r="S3698" s="38" t="e">
        <f>Tabla1[[#This Row],[StockDisp]]*Tabla1[[#This Row],[UM producto]]</f>
        <v>#VALUE!</v>
      </c>
    </row>
    <row r="3699" spans="1:19" x14ac:dyDescent="0.35">
      <c r="A3699" s="5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6"/>
      <c r="P3699" s="23" t="e">
        <f>TRIM(Tabla1[[#This Row],[Articulo]])</f>
        <v>#VALUE!</v>
      </c>
      <c r="Q3699" s="23" t="e">
        <f>_xlfn.XLOOKUP(Tabla1[[#This Row],[Ean Normalizado]],Consumos!A:A,Consumos!E:E)</f>
        <v>#VALUE!</v>
      </c>
      <c r="R3699" s="38" t="e">
        <f>_xlfn.XLOOKUP(Tabla1[[#This Row],[Ean Normalizado]],tabla_consumos[EAN],tabla_consumos[UM])</f>
        <v>#VALUE!</v>
      </c>
      <c r="S3699" s="38" t="e">
        <f>Tabla1[[#This Row],[StockDisp]]*Tabla1[[#This Row],[UM producto]]</f>
        <v>#VALUE!</v>
      </c>
    </row>
    <row r="3700" spans="1:19" x14ac:dyDescent="0.35">
      <c r="A3700" s="5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6"/>
      <c r="P3700" s="23" t="e">
        <f>TRIM(Tabla1[[#This Row],[Articulo]])</f>
        <v>#VALUE!</v>
      </c>
      <c r="Q3700" s="23" t="e">
        <f>_xlfn.XLOOKUP(Tabla1[[#This Row],[Ean Normalizado]],Consumos!A:A,Consumos!E:E)</f>
        <v>#VALUE!</v>
      </c>
      <c r="R3700" s="38" t="e">
        <f>_xlfn.XLOOKUP(Tabla1[[#This Row],[Ean Normalizado]],tabla_consumos[EAN],tabla_consumos[UM])</f>
        <v>#VALUE!</v>
      </c>
      <c r="S3700" s="38" t="e">
        <f>Tabla1[[#This Row],[StockDisp]]*Tabla1[[#This Row],[UM producto]]</f>
        <v>#VALUE!</v>
      </c>
    </row>
    <row r="3701" spans="1:19" x14ac:dyDescent="0.35">
      <c r="A3701" s="5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6"/>
      <c r="P3701" s="23" t="e">
        <f>TRIM(Tabla1[[#This Row],[Articulo]])</f>
        <v>#VALUE!</v>
      </c>
      <c r="Q3701" s="23" t="e">
        <f>_xlfn.XLOOKUP(Tabla1[[#This Row],[Ean Normalizado]],Consumos!A:A,Consumos!E:E)</f>
        <v>#VALUE!</v>
      </c>
      <c r="R3701" s="38" t="e">
        <f>_xlfn.XLOOKUP(Tabla1[[#This Row],[Ean Normalizado]],tabla_consumos[EAN],tabla_consumos[UM])</f>
        <v>#VALUE!</v>
      </c>
      <c r="S3701" s="38" t="e">
        <f>Tabla1[[#This Row],[StockDisp]]*Tabla1[[#This Row],[UM producto]]</f>
        <v>#VALUE!</v>
      </c>
    </row>
    <row r="3702" spans="1:19" x14ac:dyDescent="0.35">
      <c r="A3702" s="5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6"/>
      <c r="P3702" s="23" t="e">
        <f>TRIM(Tabla1[[#This Row],[Articulo]])</f>
        <v>#VALUE!</v>
      </c>
      <c r="Q3702" s="23" t="e">
        <f>_xlfn.XLOOKUP(Tabla1[[#This Row],[Ean Normalizado]],Consumos!A:A,Consumos!E:E)</f>
        <v>#VALUE!</v>
      </c>
      <c r="R3702" s="38" t="e">
        <f>_xlfn.XLOOKUP(Tabla1[[#This Row],[Ean Normalizado]],tabla_consumos[EAN],tabla_consumos[UM])</f>
        <v>#VALUE!</v>
      </c>
      <c r="S3702" s="38" t="e">
        <f>Tabla1[[#This Row],[StockDisp]]*Tabla1[[#This Row],[UM producto]]</f>
        <v>#VALUE!</v>
      </c>
    </row>
    <row r="3703" spans="1:19" x14ac:dyDescent="0.35">
      <c r="A3703" s="5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6"/>
      <c r="P3703" s="23" t="e">
        <f>TRIM(Tabla1[[#This Row],[Articulo]])</f>
        <v>#VALUE!</v>
      </c>
      <c r="Q3703" s="23" t="e">
        <f>_xlfn.XLOOKUP(Tabla1[[#This Row],[Ean Normalizado]],Consumos!A:A,Consumos!E:E)</f>
        <v>#VALUE!</v>
      </c>
      <c r="R3703" s="38" t="e">
        <f>_xlfn.XLOOKUP(Tabla1[[#This Row],[Ean Normalizado]],tabla_consumos[EAN],tabla_consumos[UM])</f>
        <v>#VALUE!</v>
      </c>
      <c r="S3703" s="38" t="e">
        <f>Tabla1[[#This Row],[StockDisp]]*Tabla1[[#This Row],[UM producto]]</f>
        <v>#VALUE!</v>
      </c>
    </row>
    <row r="3704" spans="1:19" x14ac:dyDescent="0.35">
      <c r="A3704" s="5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6"/>
      <c r="P3704" s="23" t="e">
        <f>TRIM(Tabla1[[#This Row],[Articulo]])</f>
        <v>#VALUE!</v>
      </c>
      <c r="Q3704" s="23" t="e">
        <f>_xlfn.XLOOKUP(Tabla1[[#This Row],[Ean Normalizado]],Consumos!A:A,Consumos!E:E)</f>
        <v>#VALUE!</v>
      </c>
      <c r="R3704" s="38" t="e">
        <f>_xlfn.XLOOKUP(Tabla1[[#This Row],[Ean Normalizado]],tabla_consumos[EAN],tabla_consumos[UM])</f>
        <v>#VALUE!</v>
      </c>
      <c r="S3704" s="38" t="e">
        <f>Tabla1[[#This Row],[StockDisp]]*Tabla1[[#This Row],[UM producto]]</f>
        <v>#VALUE!</v>
      </c>
    </row>
    <row r="3705" spans="1:19" x14ac:dyDescent="0.35">
      <c r="A3705" s="5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6"/>
      <c r="P3705" s="23" t="e">
        <f>TRIM(Tabla1[[#This Row],[Articulo]])</f>
        <v>#VALUE!</v>
      </c>
      <c r="Q3705" s="23" t="e">
        <f>_xlfn.XLOOKUP(Tabla1[[#This Row],[Ean Normalizado]],Consumos!A:A,Consumos!E:E)</f>
        <v>#VALUE!</v>
      </c>
      <c r="R3705" s="38" t="e">
        <f>_xlfn.XLOOKUP(Tabla1[[#This Row],[Ean Normalizado]],tabla_consumos[EAN],tabla_consumos[UM])</f>
        <v>#VALUE!</v>
      </c>
      <c r="S3705" s="38" t="e">
        <f>Tabla1[[#This Row],[StockDisp]]*Tabla1[[#This Row],[UM producto]]</f>
        <v>#VALUE!</v>
      </c>
    </row>
    <row r="3706" spans="1:19" x14ac:dyDescent="0.35">
      <c r="A3706" s="5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6"/>
      <c r="P3706" s="23" t="e">
        <f>TRIM(Tabla1[[#This Row],[Articulo]])</f>
        <v>#VALUE!</v>
      </c>
      <c r="Q3706" s="23" t="e">
        <f>_xlfn.XLOOKUP(Tabla1[[#This Row],[Ean Normalizado]],Consumos!A:A,Consumos!E:E)</f>
        <v>#VALUE!</v>
      </c>
      <c r="R3706" s="38" t="e">
        <f>_xlfn.XLOOKUP(Tabla1[[#This Row],[Ean Normalizado]],tabla_consumos[EAN],tabla_consumos[UM])</f>
        <v>#VALUE!</v>
      </c>
      <c r="S3706" s="38" t="e">
        <f>Tabla1[[#This Row],[StockDisp]]*Tabla1[[#This Row],[UM producto]]</f>
        <v>#VALUE!</v>
      </c>
    </row>
    <row r="3707" spans="1:19" x14ac:dyDescent="0.35">
      <c r="A3707" s="5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6"/>
      <c r="P3707" s="23" t="e">
        <f>TRIM(Tabla1[[#This Row],[Articulo]])</f>
        <v>#VALUE!</v>
      </c>
      <c r="Q3707" s="23" t="e">
        <f>_xlfn.XLOOKUP(Tabla1[[#This Row],[Ean Normalizado]],Consumos!A:A,Consumos!E:E)</f>
        <v>#VALUE!</v>
      </c>
      <c r="R3707" s="38" t="e">
        <f>_xlfn.XLOOKUP(Tabla1[[#This Row],[Ean Normalizado]],tabla_consumos[EAN],tabla_consumos[UM])</f>
        <v>#VALUE!</v>
      </c>
      <c r="S3707" s="38" t="e">
        <f>Tabla1[[#This Row],[StockDisp]]*Tabla1[[#This Row],[UM producto]]</f>
        <v>#VALUE!</v>
      </c>
    </row>
    <row r="3708" spans="1:19" x14ac:dyDescent="0.35">
      <c r="A3708" s="5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6"/>
      <c r="P3708" s="23" t="e">
        <f>TRIM(Tabla1[[#This Row],[Articulo]])</f>
        <v>#VALUE!</v>
      </c>
      <c r="Q3708" s="23" t="e">
        <f>_xlfn.XLOOKUP(Tabla1[[#This Row],[Ean Normalizado]],Consumos!A:A,Consumos!E:E)</f>
        <v>#VALUE!</v>
      </c>
      <c r="R3708" s="38" t="e">
        <f>_xlfn.XLOOKUP(Tabla1[[#This Row],[Ean Normalizado]],tabla_consumos[EAN],tabla_consumos[UM])</f>
        <v>#VALUE!</v>
      </c>
      <c r="S3708" s="38" t="e">
        <f>Tabla1[[#This Row],[StockDisp]]*Tabla1[[#This Row],[UM producto]]</f>
        <v>#VALUE!</v>
      </c>
    </row>
    <row r="3709" spans="1:19" x14ac:dyDescent="0.35">
      <c r="A3709" s="5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6"/>
      <c r="P3709" s="23" t="e">
        <f>TRIM(Tabla1[[#This Row],[Articulo]])</f>
        <v>#VALUE!</v>
      </c>
      <c r="Q3709" s="23" t="e">
        <f>_xlfn.XLOOKUP(Tabla1[[#This Row],[Ean Normalizado]],Consumos!A:A,Consumos!E:E)</f>
        <v>#VALUE!</v>
      </c>
      <c r="R3709" s="38" t="e">
        <f>_xlfn.XLOOKUP(Tabla1[[#This Row],[Ean Normalizado]],tabla_consumos[EAN],tabla_consumos[UM])</f>
        <v>#VALUE!</v>
      </c>
      <c r="S3709" s="38" t="e">
        <f>Tabla1[[#This Row],[StockDisp]]*Tabla1[[#This Row],[UM producto]]</f>
        <v>#VALUE!</v>
      </c>
    </row>
    <row r="3710" spans="1:19" x14ac:dyDescent="0.35">
      <c r="A3710" s="5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6"/>
      <c r="P3710" s="23" t="e">
        <f>TRIM(Tabla1[[#This Row],[Articulo]])</f>
        <v>#VALUE!</v>
      </c>
      <c r="Q3710" s="23" t="e">
        <f>_xlfn.XLOOKUP(Tabla1[[#This Row],[Ean Normalizado]],Consumos!A:A,Consumos!E:E)</f>
        <v>#VALUE!</v>
      </c>
      <c r="R3710" s="38" t="e">
        <f>_xlfn.XLOOKUP(Tabla1[[#This Row],[Ean Normalizado]],tabla_consumos[EAN],tabla_consumos[UM])</f>
        <v>#VALUE!</v>
      </c>
      <c r="S3710" s="38" t="e">
        <f>Tabla1[[#This Row],[StockDisp]]*Tabla1[[#This Row],[UM producto]]</f>
        <v>#VALUE!</v>
      </c>
    </row>
    <row r="3711" spans="1:19" x14ac:dyDescent="0.35">
      <c r="A3711" s="5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6"/>
      <c r="P3711" s="23" t="e">
        <f>TRIM(Tabla1[[#This Row],[Articulo]])</f>
        <v>#VALUE!</v>
      </c>
      <c r="Q3711" s="23" t="e">
        <f>_xlfn.XLOOKUP(Tabla1[[#This Row],[Ean Normalizado]],Consumos!A:A,Consumos!E:E)</f>
        <v>#VALUE!</v>
      </c>
      <c r="R3711" s="38" t="e">
        <f>_xlfn.XLOOKUP(Tabla1[[#This Row],[Ean Normalizado]],tabla_consumos[EAN],tabla_consumos[UM])</f>
        <v>#VALUE!</v>
      </c>
      <c r="S3711" s="38" t="e">
        <f>Tabla1[[#This Row],[StockDisp]]*Tabla1[[#This Row],[UM producto]]</f>
        <v>#VALUE!</v>
      </c>
    </row>
    <row r="3712" spans="1:19" x14ac:dyDescent="0.35">
      <c r="A3712" s="5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6"/>
      <c r="P3712" s="23" t="e">
        <f>TRIM(Tabla1[[#This Row],[Articulo]])</f>
        <v>#VALUE!</v>
      </c>
      <c r="Q3712" s="23" t="e">
        <f>_xlfn.XLOOKUP(Tabla1[[#This Row],[Ean Normalizado]],Consumos!A:A,Consumos!E:E)</f>
        <v>#VALUE!</v>
      </c>
      <c r="R3712" s="38" t="e">
        <f>_xlfn.XLOOKUP(Tabla1[[#This Row],[Ean Normalizado]],tabla_consumos[EAN],tabla_consumos[UM])</f>
        <v>#VALUE!</v>
      </c>
      <c r="S3712" s="38" t="e">
        <f>Tabla1[[#This Row],[StockDisp]]*Tabla1[[#This Row],[UM producto]]</f>
        <v>#VALUE!</v>
      </c>
    </row>
    <row r="3713" spans="1:19" x14ac:dyDescent="0.35">
      <c r="A3713" s="5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6"/>
      <c r="P3713" s="23" t="e">
        <f>TRIM(Tabla1[[#This Row],[Articulo]])</f>
        <v>#VALUE!</v>
      </c>
      <c r="Q3713" s="23" t="e">
        <f>_xlfn.XLOOKUP(Tabla1[[#This Row],[Ean Normalizado]],Consumos!A:A,Consumos!E:E)</f>
        <v>#VALUE!</v>
      </c>
      <c r="R3713" s="38" t="e">
        <f>_xlfn.XLOOKUP(Tabla1[[#This Row],[Ean Normalizado]],tabla_consumos[EAN],tabla_consumos[UM])</f>
        <v>#VALUE!</v>
      </c>
      <c r="S3713" s="38" t="e">
        <f>Tabla1[[#This Row],[StockDisp]]*Tabla1[[#This Row],[UM producto]]</f>
        <v>#VALUE!</v>
      </c>
    </row>
    <row r="3714" spans="1:19" x14ac:dyDescent="0.35">
      <c r="A3714" s="5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6"/>
      <c r="P3714" s="23" t="e">
        <f>TRIM(Tabla1[[#This Row],[Articulo]])</f>
        <v>#VALUE!</v>
      </c>
      <c r="Q3714" s="23" t="e">
        <f>_xlfn.XLOOKUP(Tabla1[[#This Row],[Ean Normalizado]],Consumos!A:A,Consumos!E:E)</f>
        <v>#VALUE!</v>
      </c>
      <c r="R3714" s="38" t="e">
        <f>_xlfn.XLOOKUP(Tabla1[[#This Row],[Ean Normalizado]],tabla_consumos[EAN],tabla_consumos[UM])</f>
        <v>#VALUE!</v>
      </c>
      <c r="S3714" s="38" t="e">
        <f>Tabla1[[#This Row],[StockDisp]]*Tabla1[[#This Row],[UM producto]]</f>
        <v>#VALUE!</v>
      </c>
    </row>
    <row r="3715" spans="1:19" x14ac:dyDescent="0.35">
      <c r="A3715" s="5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6"/>
      <c r="P3715" s="23" t="e">
        <f>TRIM(Tabla1[[#This Row],[Articulo]])</f>
        <v>#VALUE!</v>
      </c>
      <c r="Q3715" s="23" t="e">
        <f>_xlfn.XLOOKUP(Tabla1[[#This Row],[Ean Normalizado]],Consumos!A:A,Consumos!E:E)</f>
        <v>#VALUE!</v>
      </c>
      <c r="R3715" s="38" t="e">
        <f>_xlfn.XLOOKUP(Tabla1[[#This Row],[Ean Normalizado]],tabla_consumos[EAN],tabla_consumos[UM])</f>
        <v>#VALUE!</v>
      </c>
      <c r="S3715" s="38" t="e">
        <f>Tabla1[[#This Row],[StockDisp]]*Tabla1[[#This Row],[UM producto]]</f>
        <v>#VALUE!</v>
      </c>
    </row>
    <row r="3716" spans="1:19" x14ac:dyDescent="0.35">
      <c r="A3716" s="5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6"/>
      <c r="P3716" s="23" t="e">
        <f>TRIM(Tabla1[[#This Row],[Articulo]])</f>
        <v>#VALUE!</v>
      </c>
      <c r="Q3716" s="23" t="e">
        <f>_xlfn.XLOOKUP(Tabla1[[#This Row],[Ean Normalizado]],Consumos!A:A,Consumos!E:E)</f>
        <v>#VALUE!</v>
      </c>
      <c r="R3716" s="38" t="e">
        <f>_xlfn.XLOOKUP(Tabla1[[#This Row],[Ean Normalizado]],tabla_consumos[EAN],tabla_consumos[UM])</f>
        <v>#VALUE!</v>
      </c>
      <c r="S3716" s="38" t="e">
        <f>Tabla1[[#This Row],[StockDisp]]*Tabla1[[#This Row],[UM producto]]</f>
        <v>#VALUE!</v>
      </c>
    </row>
    <row r="3717" spans="1:19" x14ac:dyDescent="0.35">
      <c r="A3717" s="5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6"/>
      <c r="P3717" s="23" t="e">
        <f>TRIM(Tabla1[[#This Row],[Articulo]])</f>
        <v>#VALUE!</v>
      </c>
      <c r="Q3717" s="23" t="e">
        <f>_xlfn.XLOOKUP(Tabla1[[#This Row],[Ean Normalizado]],Consumos!A:A,Consumos!E:E)</f>
        <v>#VALUE!</v>
      </c>
      <c r="R3717" s="38" t="e">
        <f>_xlfn.XLOOKUP(Tabla1[[#This Row],[Ean Normalizado]],tabla_consumos[EAN],tabla_consumos[UM])</f>
        <v>#VALUE!</v>
      </c>
      <c r="S3717" s="38" t="e">
        <f>Tabla1[[#This Row],[StockDisp]]*Tabla1[[#This Row],[UM producto]]</f>
        <v>#VALUE!</v>
      </c>
    </row>
    <row r="3718" spans="1:19" x14ac:dyDescent="0.35">
      <c r="A3718" s="5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6"/>
      <c r="P3718" s="23" t="e">
        <f>TRIM(Tabla1[[#This Row],[Articulo]])</f>
        <v>#VALUE!</v>
      </c>
      <c r="Q3718" s="23" t="e">
        <f>_xlfn.XLOOKUP(Tabla1[[#This Row],[Ean Normalizado]],Consumos!A:A,Consumos!E:E)</f>
        <v>#VALUE!</v>
      </c>
      <c r="R3718" s="38" t="e">
        <f>_xlfn.XLOOKUP(Tabla1[[#This Row],[Ean Normalizado]],tabla_consumos[EAN],tabla_consumos[UM])</f>
        <v>#VALUE!</v>
      </c>
      <c r="S3718" s="38" t="e">
        <f>Tabla1[[#This Row],[StockDisp]]*Tabla1[[#This Row],[UM producto]]</f>
        <v>#VALUE!</v>
      </c>
    </row>
    <row r="3719" spans="1:19" x14ac:dyDescent="0.35">
      <c r="A3719" s="5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6"/>
      <c r="P3719" s="23" t="e">
        <f>TRIM(Tabla1[[#This Row],[Articulo]])</f>
        <v>#VALUE!</v>
      </c>
      <c r="Q3719" s="23" t="e">
        <f>_xlfn.XLOOKUP(Tabla1[[#This Row],[Ean Normalizado]],Consumos!A:A,Consumos!E:E)</f>
        <v>#VALUE!</v>
      </c>
      <c r="R3719" s="38" t="e">
        <f>_xlfn.XLOOKUP(Tabla1[[#This Row],[Ean Normalizado]],tabla_consumos[EAN],tabla_consumos[UM])</f>
        <v>#VALUE!</v>
      </c>
      <c r="S3719" s="38" t="e">
        <f>Tabla1[[#This Row],[StockDisp]]*Tabla1[[#This Row],[UM producto]]</f>
        <v>#VALUE!</v>
      </c>
    </row>
    <row r="3720" spans="1:19" x14ac:dyDescent="0.35">
      <c r="A3720" s="5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6"/>
      <c r="P3720" s="23" t="e">
        <f>TRIM(Tabla1[[#This Row],[Articulo]])</f>
        <v>#VALUE!</v>
      </c>
      <c r="Q3720" s="23" t="e">
        <f>_xlfn.XLOOKUP(Tabla1[[#This Row],[Ean Normalizado]],Consumos!A:A,Consumos!E:E)</f>
        <v>#VALUE!</v>
      </c>
      <c r="R3720" s="38" t="e">
        <f>_xlfn.XLOOKUP(Tabla1[[#This Row],[Ean Normalizado]],tabla_consumos[EAN],tabla_consumos[UM])</f>
        <v>#VALUE!</v>
      </c>
      <c r="S3720" s="38" t="e">
        <f>Tabla1[[#This Row],[StockDisp]]*Tabla1[[#This Row],[UM producto]]</f>
        <v>#VALUE!</v>
      </c>
    </row>
    <row r="3721" spans="1:19" x14ac:dyDescent="0.35">
      <c r="A3721" s="5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6"/>
      <c r="P3721" s="23" t="e">
        <f>TRIM(Tabla1[[#This Row],[Articulo]])</f>
        <v>#VALUE!</v>
      </c>
      <c r="Q3721" s="23" t="e">
        <f>_xlfn.XLOOKUP(Tabla1[[#This Row],[Ean Normalizado]],Consumos!A:A,Consumos!E:E)</f>
        <v>#VALUE!</v>
      </c>
      <c r="R3721" s="38" t="e">
        <f>_xlfn.XLOOKUP(Tabla1[[#This Row],[Ean Normalizado]],tabla_consumos[EAN],tabla_consumos[UM])</f>
        <v>#VALUE!</v>
      </c>
      <c r="S3721" s="38" t="e">
        <f>Tabla1[[#This Row],[StockDisp]]*Tabla1[[#This Row],[UM producto]]</f>
        <v>#VALUE!</v>
      </c>
    </row>
    <row r="3722" spans="1:19" x14ac:dyDescent="0.35">
      <c r="A3722" s="5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6"/>
      <c r="P3722" s="23" t="e">
        <f>TRIM(Tabla1[[#This Row],[Articulo]])</f>
        <v>#VALUE!</v>
      </c>
      <c r="Q3722" s="23" t="e">
        <f>_xlfn.XLOOKUP(Tabla1[[#This Row],[Ean Normalizado]],Consumos!A:A,Consumos!E:E)</f>
        <v>#VALUE!</v>
      </c>
      <c r="R3722" s="38" t="e">
        <f>_xlfn.XLOOKUP(Tabla1[[#This Row],[Ean Normalizado]],tabla_consumos[EAN],tabla_consumos[UM])</f>
        <v>#VALUE!</v>
      </c>
      <c r="S3722" s="38" t="e">
        <f>Tabla1[[#This Row],[StockDisp]]*Tabla1[[#This Row],[UM producto]]</f>
        <v>#VALUE!</v>
      </c>
    </row>
    <row r="3723" spans="1:19" x14ac:dyDescent="0.35">
      <c r="A3723" s="5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6"/>
      <c r="P3723" s="23" t="e">
        <f>TRIM(Tabla1[[#This Row],[Articulo]])</f>
        <v>#VALUE!</v>
      </c>
      <c r="Q3723" s="23" t="e">
        <f>_xlfn.XLOOKUP(Tabla1[[#This Row],[Ean Normalizado]],Consumos!A:A,Consumos!E:E)</f>
        <v>#VALUE!</v>
      </c>
      <c r="R3723" s="38" t="e">
        <f>_xlfn.XLOOKUP(Tabla1[[#This Row],[Ean Normalizado]],tabla_consumos[EAN],tabla_consumos[UM])</f>
        <v>#VALUE!</v>
      </c>
      <c r="S3723" s="38" t="e">
        <f>Tabla1[[#This Row],[StockDisp]]*Tabla1[[#This Row],[UM producto]]</f>
        <v>#VALUE!</v>
      </c>
    </row>
    <row r="3724" spans="1:19" x14ac:dyDescent="0.35">
      <c r="A3724" s="5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6"/>
      <c r="P3724" s="23" t="e">
        <f>TRIM(Tabla1[[#This Row],[Articulo]])</f>
        <v>#VALUE!</v>
      </c>
      <c r="Q3724" s="23" t="e">
        <f>_xlfn.XLOOKUP(Tabla1[[#This Row],[Ean Normalizado]],Consumos!A:A,Consumos!E:E)</f>
        <v>#VALUE!</v>
      </c>
      <c r="R3724" s="38" t="e">
        <f>_xlfn.XLOOKUP(Tabla1[[#This Row],[Ean Normalizado]],tabla_consumos[EAN],tabla_consumos[UM])</f>
        <v>#VALUE!</v>
      </c>
      <c r="S3724" s="38" t="e">
        <f>Tabla1[[#This Row],[StockDisp]]*Tabla1[[#This Row],[UM producto]]</f>
        <v>#VALUE!</v>
      </c>
    </row>
    <row r="3725" spans="1:19" x14ac:dyDescent="0.35">
      <c r="A3725" s="5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6"/>
      <c r="P3725" s="23" t="e">
        <f>TRIM(Tabla1[[#This Row],[Articulo]])</f>
        <v>#VALUE!</v>
      </c>
      <c r="Q3725" s="23" t="e">
        <f>_xlfn.XLOOKUP(Tabla1[[#This Row],[Ean Normalizado]],Consumos!A:A,Consumos!E:E)</f>
        <v>#VALUE!</v>
      </c>
      <c r="R3725" s="38" t="e">
        <f>_xlfn.XLOOKUP(Tabla1[[#This Row],[Ean Normalizado]],tabla_consumos[EAN],tabla_consumos[UM])</f>
        <v>#VALUE!</v>
      </c>
      <c r="S3725" s="38" t="e">
        <f>Tabla1[[#This Row],[StockDisp]]*Tabla1[[#This Row],[UM producto]]</f>
        <v>#VALUE!</v>
      </c>
    </row>
    <row r="3726" spans="1:19" x14ac:dyDescent="0.35">
      <c r="A3726" s="5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6"/>
      <c r="P3726" s="23" t="e">
        <f>TRIM(Tabla1[[#This Row],[Articulo]])</f>
        <v>#VALUE!</v>
      </c>
      <c r="Q3726" s="23" t="e">
        <f>_xlfn.XLOOKUP(Tabla1[[#This Row],[Ean Normalizado]],Consumos!A:A,Consumos!E:E)</f>
        <v>#VALUE!</v>
      </c>
      <c r="R3726" s="38" t="e">
        <f>_xlfn.XLOOKUP(Tabla1[[#This Row],[Ean Normalizado]],tabla_consumos[EAN],tabla_consumos[UM])</f>
        <v>#VALUE!</v>
      </c>
      <c r="S3726" s="38" t="e">
        <f>Tabla1[[#This Row],[StockDisp]]*Tabla1[[#This Row],[UM producto]]</f>
        <v>#VALUE!</v>
      </c>
    </row>
    <row r="3727" spans="1:19" x14ac:dyDescent="0.35">
      <c r="A3727" s="5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6"/>
      <c r="P3727" s="23" t="e">
        <f>TRIM(Tabla1[[#This Row],[Articulo]])</f>
        <v>#VALUE!</v>
      </c>
      <c r="Q3727" s="23" t="e">
        <f>_xlfn.XLOOKUP(Tabla1[[#This Row],[Ean Normalizado]],Consumos!A:A,Consumos!E:E)</f>
        <v>#VALUE!</v>
      </c>
      <c r="R3727" s="38" t="e">
        <f>_xlfn.XLOOKUP(Tabla1[[#This Row],[Ean Normalizado]],tabla_consumos[EAN],tabla_consumos[UM])</f>
        <v>#VALUE!</v>
      </c>
      <c r="S3727" s="38" t="e">
        <f>Tabla1[[#This Row],[StockDisp]]*Tabla1[[#This Row],[UM producto]]</f>
        <v>#VALUE!</v>
      </c>
    </row>
    <row r="3728" spans="1:19" x14ac:dyDescent="0.35">
      <c r="A3728" s="5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6"/>
      <c r="P3728" s="23" t="e">
        <f>TRIM(Tabla1[[#This Row],[Articulo]])</f>
        <v>#VALUE!</v>
      </c>
      <c r="Q3728" s="23" t="e">
        <f>_xlfn.XLOOKUP(Tabla1[[#This Row],[Ean Normalizado]],Consumos!A:A,Consumos!E:E)</f>
        <v>#VALUE!</v>
      </c>
      <c r="R3728" s="38" t="e">
        <f>_xlfn.XLOOKUP(Tabla1[[#This Row],[Ean Normalizado]],tabla_consumos[EAN],tabla_consumos[UM])</f>
        <v>#VALUE!</v>
      </c>
      <c r="S3728" s="38" t="e">
        <f>Tabla1[[#This Row],[StockDisp]]*Tabla1[[#This Row],[UM producto]]</f>
        <v>#VALUE!</v>
      </c>
    </row>
    <row r="3729" spans="1:19" x14ac:dyDescent="0.35">
      <c r="A3729" s="5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6"/>
      <c r="P3729" s="23" t="e">
        <f>TRIM(Tabla1[[#This Row],[Articulo]])</f>
        <v>#VALUE!</v>
      </c>
      <c r="Q3729" s="23" t="e">
        <f>_xlfn.XLOOKUP(Tabla1[[#This Row],[Ean Normalizado]],Consumos!A:A,Consumos!E:E)</f>
        <v>#VALUE!</v>
      </c>
      <c r="R3729" s="38" t="e">
        <f>_xlfn.XLOOKUP(Tabla1[[#This Row],[Ean Normalizado]],tabla_consumos[EAN],tabla_consumos[UM])</f>
        <v>#VALUE!</v>
      </c>
      <c r="S3729" s="38" t="e">
        <f>Tabla1[[#This Row],[StockDisp]]*Tabla1[[#This Row],[UM producto]]</f>
        <v>#VALUE!</v>
      </c>
    </row>
    <row r="3730" spans="1:19" x14ac:dyDescent="0.35">
      <c r="A3730" s="5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6"/>
      <c r="P3730" s="23" t="e">
        <f>TRIM(Tabla1[[#This Row],[Articulo]])</f>
        <v>#VALUE!</v>
      </c>
      <c r="Q3730" s="23" t="e">
        <f>_xlfn.XLOOKUP(Tabla1[[#This Row],[Ean Normalizado]],Consumos!A:A,Consumos!E:E)</f>
        <v>#VALUE!</v>
      </c>
      <c r="R3730" s="38" t="e">
        <f>_xlfn.XLOOKUP(Tabla1[[#This Row],[Ean Normalizado]],tabla_consumos[EAN],tabla_consumos[UM])</f>
        <v>#VALUE!</v>
      </c>
      <c r="S3730" s="38" t="e">
        <f>Tabla1[[#This Row],[StockDisp]]*Tabla1[[#This Row],[UM producto]]</f>
        <v>#VALUE!</v>
      </c>
    </row>
    <row r="3731" spans="1:19" x14ac:dyDescent="0.35">
      <c r="A3731" s="5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6"/>
      <c r="P3731" s="23" t="e">
        <f>TRIM(Tabla1[[#This Row],[Articulo]])</f>
        <v>#VALUE!</v>
      </c>
      <c r="Q3731" s="23" t="e">
        <f>_xlfn.XLOOKUP(Tabla1[[#This Row],[Ean Normalizado]],Consumos!A:A,Consumos!E:E)</f>
        <v>#VALUE!</v>
      </c>
      <c r="R3731" s="38" t="e">
        <f>_xlfn.XLOOKUP(Tabla1[[#This Row],[Ean Normalizado]],tabla_consumos[EAN],tabla_consumos[UM])</f>
        <v>#VALUE!</v>
      </c>
      <c r="S3731" s="38" t="e">
        <f>Tabla1[[#This Row],[StockDisp]]*Tabla1[[#This Row],[UM producto]]</f>
        <v>#VALUE!</v>
      </c>
    </row>
    <row r="3732" spans="1:19" x14ac:dyDescent="0.35">
      <c r="A3732" s="5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6"/>
      <c r="P3732" s="23" t="e">
        <f>TRIM(Tabla1[[#This Row],[Articulo]])</f>
        <v>#VALUE!</v>
      </c>
      <c r="Q3732" s="23" t="e">
        <f>_xlfn.XLOOKUP(Tabla1[[#This Row],[Ean Normalizado]],Consumos!A:A,Consumos!E:E)</f>
        <v>#VALUE!</v>
      </c>
      <c r="R3732" s="38" t="e">
        <f>_xlfn.XLOOKUP(Tabla1[[#This Row],[Ean Normalizado]],tabla_consumos[EAN],tabla_consumos[UM])</f>
        <v>#VALUE!</v>
      </c>
      <c r="S3732" s="38" t="e">
        <f>Tabla1[[#This Row],[StockDisp]]*Tabla1[[#This Row],[UM producto]]</f>
        <v>#VALUE!</v>
      </c>
    </row>
    <row r="3733" spans="1:19" x14ac:dyDescent="0.35">
      <c r="A3733" s="5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6"/>
      <c r="P3733" s="23" t="e">
        <f>TRIM(Tabla1[[#This Row],[Articulo]])</f>
        <v>#VALUE!</v>
      </c>
      <c r="Q3733" s="23" t="e">
        <f>_xlfn.XLOOKUP(Tabla1[[#This Row],[Ean Normalizado]],Consumos!A:A,Consumos!E:E)</f>
        <v>#VALUE!</v>
      </c>
      <c r="R3733" s="38" t="e">
        <f>_xlfn.XLOOKUP(Tabla1[[#This Row],[Ean Normalizado]],tabla_consumos[EAN],tabla_consumos[UM])</f>
        <v>#VALUE!</v>
      </c>
      <c r="S3733" s="38" t="e">
        <f>Tabla1[[#This Row],[StockDisp]]*Tabla1[[#This Row],[UM producto]]</f>
        <v>#VALUE!</v>
      </c>
    </row>
    <row r="3734" spans="1:19" x14ac:dyDescent="0.35">
      <c r="A3734" s="5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6"/>
      <c r="P3734" s="23" t="e">
        <f>TRIM(Tabla1[[#This Row],[Articulo]])</f>
        <v>#VALUE!</v>
      </c>
      <c r="Q3734" s="23" t="e">
        <f>_xlfn.XLOOKUP(Tabla1[[#This Row],[Ean Normalizado]],Consumos!A:A,Consumos!E:E)</f>
        <v>#VALUE!</v>
      </c>
      <c r="R3734" s="38" t="e">
        <f>_xlfn.XLOOKUP(Tabla1[[#This Row],[Ean Normalizado]],tabla_consumos[EAN],tabla_consumos[UM])</f>
        <v>#VALUE!</v>
      </c>
      <c r="S3734" s="38" t="e">
        <f>Tabla1[[#This Row],[StockDisp]]*Tabla1[[#This Row],[UM producto]]</f>
        <v>#VALUE!</v>
      </c>
    </row>
    <row r="3735" spans="1:19" x14ac:dyDescent="0.35">
      <c r="A3735" s="5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6"/>
      <c r="P3735" s="23" t="e">
        <f>TRIM(Tabla1[[#This Row],[Articulo]])</f>
        <v>#VALUE!</v>
      </c>
      <c r="Q3735" s="23" t="e">
        <f>_xlfn.XLOOKUP(Tabla1[[#This Row],[Ean Normalizado]],Consumos!A:A,Consumos!E:E)</f>
        <v>#VALUE!</v>
      </c>
      <c r="R3735" s="38" t="e">
        <f>_xlfn.XLOOKUP(Tabla1[[#This Row],[Ean Normalizado]],tabla_consumos[EAN],tabla_consumos[UM])</f>
        <v>#VALUE!</v>
      </c>
      <c r="S3735" s="38" t="e">
        <f>Tabla1[[#This Row],[StockDisp]]*Tabla1[[#This Row],[UM producto]]</f>
        <v>#VALUE!</v>
      </c>
    </row>
    <row r="3736" spans="1:19" x14ac:dyDescent="0.35">
      <c r="A3736" s="5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6"/>
      <c r="P3736" s="23" t="e">
        <f>TRIM(Tabla1[[#This Row],[Articulo]])</f>
        <v>#VALUE!</v>
      </c>
      <c r="Q3736" s="23" t="e">
        <f>_xlfn.XLOOKUP(Tabla1[[#This Row],[Ean Normalizado]],Consumos!A:A,Consumos!E:E)</f>
        <v>#VALUE!</v>
      </c>
      <c r="R3736" s="38" t="e">
        <f>_xlfn.XLOOKUP(Tabla1[[#This Row],[Ean Normalizado]],tabla_consumos[EAN],tabla_consumos[UM])</f>
        <v>#VALUE!</v>
      </c>
      <c r="S3736" s="38" t="e">
        <f>Tabla1[[#This Row],[StockDisp]]*Tabla1[[#This Row],[UM producto]]</f>
        <v>#VALUE!</v>
      </c>
    </row>
    <row r="3737" spans="1:19" x14ac:dyDescent="0.35">
      <c r="A3737" s="5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6"/>
      <c r="P3737" s="23" t="e">
        <f>TRIM(Tabla1[[#This Row],[Articulo]])</f>
        <v>#VALUE!</v>
      </c>
      <c r="Q3737" s="23" t="e">
        <f>_xlfn.XLOOKUP(Tabla1[[#This Row],[Ean Normalizado]],Consumos!A:A,Consumos!E:E)</f>
        <v>#VALUE!</v>
      </c>
      <c r="R3737" s="38" t="e">
        <f>_xlfn.XLOOKUP(Tabla1[[#This Row],[Ean Normalizado]],tabla_consumos[EAN],tabla_consumos[UM])</f>
        <v>#VALUE!</v>
      </c>
      <c r="S3737" s="38" t="e">
        <f>Tabla1[[#This Row],[StockDisp]]*Tabla1[[#This Row],[UM producto]]</f>
        <v>#VALUE!</v>
      </c>
    </row>
    <row r="3738" spans="1:19" x14ac:dyDescent="0.35">
      <c r="A3738" s="5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6"/>
      <c r="P3738" s="23" t="e">
        <f>TRIM(Tabla1[[#This Row],[Articulo]])</f>
        <v>#VALUE!</v>
      </c>
      <c r="Q3738" s="23" t="e">
        <f>_xlfn.XLOOKUP(Tabla1[[#This Row],[Ean Normalizado]],Consumos!A:A,Consumos!E:E)</f>
        <v>#VALUE!</v>
      </c>
      <c r="R3738" s="38" t="e">
        <f>_xlfn.XLOOKUP(Tabla1[[#This Row],[Ean Normalizado]],tabla_consumos[EAN],tabla_consumos[UM])</f>
        <v>#VALUE!</v>
      </c>
      <c r="S3738" s="38" t="e">
        <f>Tabla1[[#This Row],[StockDisp]]*Tabla1[[#This Row],[UM producto]]</f>
        <v>#VALUE!</v>
      </c>
    </row>
    <row r="3739" spans="1:19" x14ac:dyDescent="0.35">
      <c r="A3739" s="5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6"/>
      <c r="P3739" s="23" t="e">
        <f>TRIM(Tabla1[[#This Row],[Articulo]])</f>
        <v>#VALUE!</v>
      </c>
      <c r="Q3739" s="23" t="e">
        <f>_xlfn.XLOOKUP(Tabla1[[#This Row],[Ean Normalizado]],Consumos!A:A,Consumos!E:E)</f>
        <v>#VALUE!</v>
      </c>
      <c r="R3739" s="38" t="e">
        <f>_xlfn.XLOOKUP(Tabla1[[#This Row],[Ean Normalizado]],tabla_consumos[EAN],tabla_consumos[UM])</f>
        <v>#VALUE!</v>
      </c>
      <c r="S3739" s="38" t="e">
        <f>Tabla1[[#This Row],[StockDisp]]*Tabla1[[#This Row],[UM producto]]</f>
        <v>#VALUE!</v>
      </c>
    </row>
    <row r="3740" spans="1:19" x14ac:dyDescent="0.35">
      <c r="A3740" s="5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6"/>
      <c r="P3740" s="23" t="e">
        <f>TRIM(Tabla1[[#This Row],[Articulo]])</f>
        <v>#VALUE!</v>
      </c>
      <c r="Q3740" s="23" t="e">
        <f>_xlfn.XLOOKUP(Tabla1[[#This Row],[Ean Normalizado]],Consumos!A:A,Consumos!E:E)</f>
        <v>#VALUE!</v>
      </c>
      <c r="R3740" s="38" t="e">
        <f>_xlfn.XLOOKUP(Tabla1[[#This Row],[Ean Normalizado]],tabla_consumos[EAN],tabla_consumos[UM])</f>
        <v>#VALUE!</v>
      </c>
      <c r="S3740" s="38" t="e">
        <f>Tabla1[[#This Row],[StockDisp]]*Tabla1[[#This Row],[UM producto]]</f>
        <v>#VALUE!</v>
      </c>
    </row>
    <row r="3741" spans="1:19" x14ac:dyDescent="0.35">
      <c r="A3741" s="5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6"/>
      <c r="P3741" s="23" t="e">
        <f>TRIM(Tabla1[[#This Row],[Articulo]])</f>
        <v>#VALUE!</v>
      </c>
      <c r="Q3741" s="23" t="e">
        <f>_xlfn.XLOOKUP(Tabla1[[#This Row],[Ean Normalizado]],Consumos!A:A,Consumos!E:E)</f>
        <v>#VALUE!</v>
      </c>
      <c r="R3741" s="38" t="e">
        <f>_xlfn.XLOOKUP(Tabla1[[#This Row],[Ean Normalizado]],tabla_consumos[EAN],tabla_consumos[UM])</f>
        <v>#VALUE!</v>
      </c>
      <c r="S3741" s="38" t="e">
        <f>Tabla1[[#This Row],[StockDisp]]*Tabla1[[#This Row],[UM producto]]</f>
        <v>#VALUE!</v>
      </c>
    </row>
    <row r="3742" spans="1:19" x14ac:dyDescent="0.35">
      <c r="A3742" s="5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6"/>
      <c r="P3742" s="23" t="e">
        <f>TRIM(Tabla1[[#This Row],[Articulo]])</f>
        <v>#VALUE!</v>
      </c>
      <c r="Q3742" s="23" t="e">
        <f>_xlfn.XLOOKUP(Tabla1[[#This Row],[Ean Normalizado]],Consumos!A:A,Consumos!E:E)</f>
        <v>#VALUE!</v>
      </c>
      <c r="R3742" s="38" t="e">
        <f>_xlfn.XLOOKUP(Tabla1[[#This Row],[Ean Normalizado]],tabla_consumos[EAN],tabla_consumos[UM])</f>
        <v>#VALUE!</v>
      </c>
      <c r="S3742" s="38" t="e">
        <f>Tabla1[[#This Row],[StockDisp]]*Tabla1[[#This Row],[UM producto]]</f>
        <v>#VALUE!</v>
      </c>
    </row>
    <row r="3743" spans="1:19" x14ac:dyDescent="0.35">
      <c r="A3743" s="5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6"/>
      <c r="P3743" s="23" t="e">
        <f>TRIM(Tabla1[[#This Row],[Articulo]])</f>
        <v>#VALUE!</v>
      </c>
      <c r="Q3743" s="23" t="e">
        <f>_xlfn.XLOOKUP(Tabla1[[#This Row],[Ean Normalizado]],Consumos!A:A,Consumos!E:E)</f>
        <v>#VALUE!</v>
      </c>
      <c r="R3743" s="38" t="e">
        <f>_xlfn.XLOOKUP(Tabla1[[#This Row],[Ean Normalizado]],tabla_consumos[EAN],tabla_consumos[UM])</f>
        <v>#VALUE!</v>
      </c>
      <c r="S3743" s="38" t="e">
        <f>Tabla1[[#This Row],[StockDisp]]*Tabla1[[#This Row],[UM producto]]</f>
        <v>#VALUE!</v>
      </c>
    </row>
    <row r="3744" spans="1:19" x14ac:dyDescent="0.35">
      <c r="A3744" s="5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6"/>
      <c r="P3744" s="23" t="e">
        <f>TRIM(Tabla1[[#This Row],[Articulo]])</f>
        <v>#VALUE!</v>
      </c>
      <c r="Q3744" s="23" t="e">
        <f>_xlfn.XLOOKUP(Tabla1[[#This Row],[Ean Normalizado]],Consumos!A:A,Consumos!E:E)</f>
        <v>#VALUE!</v>
      </c>
      <c r="R3744" s="38" t="e">
        <f>_xlfn.XLOOKUP(Tabla1[[#This Row],[Ean Normalizado]],tabla_consumos[EAN],tabla_consumos[UM])</f>
        <v>#VALUE!</v>
      </c>
      <c r="S3744" s="38" t="e">
        <f>Tabla1[[#This Row],[StockDisp]]*Tabla1[[#This Row],[UM producto]]</f>
        <v>#VALUE!</v>
      </c>
    </row>
    <row r="3745" spans="1:19" x14ac:dyDescent="0.35">
      <c r="A3745" s="5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6"/>
      <c r="P3745" s="23" t="e">
        <f>TRIM(Tabla1[[#This Row],[Articulo]])</f>
        <v>#VALUE!</v>
      </c>
      <c r="Q3745" s="23" t="e">
        <f>_xlfn.XLOOKUP(Tabla1[[#This Row],[Ean Normalizado]],Consumos!A:A,Consumos!E:E)</f>
        <v>#VALUE!</v>
      </c>
      <c r="R3745" s="38" t="e">
        <f>_xlfn.XLOOKUP(Tabla1[[#This Row],[Ean Normalizado]],tabla_consumos[EAN],tabla_consumos[UM])</f>
        <v>#VALUE!</v>
      </c>
      <c r="S3745" s="38" t="e">
        <f>Tabla1[[#This Row],[StockDisp]]*Tabla1[[#This Row],[UM producto]]</f>
        <v>#VALUE!</v>
      </c>
    </row>
    <row r="3746" spans="1:19" x14ac:dyDescent="0.35">
      <c r="A3746" s="5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6"/>
      <c r="P3746" s="23" t="e">
        <f>TRIM(Tabla1[[#This Row],[Articulo]])</f>
        <v>#VALUE!</v>
      </c>
      <c r="Q3746" s="23" t="e">
        <f>_xlfn.XLOOKUP(Tabla1[[#This Row],[Ean Normalizado]],Consumos!A:A,Consumos!E:E)</f>
        <v>#VALUE!</v>
      </c>
      <c r="R3746" s="38" t="e">
        <f>_xlfn.XLOOKUP(Tabla1[[#This Row],[Ean Normalizado]],tabla_consumos[EAN],tabla_consumos[UM])</f>
        <v>#VALUE!</v>
      </c>
      <c r="S3746" s="38" t="e">
        <f>Tabla1[[#This Row],[StockDisp]]*Tabla1[[#This Row],[UM producto]]</f>
        <v>#VALUE!</v>
      </c>
    </row>
    <row r="3747" spans="1:19" x14ac:dyDescent="0.35">
      <c r="A3747" s="5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6"/>
      <c r="P3747" s="23" t="e">
        <f>TRIM(Tabla1[[#This Row],[Articulo]])</f>
        <v>#VALUE!</v>
      </c>
      <c r="Q3747" s="23" t="e">
        <f>_xlfn.XLOOKUP(Tabla1[[#This Row],[Ean Normalizado]],Consumos!A:A,Consumos!E:E)</f>
        <v>#VALUE!</v>
      </c>
      <c r="R3747" s="38" t="e">
        <f>_xlfn.XLOOKUP(Tabla1[[#This Row],[Ean Normalizado]],tabla_consumos[EAN],tabla_consumos[UM])</f>
        <v>#VALUE!</v>
      </c>
      <c r="S3747" s="38" t="e">
        <f>Tabla1[[#This Row],[StockDisp]]*Tabla1[[#This Row],[UM producto]]</f>
        <v>#VALUE!</v>
      </c>
    </row>
    <row r="3748" spans="1:19" x14ac:dyDescent="0.35">
      <c r="A3748" s="5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6"/>
      <c r="P3748" s="23" t="e">
        <f>TRIM(Tabla1[[#This Row],[Articulo]])</f>
        <v>#VALUE!</v>
      </c>
      <c r="Q3748" s="23" t="e">
        <f>_xlfn.XLOOKUP(Tabla1[[#This Row],[Ean Normalizado]],Consumos!A:A,Consumos!E:E)</f>
        <v>#VALUE!</v>
      </c>
      <c r="R3748" s="38" t="e">
        <f>_xlfn.XLOOKUP(Tabla1[[#This Row],[Ean Normalizado]],tabla_consumos[EAN],tabla_consumos[UM])</f>
        <v>#VALUE!</v>
      </c>
      <c r="S3748" s="38" t="e">
        <f>Tabla1[[#This Row],[StockDisp]]*Tabla1[[#This Row],[UM producto]]</f>
        <v>#VALUE!</v>
      </c>
    </row>
    <row r="3749" spans="1:19" x14ac:dyDescent="0.35">
      <c r="A3749" s="5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6"/>
      <c r="P3749" s="23" t="e">
        <f>TRIM(Tabla1[[#This Row],[Articulo]])</f>
        <v>#VALUE!</v>
      </c>
      <c r="Q3749" s="23" t="e">
        <f>_xlfn.XLOOKUP(Tabla1[[#This Row],[Ean Normalizado]],Consumos!A:A,Consumos!E:E)</f>
        <v>#VALUE!</v>
      </c>
      <c r="R3749" s="38" t="e">
        <f>_xlfn.XLOOKUP(Tabla1[[#This Row],[Ean Normalizado]],tabla_consumos[EAN],tabla_consumos[UM])</f>
        <v>#VALUE!</v>
      </c>
      <c r="S3749" s="38" t="e">
        <f>Tabla1[[#This Row],[StockDisp]]*Tabla1[[#This Row],[UM producto]]</f>
        <v>#VALUE!</v>
      </c>
    </row>
    <row r="3750" spans="1:19" x14ac:dyDescent="0.35">
      <c r="A3750" s="5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6"/>
      <c r="P3750" s="23" t="e">
        <f>TRIM(Tabla1[[#This Row],[Articulo]])</f>
        <v>#VALUE!</v>
      </c>
      <c r="Q3750" s="23" t="e">
        <f>_xlfn.XLOOKUP(Tabla1[[#This Row],[Ean Normalizado]],Consumos!A:A,Consumos!E:E)</f>
        <v>#VALUE!</v>
      </c>
      <c r="R3750" s="38" t="e">
        <f>_xlfn.XLOOKUP(Tabla1[[#This Row],[Ean Normalizado]],tabla_consumos[EAN],tabla_consumos[UM])</f>
        <v>#VALUE!</v>
      </c>
      <c r="S3750" s="38" t="e">
        <f>Tabla1[[#This Row],[StockDisp]]*Tabla1[[#This Row],[UM producto]]</f>
        <v>#VALUE!</v>
      </c>
    </row>
    <row r="3751" spans="1:19" x14ac:dyDescent="0.35">
      <c r="A3751" s="5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6"/>
      <c r="P3751" s="23" t="e">
        <f>TRIM(Tabla1[[#This Row],[Articulo]])</f>
        <v>#VALUE!</v>
      </c>
      <c r="Q3751" s="23" t="e">
        <f>_xlfn.XLOOKUP(Tabla1[[#This Row],[Ean Normalizado]],Consumos!A:A,Consumos!E:E)</f>
        <v>#VALUE!</v>
      </c>
      <c r="R3751" s="38" t="e">
        <f>_xlfn.XLOOKUP(Tabla1[[#This Row],[Ean Normalizado]],tabla_consumos[EAN],tabla_consumos[UM])</f>
        <v>#VALUE!</v>
      </c>
      <c r="S3751" s="38" t="e">
        <f>Tabla1[[#This Row],[StockDisp]]*Tabla1[[#This Row],[UM producto]]</f>
        <v>#VALUE!</v>
      </c>
    </row>
    <row r="3752" spans="1:19" x14ac:dyDescent="0.35">
      <c r="A3752" s="5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6"/>
      <c r="P3752" s="23" t="e">
        <f>TRIM(Tabla1[[#This Row],[Articulo]])</f>
        <v>#VALUE!</v>
      </c>
      <c r="Q3752" s="23" t="e">
        <f>_xlfn.XLOOKUP(Tabla1[[#This Row],[Ean Normalizado]],Consumos!A:A,Consumos!E:E)</f>
        <v>#VALUE!</v>
      </c>
      <c r="R3752" s="38" t="e">
        <f>_xlfn.XLOOKUP(Tabla1[[#This Row],[Ean Normalizado]],tabla_consumos[EAN],tabla_consumos[UM])</f>
        <v>#VALUE!</v>
      </c>
      <c r="S3752" s="38" t="e">
        <f>Tabla1[[#This Row],[StockDisp]]*Tabla1[[#This Row],[UM producto]]</f>
        <v>#VALUE!</v>
      </c>
    </row>
    <row r="3753" spans="1:19" x14ac:dyDescent="0.35">
      <c r="A3753" s="5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6"/>
      <c r="P3753" s="23" t="e">
        <f>TRIM(Tabla1[[#This Row],[Articulo]])</f>
        <v>#VALUE!</v>
      </c>
      <c r="Q3753" s="23" t="e">
        <f>_xlfn.XLOOKUP(Tabla1[[#This Row],[Ean Normalizado]],Consumos!A:A,Consumos!E:E)</f>
        <v>#VALUE!</v>
      </c>
      <c r="R3753" s="38" t="e">
        <f>_xlfn.XLOOKUP(Tabla1[[#This Row],[Ean Normalizado]],tabla_consumos[EAN],tabla_consumos[UM])</f>
        <v>#VALUE!</v>
      </c>
      <c r="S3753" s="38" t="e">
        <f>Tabla1[[#This Row],[StockDisp]]*Tabla1[[#This Row],[UM producto]]</f>
        <v>#VALUE!</v>
      </c>
    </row>
    <row r="3754" spans="1:19" x14ac:dyDescent="0.35">
      <c r="A3754" s="5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6"/>
      <c r="P3754" s="23" t="e">
        <f>TRIM(Tabla1[[#This Row],[Articulo]])</f>
        <v>#VALUE!</v>
      </c>
      <c r="Q3754" s="23" t="e">
        <f>_xlfn.XLOOKUP(Tabla1[[#This Row],[Ean Normalizado]],Consumos!A:A,Consumos!E:E)</f>
        <v>#VALUE!</v>
      </c>
      <c r="R3754" s="38" t="e">
        <f>_xlfn.XLOOKUP(Tabla1[[#This Row],[Ean Normalizado]],tabla_consumos[EAN],tabla_consumos[UM])</f>
        <v>#VALUE!</v>
      </c>
      <c r="S3754" s="38" t="e">
        <f>Tabla1[[#This Row],[StockDisp]]*Tabla1[[#This Row],[UM producto]]</f>
        <v>#VALUE!</v>
      </c>
    </row>
    <row r="3755" spans="1:19" x14ac:dyDescent="0.35">
      <c r="A3755" s="5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6"/>
      <c r="P3755" s="23" t="e">
        <f>TRIM(Tabla1[[#This Row],[Articulo]])</f>
        <v>#VALUE!</v>
      </c>
      <c r="Q3755" s="23" t="e">
        <f>_xlfn.XLOOKUP(Tabla1[[#This Row],[Ean Normalizado]],Consumos!A:A,Consumos!E:E)</f>
        <v>#VALUE!</v>
      </c>
      <c r="R3755" s="38" t="e">
        <f>_xlfn.XLOOKUP(Tabla1[[#This Row],[Ean Normalizado]],tabla_consumos[EAN],tabla_consumos[UM])</f>
        <v>#VALUE!</v>
      </c>
      <c r="S3755" s="38" t="e">
        <f>Tabla1[[#This Row],[StockDisp]]*Tabla1[[#This Row],[UM producto]]</f>
        <v>#VALUE!</v>
      </c>
    </row>
    <row r="3756" spans="1:19" x14ac:dyDescent="0.35">
      <c r="A3756" s="5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6"/>
      <c r="P3756" s="23" t="e">
        <f>TRIM(Tabla1[[#This Row],[Articulo]])</f>
        <v>#VALUE!</v>
      </c>
      <c r="Q3756" s="23" t="e">
        <f>_xlfn.XLOOKUP(Tabla1[[#This Row],[Ean Normalizado]],Consumos!A:A,Consumos!E:E)</f>
        <v>#VALUE!</v>
      </c>
      <c r="R3756" s="38" t="e">
        <f>_xlfn.XLOOKUP(Tabla1[[#This Row],[Ean Normalizado]],tabla_consumos[EAN],tabla_consumos[UM])</f>
        <v>#VALUE!</v>
      </c>
      <c r="S3756" s="38" t="e">
        <f>Tabla1[[#This Row],[StockDisp]]*Tabla1[[#This Row],[UM producto]]</f>
        <v>#VALUE!</v>
      </c>
    </row>
    <row r="3757" spans="1:19" x14ac:dyDescent="0.35">
      <c r="A3757" s="5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6"/>
      <c r="P3757" s="23" t="e">
        <f>TRIM(Tabla1[[#This Row],[Articulo]])</f>
        <v>#VALUE!</v>
      </c>
      <c r="Q3757" s="23" t="e">
        <f>_xlfn.XLOOKUP(Tabla1[[#This Row],[Ean Normalizado]],Consumos!A:A,Consumos!E:E)</f>
        <v>#VALUE!</v>
      </c>
      <c r="R3757" s="38" t="e">
        <f>_xlfn.XLOOKUP(Tabla1[[#This Row],[Ean Normalizado]],tabla_consumos[EAN],tabla_consumos[UM])</f>
        <v>#VALUE!</v>
      </c>
      <c r="S3757" s="38" t="e">
        <f>Tabla1[[#This Row],[StockDisp]]*Tabla1[[#This Row],[UM producto]]</f>
        <v>#VALUE!</v>
      </c>
    </row>
    <row r="3758" spans="1:19" x14ac:dyDescent="0.35">
      <c r="A3758" s="5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6"/>
      <c r="P3758" s="23" t="e">
        <f>TRIM(Tabla1[[#This Row],[Articulo]])</f>
        <v>#VALUE!</v>
      </c>
      <c r="Q3758" s="23" t="e">
        <f>_xlfn.XLOOKUP(Tabla1[[#This Row],[Ean Normalizado]],Consumos!A:A,Consumos!E:E)</f>
        <v>#VALUE!</v>
      </c>
      <c r="R3758" s="38" t="e">
        <f>_xlfn.XLOOKUP(Tabla1[[#This Row],[Ean Normalizado]],tabla_consumos[EAN],tabla_consumos[UM])</f>
        <v>#VALUE!</v>
      </c>
      <c r="S3758" s="38" t="e">
        <f>Tabla1[[#This Row],[StockDisp]]*Tabla1[[#This Row],[UM producto]]</f>
        <v>#VALUE!</v>
      </c>
    </row>
    <row r="3759" spans="1:19" x14ac:dyDescent="0.35">
      <c r="A3759" s="5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6"/>
      <c r="P3759" s="23" t="e">
        <f>TRIM(Tabla1[[#This Row],[Articulo]])</f>
        <v>#VALUE!</v>
      </c>
      <c r="Q3759" s="23" t="e">
        <f>_xlfn.XLOOKUP(Tabla1[[#This Row],[Ean Normalizado]],Consumos!A:A,Consumos!E:E)</f>
        <v>#VALUE!</v>
      </c>
      <c r="R3759" s="38" t="e">
        <f>_xlfn.XLOOKUP(Tabla1[[#This Row],[Ean Normalizado]],tabla_consumos[EAN],tabla_consumos[UM])</f>
        <v>#VALUE!</v>
      </c>
      <c r="S3759" s="38" t="e">
        <f>Tabla1[[#This Row],[StockDisp]]*Tabla1[[#This Row],[UM producto]]</f>
        <v>#VALUE!</v>
      </c>
    </row>
    <row r="3760" spans="1:19" x14ac:dyDescent="0.35">
      <c r="A3760" s="5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6"/>
      <c r="P3760" s="23" t="e">
        <f>TRIM(Tabla1[[#This Row],[Articulo]])</f>
        <v>#VALUE!</v>
      </c>
      <c r="Q3760" s="23" t="e">
        <f>_xlfn.XLOOKUP(Tabla1[[#This Row],[Ean Normalizado]],Consumos!A:A,Consumos!E:E)</f>
        <v>#VALUE!</v>
      </c>
      <c r="R3760" s="38" t="e">
        <f>_xlfn.XLOOKUP(Tabla1[[#This Row],[Ean Normalizado]],tabla_consumos[EAN],tabla_consumos[UM])</f>
        <v>#VALUE!</v>
      </c>
      <c r="S3760" s="38" t="e">
        <f>Tabla1[[#This Row],[StockDisp]]*Tabla1[[#This Row],[UM producto]]</f>
        <v>#VALUE!</v>
      </c>
    </row>
    <row r="3761" spans="1:19" x14ac:dyDescent="0.35">
      <c r="A3761" s="5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6"/>
      <c r="P3761" s="23" t="e">
        <f>TRIM(Tabla1[[#This Row],[Articulo]])</f>
        <v>#VALUE!</v>
      </c>
      <c r="Q3761" s="23" t="e">
        <f>_xlfn.XLOOKUP(Tabla1[[#This Row],[Ean Normalizado]],Consumos!A:A,Consumos!E:E)</f>
        <v>#VALUE!</v>
      </c>
      <c r="R3761" s="38" t="e">
        <f>_xlfn.XLOOKUP(Tabla1[[#This Row],[Ean Normalizado]],tabla_consumos[EAN],tabla_consumos[UM])</f>
        <v>#VALUE!</v>
      </c>
      <c r="S3761" s="38" t="e">
        <f>Tabla1[[#This Row],[StockDisp]]*Tabla1[[#This Row],[UM producto]]</f>
        <v>#VALUE!</v>
      </c>
    </row>
    <row r="3762" spans="1:19" x14ac:dyDescent="0.35">
      <c r="A3762" s="5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6"/>
      <c r="P3762" s="23" t="e">
        <f>TRIM(Tabla1[[#This Row],[Articulo]])</f>
        <v>#VALUE!</v>
      </c>
      <c r="Q3762" s="23" t="e">
        <f>_xlfn.XLOOKUP(Tabla1[[#This Row],[Ean Normalizado]],Consumos!A:A,Consumos!E:E)</f>
        <v>#VALUE!</v>
      </c>
      <c r="R3762" s="38" t="e">
        <f>_xlfn.XLOOKUP(Tabla1[[#This Row],[Ean Normalizado]],tabla_consumos[EAN],tabla_consumos[UM])</f>
        <v>#VALUE!</v>
      </c>
      <c r="S3762" s="38" t="e">
        <f>Tabla1[[#This Row],[StockDisp]]*Tabla1[[#This Row],[UM producto]]</f>
        <v>#VALUE!</v>
      </c>
    </row>
    <row r="3763" spans="1:19" x14ac:dyDescent="0.35">
      <c r="A3763" s="5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6"/>
      <c r="P3763" s="23" t="e">
        <f>TRIM(Tabla1[[#This Row],[Articulo]])</f>
        <v>#VALUE!</v>
      </c>
      <c r="Q3763" s="23" t="e">
        <f>_xlfn.XLOOKUP(Tabla1[[#This Row],[Ean Normalizado]],Consumos!A:A,Consumos!E:E)</f>
        <v>#VALUE!</v>
      </c>
      <c r="R3763" s="38" t="e">
        <f>_xlfn.XLOOKUP(Tabla1[[#This Row],[Ean Normalizado]],tabla_consumos[EAN],tabla_consumos[UM])</f>
        <v>#VALUE!</v>
      </c>
      <c r="S3763" s="38" t="e">
        <f>Tabla1[[#This Row],[StockDisp]]*Tabla1[[#This Row],[UM producto]]</f>
        <v>#VALUE!</v>
      </c>
    </row>
    <row r="3764" spans="1:19" x14ac:dyDescent="0.35">
      <c r="A3764" s="5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6"/>
      <c r="P3764" s="23" t="e">
        <f>TRIM(Tabla1[[#This Row],[Articulo]])</f>
        <v>#VALUE!</v>
      </c>
      <c r="Q3764" s="23" t="e">
        <f>_xlfn.XLOOKUP(Tabla1[[#This Row],[Ean Normalizado]],Consumos!A:A,Consumos!E:E)</f>
        <v>#VALUE!</v>
      </c>
      <c r="R3764" s="38" t="e">
        <f>_xlfn.XLOOKUP(Tabla1[[#This Row],[Ean Normalizado]],tabla_consumos[EAN],tabla_consumos[UM])</f>
        <v>#VALUE!</v>
      </c>
      <c r="S3764" s="38" t="e">
        <f>Tabla1[[#This Row],[StockDisp]]*Tabla1[[#This Row],[UM producto]]</f>
        <v>#VALUE!</v>
      </c>
    </row>
    <row r="3765" spans="1:19" x14ac:dyDescent="0.35">
      <c r="A3765" s="5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6"/>
      <c r="P3765" s="23" t="e">
        <f>TRIM(Tabla1[[#This Row],[Articulo]])</f>
        <v>#VALUE!</v>
      </c>
      <c r="Q3765" s="23" t="e">
        <f>_xlfn.XLOOKUP(Tabla1[[#This Row],[Ean Normalizado]],Consumos!A:A,Consumos!E:E)</f>
        <v>#VALUE!</v>
      </c>
      <c r="R3765" s="38" t="e">
        <f>_xlfn.XLOOKUP(Tabla1[[#This Row],[Ean Normalizado]],tabla_consumos[EAN],tabla_consumos[UM])</f>
        <v>#VALUE!</v>
      </c>
      <c r="S3765" s="38" t="e">
        <f>Tabla1[[#This Row],[StockDisp]]*Tabla1[[#This Row],[UM producto]]</f>
        <v>#VALUE!</v>
      </c>
    </row>
    <row r="3766" spans="1:19" x14ac:dyDescent="0.35">
      <c r="A3766" s="5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6"/>
      <c r="P3766" s="23" t="e">
        <f>TRIM(Tabla1[[#This Row],[Articulo]])</f>
        <v>#VALUE!</v>
      </c>
      <c r="Q3766" s="23" t="e">
        <f>_xlfn.XLOOKUP(Tabla1[[#This Row],[Ean Normalizado]],Consumos!A:A,Consumos!E:E)</f>
        <v>#VALUE!</v>
      </c>
      <c r="R3766" s="38" t="e">
        <f>_xlfn.XLOOKUP(Tabla1[[#This Row],[Ean Normalizado]],tabla_consumos[EAN],tabla_consumos[UM])</f>
        <v>#VALUE!</v>
      </c>
      <c r="S3766" s="38" t="e">
        <f>Tabla1[[#This Row],[StockDisp]]*Tabla1[[#This Row],[UM producto]]</f>
        <v>#VALUE!</v>
      </c>
    </row>
    <row r="3767" spans="1:19" x14ac:dyDescent="0.35">
      <c r="A3767" s="5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6"/>
      <c r="P3767" s="23" t="e">
        <f>TRIM(Tabla1[[#This Row],[Articulo]])</f>
        <v>#VALUE!</v>
      </c>
      <c r="Q3767" s="23" t="e">
        <f>_xlfn.XLOOKUP(Tabla1[[#This Row],[Ean Normalizado]],Consumos!A:A,Consumos!E:E)</f>
        <v>#VALUE!</v>
      </c>
      <c r="R3767" s="38" t="e">
        <f>_xlfn.XLOOKUP(Tabla1[[#This Row],[Ean Normalizado]],tabla_consumos[EAN],tabla_consumos[UM])</f>
        <v>#VALUE!</v>
      </c>
      <c r="S3767" s="38" t="e">
        <f>Tabla1[[#This Row],[StockDisp]]*Tabla1[[#This Row],[UM producto]]</f>
        <v>#VALUE!</v>
      </c>
    </row>
    <row r="3768" spans="1:19" x14ac:dyDescent="0.35">
      <c r="A3768" s="5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6"/>
      <c r="P3768" s="23" t="e">
        <f>TRIM(Tabla1[[#This Row],[Articulo]])</f>
        <v>#VALUE!</v>
      </c>
      <c r="Q3768" s="23" t="e">
        <f>_xlfn.XLOOKUP(Tabla1[[#This Row],[Ean Normalizado]],Consumos!A:A,Consumos!E:E)</f>
        <v>#VALUE!</v>
      </c>
      <c r="R3768" s="38" t="e">
        <f>_xlfn.XLOOKUP(Tabla1[[#This Row],[Ean Normalizado]],tabla_consumos[EAN],tabla_consumos[UM])</f>
        <v>#VALUE!</v>
      </c>
      <c r="S3768" s="38" t="e">
        <f>Tabla1[[#This Row],[StockDisp]]*Tabla1[[#This Row],[UM producto]]</f>
        <v>#VALUE!</v>
      </c>
    </row>
    <row r="3769" spans="1:19" x14ac:dyDescent="0.35">
      <c r="A3769" s="5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6"/>
      <c r="P3769" s="23" t="e">
        <f>TRIM(Tabla1[[#This Row],[Articulo]])</f>
        <v>#VALUE!</v>
      </c>
      <c r="Q3769" s="23" t="e">
        <f>_xlfn.XLOOKUP(Tabla1[[#This Row],[Ean Normalizado]],Consumos!A:A,Consumos!E:E)</f>
        <v>#VALUE!</v>
      </c>
      <c r="R3769" s="38" t="e">
        <f>_xlfn.XLOOKUP(Tabla1[[#This Row],[Ean Normalizado]],tabla_consumos[EAN],tabla_consumos[UM])</f>
        <v>#VALUE!</v>
      </c>
      <c r="S3769" s="38" t="e">
        <f>Tabla1[[#This Row],[StockDisp]]*Tabla1[[#This Row],[UM producto]]</f>
        <v>#VALUE!</v>
      </c>
    </row>
    <row r="3770" spans="1:19" x14ac:dyDescent="0.35">
      <c r="A3770" s="5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6"/>
      <c r="P3770" s="23" t="e">
        <f>TRIM(Tabla1[[#This Row],[Articulo]])</f>
        <v>#VALUE!</v>
      </c>
      <c r="Q3770" s="23" t="e">
        <f>_xlfn.XLOOKUP(Tabla1[[#This Row],[Ean Normalizado]],Consumos!A:A,Consumos!E:E)</f>
        <v>#VALUE!</v>
      </c>
      <c r="R3770" s="38" t="e">
        <f>_xlfn.XLOOKUP(Tabla1[[#This Row],[Ean Normalizado]],tabla_consumos[EAN],tabla_consumos[UM])</f>
        <v>#VALUE!</v>
      </c>
      <c r="S3770" s="38" t="e">
        <f>Tabla1[[#This Row],[StockDisp]]*Tabla1[[#This Row],[UM producto]]</f>
        <v>#VALUE!</v>
      </c>
    </row>
    <row r="3771" spans="1:19" x14ac:dyDescent="0.35">
      <c r="A3771" s="5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6"/>
      <c r="P3771" s="23" t="e">
        <f>TRIM(Tabla1[[#This Row],[Articulo]])</f>
        <v>#VALUE!</v>
      </c>
      <c r="Q3771" s="23" t="e">
        <f>_xlfn.XLOOKUP(Tabla1[[#This Row],[Ean Normalizado]],Consumos!A:A,Consumos!E:E)</f>
        <v>#VALUE!</v>
      </c>
      <c r="R3771" s="38" t="e">
        <f>_xlfn.XLOOKUP(Tabla1[[#This Row],[Ean Normalizado]],tabla_consumos[EAN],tabla_consumos[UM])</f>
        <v>#VALUE!</v>
      </c>
      <c r="S3771" s="38" t="e">
        <f>Tabla1[[#This Row],[StockDisp]]*Tabla1[[#This Row],[UM producto]]</f>
        <v>#VALUE!</v>
      </c>
    </row>
    <row r="3772" spans="1:19" x14ac:dyDescent="0.35">
      <c r="A3772" s="5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6"/>
      <c r="P3772" s="23" t="e">
        <f>TRIM(Tabla1[[#This Row],[Articulo]])</f>
        <v>#VALUE!</v>
      </c>
      <c r="Q3772" s="23" t="e">
        <f>_xlfn.XLOOKUP(Tabla1[[#This Row],[Ean Normalizado]],Consumos!A:A,Consumos!E:E)</f>
        <v>#VALUE!</v>
      </c>
      <c r="R3772" s="38" t="e">
        <f>_xlfn.XLOOKUP(Tabla1[[#This Row],[Ean Normalizado]],tabla_consumos[EAN],tabla_consumos[UM])</f>
        <v>#VALUE!</v>
      </c>
      <c r="S3772" s="38" t="e">
        <f>Tabla1[[#This Row],[StockDisp]]*Tabla1[[#This Row],[UM producto]]</f>
        <v>#VALUE!</v>
      </c>
    </row>
    <row r="3773" spans="1:19" x14ac:dyDescent="0.35">
      <c r="A3773" s="5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6"/>
      <c r="P3773" s="23" t="e">
        <f>TRIM(Tabla1[[#This Row],[Articulo]])</f>
        <v>#VALUE!</v>
      </c>
      <c r="Q3773" s="23" t="e">
        <f>_xlfn.XLOOKUP(Tabla1[[#This Row],[Ean Normalizado]],Consumos!A:A,Consumos!E:E)</f>
        <v>#VALUE!</v>
      </c>
      <c r="R3773" s="38" t="e">
        <f>_xlfn.XLOOKUP(Tabla1[[#This Row],[Ean Normalizado]],tabla_consumos[EAN],tabla_consumos[UM])</f>
        <v>#VALUE!</v>
      </c>
      <c r="S3773" s="38" t="e">
        <f>Tabla1[[#This Row],[StockDisp]]*Tabla1[[#This Row],[UM producto]]</f>
        <v>#VALUE!</v>
      </c>
    </row>
    <row r="3774" spans="1:19" x14ac:dyDescent="0.35">
      <c r="A3774" s="5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6"/>
      <c r="P3774" s="23" t="e">
        <f>TRIM(Tabla1[[#This Row],[Articulo]])</f>
        <v>#VALUE!</v>
      </c>
      <c r="Q3774" s="23" t="e">
        <f>_xlfn.XLOOKUP(Tabla1[[#This Row],[Ean Normalizado]],Consumos!A:A,Consumos!E:E)</f>
        <v>#VALUE!</v>
      </c>
      <c r="R3774" s="38" t="e">
        <f>_xlfn.XLOOKUP(Tabla1[[#This Row],[Ean Normalizado]],tabla_consumos[EAN],tabla_consumos[UM])</f>
        <v>#VALUE!</v>
      </c>
      <c r="S3774" s="38" t="e">
        <f>Tabla1[[#This Row],[StockDisp]]*Tabla1[[#This Row],[UM producto]]</f>
        <v>#VALUE!</v>
      </c>
    </row>
    <row r="3775" spans="1:19" x14ac:dyDescent="0.35">
      <c r="A3775" s="5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6"/>
      <c r="P3775" s="23" t="e">
        <f>TRIM(Tabla1[[#This Row],[Articulo]])</f>
        <v>#VALUE!</v>
      </c>
      <c r="Q3775" s="23" t="e">
        <f>_xlfn.XLOOKUP(Tabla1[[#This Row],[Ean Normalizado]],Consumos!A:A,Consumos!E:E)</f>
        <v>#VALUE!</v>
      </c>
      <c r="R3775" s="38" t="e">
        <f>_xlfn.XLOOKUP(Tabla1[[#This Row],[Ean Normalizado]],tabla_consumos[EAN],tabla_consumos[UM])</f>
        <v>#VALUE!</v>
      </c>
      <c r="S3775" s="38" t="e">
        <f>Tabla1[[#This Row],[StockDisp]]*Tabla1[[#This Row],[UM producto]]</f>
        <v>#VALUE!</v>
      </c>
    </row>
    <row r="3776" spans="1:19" x14ac:dyDescent="0.35">
      <c r="A3776" s="5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6"/>
      <c r="P3776" s="23" t="e">
        <f>TRIM(Tabla1[[#This Row],[Articulo]])</f>
        <v>#VALUE!</v>
      </c>
      <c r="Q3776" s="23" t="e">
        <f>_xlfn.XLOOKUP(Tabla1[[#This Row],[Ean Normalizado]],Consumos!A:A,Consumos!E:E)</f>
        <v>#VALUE!</v>
      </c>
      <c r="R3776" s="38" t="e">
        <f>_xlfn.XLOOKUP(Tabla1[[#This Row],[Ean Normalizado]],tabla_consumos[EAN],tabla_consumos[UM])</f>
        <v>#VALUE!</v>
      </c>
      <c r="S3776" s="38" t="e">
        <f>Tabla1[[#This Row],[StockDisp]]*Tabla1[[#This Row],[UM producto]]</f>
        <v>#VALUE!</v>
      </c>
    </row>
    <row r="3777" spans="1:19" x14ac:dyDescent="0.35">
      <c r="A3777" s="5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6"/>
      <c r="P3777" s="23" t="e">
        <f>TRIM(Tabla1[[#This Row],[Articulo]])</f>
        <v>#VALUE!</v>
      </c>
      <c r="Q3777" s="23" t="e">
        <f>_xlfn.XLOOKUP(Tabla1[[#This Row],[Ean Normalizado]],Consumos!A:A,Consumos!E:E)</f>
        <v>#VALUE!</v>
      </c>
      <c r="R3777" s="38" t="e">
        <f>_xlfn.XLOOKUP(Tabla1[[#This Row],[Ean Normalizado]],tabla_consumos[EAN],tabla_consumos[UM])</f>
        <v>#VALUE!</v>
      </c>
      <c r="S3777" s="38" t="e">
        <f>Tabla1[[#This Row],[StockDisp]]*Tabla1[[#This Row],[UM producto]]</f>
        <v>#VALUE!</v>
      </c>
    </row>
    <row r="3778" spans="1:19" x14ac:dyDescent="0.35">
      <c r="A3778" s="5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6"/>
      <c r="P3778" s="23" t="e">
        <f>TRIM(Tabla1[[#This Row],[Articulo]])</f>
        <v>#VALUE!</v>
      </c>
      <c r="Q3778" s="23" t="e">
        <f>_xlfn.XLOOKUP(Tabla1[[#This Row],[Ean Normalizado]],Consumos!A:A,Consumos!E:E)</f>
        <v>#VALUE!</v>
      </c>
      <c r="R3778" s="38" t="e">
        <f>_xlfn.XLOOKUP(Tabla1[[#This Row],[Ean Normalizado]],tabla_consumos[EAN],tabla_consumos[UM])</f>
        <v>#VALUE!</v>
      </c>
      <c r="S3778" s="38" t="e">
        <f>Tabla1[[#This Row],[StockDisp]]*Tabla1[[#This Row],[UM producto]]</f>
        <v>#VALUE!</v>
      </c>
    </row>
    <row r="3779" spans="1:19" x14ac:dyDescent="0.35">
      <c r="A3779" s="5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6"/>
      <c r="P3779" s="23" t="e">
        <f>TRIM(Tabla1[[#This Row],[Articulo]])</f>
        <v>#VALUE!</v>
      </c>
      <c r="Q3779" s="23" t="e">
        <f>_xlfn.XLOOKUP(Tabla1[[#This Row],[Ean Normalizado]],Consumos!A:A,Consumos!E:E)</f>
        <v>#VALUE!</v>
      </c>
      <c r="R3779" s="38" t="e">
        <f>_xlfn.XLOOKUP(Tabla1[[#This Row],[Ean Normalizado]],tabla_consumos[EAN],tabla_consumos[UM])</f>
        <v>#VALUE!</v>
      </c>
      <c r="S3779" s="38" t="e">
        <f>Tabla1[[#This Row],[StockDisp]]*Tabla1[[#This Row],[UM producto]]</f>
        <v>#VALUE!</v>
      </c>
    </row>
    <row r="3780" spans="1:19" x14ac:dyDescent="0.35">
      <c r="A3780" s="5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6"/>
      <c r="P3780" s="23" t="e">
        <f>TRIM(Tabla1[[#This Row],[Articulo]])</f>
        <v>#VALUE!</v>
      </c>
      <c r="Q3780" s="23" t="e">
        <f>_xlfn.XLOOKUP(Tabla1[[#This Row],[Ean Normalizado]],Consumos!A:A,Consumos!E:E)</f>
        <v>#VALUE!</v>
      </c>
      <c r="R3780" s="38" t="e">
        <f>_xlfn.XLOOKUP(Tabla1[[#This Row],[Ean Normalizado]],tabla_consumos[EAN],tabla_consumos[UM])</f>
        <v>#VALUE!</v>
      </c>
      <c r="S3780" s="38" t="e">
        <f>Tabla1[[#This Row],[StockDisp]]*Tabla1[[#This Row],[UM producto]]</f>
        <v>#VALUE!</v>
      </c>
    </row>
    <row r="3781" spans="1:19" x14ac:dyDescent="0.35">
      <c r="A3781" s="5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6"/>
      <c r="P3781" s="23" t="e">
        <f>TRIM(Tabla1[[#This Row],[Articulo]])</f>
        <v>#VALUE!</v>
      </c>
      <c r="Q3781" s="23" t="e">
        <f>_xlfn.XLOOKUP(Tabla1[[#This Row],[Ean Normalizado]],Consumos!A:A,Consumos!E:E)</f>
        <v>#VALUE!</v>
      </c>
      <c r="R3781" s="38" t="e">
        <f>_xlfn.XLOOKUP(Tabla1[[#This Row],[Ean Normalizado]],tabla_consumos[EAN],tabla_consumos[UM])</f>
        <v>#VALUE!</v>
      </c>
      <c r="S3781" s="38" t="e">
        <f>Tabla1[[#This Row],[StockDisp]]*Tabla1[[#This Row],[UM producto]]</f>
        <v>#VALUE!</v>
      </c>
    </row>
    <row r="3782" spans="1:19" x14ac:dyDescent="0.35">
      <c r="A3782" s="5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6"/>
      <c r="P3782" s="23" t="e">
        <f>TRIM(Tabla1[[#This Row],[Articulo]])</f>
        <v>#VALUE!</v>
      </c>
      <c r="Q3782" s="23" t="e">
        <f>_xlfn.XLOOKUP(Tabla1[[#This Row],[Ean Normalizado]],Consumos!A:A,Consumos!E:E)</f>
        <v>#VALUE!</v>
      </c>
      <c r="R3782" s="38" t="e">
        <f>_xlfn.XLOOKUP(Tabla1[[#This Row],[Ean Normalizado]],tabla_consumos[EAN],tabla_consumos[UM])</f>
        <v>#VALUE!</v>
      </c>
      <c r="S3782" s="38" t="e">
        <f>Tabla1[[#This Row],[StockDisp]]*Tabla1[[#This Row],[UM producto]]</f>
        <v>#VALUE!</v>
      </c>
    </row>
    <row r="3783" spans="1:19" x14ac:dyDescent="0.35">
      <c r="A3783" s="5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6"/>
      <c r="P3783" s="23" t="e">
        <f>TRIM(Tabla1[[#This Row],[Articulo]])</f>
        <v>#VALUE!</v>
      </c>
      <c r="Q3783" s="23" t="e">
        <f>_xlfn.XLOOKUP(Tabla1[[#This Row],[Ean Normalizado]],Consumos!A:A,Consumos!E:E)</f>
        <v>#VALUE!</v>
      </c>
      <c r="R3783" s="38" t="e">
        <f>_xlfn.XLOOKUP(Tabla1[[#This Row],[Ean Normalizado]],tabla_consumos[EAN],tabla_consumos[UM])</f>
        <v>#VALUE!</v>
      </c>
      <c r="S3783" s="38" t="e">
        <f>Tabla1[[#This Row],[StockDisp]]*Tabla1[[#This Row],[UM producto]]</f>
        <v>#VALUE!</v>
      </c>
    </row>
    <row r="3784" spans="1:19" x14ac:dyDescent="0.35">
      <c r="A3784" s="5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6"/>
      <c r="P3784" s="23" t="e">
        <f>TRIM(Tabla1[[#This Row],[Articulo]])</f>
        <v>#VALUE!</v>
      </c>
      <c r="Q3784" s="23" t="e">
        <f>_xlfn.XLOOKUP(Tabla1[[#This Row],[Ean Normalizado]],Consumos!A:A,Consumos!E:E)</f>
        <v>#VALUE!</v>
      </c>
      <c r="R3784" s="38" t="e">
        <f>_xlfn.XLOOKUP(Tabla1[[#This Row],[Ean Normalizado]],tabla_consumos[EAN],tabla_consumos[UM])</f>
        <v>#VALUE!</v>
      </c>
      <c r="S3784" s="38" t="e">
        <f>Tabla1[[#This Row],[StockDisp]]*Tabla1[[#This Row],[UM producto]]</f>
        <v>#VALUE!</v>
      </c>
    </row>
    <row r="3785" spans="1:19" x14ac:dyDescent="0.35">
      <c r="A3785" s="5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6"/>
      <c r="P3785" s="23" t="e">
        <f>TRIM(Tabla1[[#This Row],[Articulo]])</f>
        <v>#VALUE!</v>
      </c>
      <c r="Q3785" s="23" t="e">
        <f>_xlfn.XLOOKUP(Tabla1[[#This Row],[Ean Normalizado]],Consumos!A:A,Consumos!E:E)</f>
        <v>#VALUE!</v>
      </c>
      <c r="R3785" s="38" t="e">
        <f>_xlfn.XLOOKUP(Tabla1[[#This Row],[Ean Normalizado]],tabla_consumos[EAN],tabla_consumos[UM])</f>
        <v>#VALUE!</v>
      </c>
      <c r="S3785" s="38" t="e">
        <f>Tabla1[[#This Row],[StockDisp]]*Tabla1[[#This Row],[UM producto]]</f>
        <v>#VALUE!</v>
      </c>
    </row>
    <row r="3786" spans="1:19" x14ac:dyDescent="0.35">
      <c r="A3786" s="5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6"/>
      <c r="P3786" s="23" t="e">
        <f>TRIM(Tabla1[[#This Row],[Articulo]])</f>
        <v>#VALUE!</v>
      </c>
      <c r="Q3786" s="23" t="e">
        <f>_xlfn.XLOOKUP(Tabla1[[#This Row],[Ean Normalizado]],Consumos!A:A,Consumos!E:E)</f>
        <v>#VALUE!</v>
      </c>
      <c r="R3786" s="38" t="e">
        <f>_xlfn.XLOOKUP(Tabla1[[#This Row],[Ean Normalizado]],tabla_consumos[EAN],tabla_consumos[UM])</f>
        <v>#VALUE!</v>
      </c>
      <c r="S3786" s="38" t="e">
        <f>Tabla1[[#This Row],[StockDisp]]*Tabla1[[#This Row],[UM producto]]</f>
        <v>#VALUE!</v>
      </c>
    </row>
    <row r="3787" spans="1:19" x14ac:dyDescent="0.35">
      <c r="A3787" s="5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6"/>
      <c r="P3787" s="23" t="e">
        <f>TRIM(Tabla1[[#This Row],[Articulo]])</f>
        <v>#VALUE!</v>
      </c>
      <c r="Q3787" s="23" t="e">
        <f>_xlfn.XLOOKUP(Tabla1[[#This Row],[Ean Normalizado]],Consumos!A:A,Consumos!E:E)</f>
        <v>#VALUE!</v>
      </c>
      <c r="R3787" s="38" t="e">
        <f>_xlfn.XLOOKUP(Tabla1[[#This Row],[Ean Normalizado]],tabla_consumos[EAN],tabla_consumos[UM])</f>
        <v>#VALUE!</v>
      </c>
      <c r="S3787" s="38" t="e">
        <f>Tabla1[[#This Row],[StockDisp]]*Tabla1[[#This Row],[UM producto]]</f>
        <v>#VALUE!</v>
      </c>
    </row>
    <row r="3788" spans="1:19" x14ac:dyDescent="0.35">
      <c r="A3788" s="5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6"/>
      <c r="P3788" s="23" t="e">
        <f>TRIM(Tabla1[[#This Row],[Articulo]])</f>
        <v>#VALUE!</v>
      </c>
      <c r="Q3788" s="23" t="e">
        <f>_xlfn.XLOOKUP(Tabla1[[#This Row],[Ean Normalizado]],Consumos!A:A,Consumos!E:E)</f>
        <v>#VALUE!</v>
      </c>
      <c r="R3788" s="38" t="e">
        <f>_xlfn.XLOOKUP(Tabla1[[#This Row],[Ean Normalizado]],tabla_consumos[EAN],tabla_consumos[UM])</f>
        <v>#VALUE!</v>
      </c>
      <c r="S3788" s="38" t="e">
        <f>Tabla1[[#This Row],[StockDisp]]*Tabla1[[#This Row],[UM producto]]</f>
        <v>#VALUE!</v>
      </c>
    </row>
    <row r="3789" spans="1:19" x14ac:dyDescent="0.35">
      <c r="A3789" s="5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6"/>
      <c r="P3789" s="23" t="e">
        <f>TRIM(Tabla1[[#This Row],[Articulo]])</f>
        <v>#VALUE!</v>
      </c>
      <c r="Q3789" s="23" t="e">
        <f>_xlfn.XLOOKUP(Tabla1[[#This Row],[Ean Normalizado]],Consumos!A:A,Consumos!E:E)</f>
        <v>#VALUE!</v>
      </c>
      <c r="R3789" s="38" t="e">
        <f>_xlfn.XLOOKUP(Tabla1[[#This Row],[Ean Normalizado]],tabla_consumos[EAN],tabla_consumos[UM])</f>
        <v>#VALUE!</v>
      </c>
      <c r="S3789" s="38" t="e">
        <f>Tabla1[[#This Row],[StockDisp]]*Tabla1[[#This Row],[UM producto]]</f>
        <v>#VALUE!</v>
      </c>
    </row>
    <row r="3790" spans="1:19" x14ac:dyDescent="0.35">
      <c r="A3790" s="5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6"/>
      <c r="P3790" s="23" t="e">
        <f>TRIM(Tabla1[[#This Row],[Articulo]])</f>
        <v>#VALUE!</v>
      </c>
      <c r="Q3790" s="23" t="e">
        <f>_xlfn.XLOOKUP(Tabla1[[#This Row],[Ean Normalizado]],Consumos!A:A,Consumos!E:E)</f>
        <v>#VALUE!</v>
      </c>
      <c r="R3790" s="38" t="e">
        <f>_xlfn.XLOOKUP(Tabla1[[#This Row],[Ean Normalizado]],tabla_consumos[EAN],tabla_consumos[UM])</f>
        <v>#VALUE!</v>
      </c>
      <c r="S3790" s="38" t="e">
        <f>Tabla1[[#This Row],[StockDisp]]*Tabla1[[#This Row],[UM producto]]</f>
        <v>#VALUE!</v>
      </c>
    </row>
    <row r="3791" spans="1:19" x14ac:dyDescent="0.35">
      <c r="A3791" s="5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6"/>
      <c r="P3791" s="23" t="e">
        <f>TRIM(Tabla1[[#This Row],[Articulo]])</f>
        <v>#VALUE!</v>
      </c>
      <c r="Q3791" s="23" t="e">
        <f>_xlfn.XLOOKUP(Tabla1[[#This Row],[Ean Normalizado]],Consumos!A:A,Consumos!E:E)</f>
        <v>#VALUE!</v>
      </c>
      <c r="R3791" s="38" t="e">
        <f>_xlfn.XLOOKUP(Tabla1[[#This Row],[Ean Normalizado]],tabla_consumos[EAN],tabla_consumos[UM])</f>
        <v>#VALUE!</v>
      </c>
      <c r="S3791" s="38" t="e">
        <f>Tabla1[[#This Row],[StockDisp]]*Tabla1[[#This Row],[UM producto]]</f>
        <v>#VALUE!</v>
      </c>
    </row>
    <row r="3792" spans="1:19" x14ac:dyDescent="0.35">
      <c r="A3792" s="5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6"/>
      <c r="P3792" s="23" t="e">
        <f>TRIM(Tabla1[[#This Row],[Articulo]])</f>
        <v>#VALUE!</v>
      </c>
      <c r="Q3792" s="23" t="e">
        <f>_xlfn.XLOOKUP(Tabla1[[#This Row],[Ean Normalizado]],Consumos!A:A,Consumos!E:E)</f>
        <v>#VALUE!</v>
      </c>
      <c r="R3792" s="38" t="e">
        <f>_xlfn.XLOOKUP(Tabla1[[#This Row],[Ean Normalizado]],tabla_consumos[EAN],tabla_consumos[UM])</f>
        <v>#VALUE!</v>
      </c>
      <c r="S3792" s="38" t="e">
        <f>Tabla1[[#This Row],[StockDisp]]*Tabla1[[#This Row],[UM producto]]</f>
        <v>#VALUE!</v>
      </c>
    </row>
    <row r="3793" spans="1:19" x14ac:dyDescent="0.35">
      <c r="A3793" s="5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6"/>
      <c r="P3793" s="23" t="e">
        <f>TRIM(Tabla1[[#This Row],[Articulo]])</f>
        <v>#VALUE!</v>
      </c>
      <c r="Q3793" s="23" t="e">
        <f>_xlfn.XLOOKUP(Tabla1[[#This Row],[Ean Normalizado]],Consumos!A:A,Consumos!E:E)</f>
        <v>#VALUE!</v>
      </c>
      <c r="R3793" s="38" t="e">
        <f>_xlfn.XLOOKUP(Tabla1[[#This Row],[Ean Normalizado]],tabla_consumos[EAN],tabla_consumos[UM])</f>
        <v>#VALUE!</v>
      </c>
      <c r="S3793" s="38" t="e">
        <f>Tabla1[[#This Row],[StockDisp]]*Tabla1[[#This Row],[UM producto]]</f>
        <v>#VALUE!</v>
      </c>
    </row>
    <row r="3794" spans="1:19" x14ac:dyDescent="0.35">
      <c r="A3794" s="5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6"/>
      <c r="P3794" s="23" t="e">
        <f>TRIM(Tabla1[[#This Row],[Articulo]])</f>
        <v>#VALUE!</v>
      </c>
      <c r="Q3794" s="23" t="e">
        <f>_xlfn.XLOOKUP(Tabla1[[#This Row],[Ean Normalizado]],Consumos!A:A,Consumos!E:E)</f>
        <v>#VALUE!</v>
      </c>
      <c r="R3794" s="38" t="e">
        <f>_xlfn.XLOOKUP(Tabla1[[#This Row],[Ean Normalizado]],tabla_consumos[EAN],tabla_consumos[UM])</f>
        <v>#VALUE!</v>
      </c>
      <c r="S3794" s="38" t="e">
        <f>Tabla1[[#This Row],[StockDisp]]*Tabla1[[#This Row],[UM producto]]</f>
        <v>#VALUE!</v>
      </c>
    </row>
    <row r="3795" spans="1:19" x14ac:dyDescent="0.35">
      <c r="A3795" s="5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6"/>
      <c r="P3795" s="23" t="e">
        <f>TRIM(Tabla1[[#This Row],[Articulo]])</f>
        <v>#VALUE!</v>
      </c>
      <c r="Q3795" s="23" t="e">
        <f>_xlfn.XLOOKUP(Tabla1[[#This Row],[Ean Normalizado]],Consumos!A:A,Consumos!E:E)</f>
        <v>#VALUE!</v>
      </c>
      <c r="R3795" s="38" t="e">
        <f>_xlfn.XLOOKUP(Tabla1[[#This Row],[Ean Normalizado]],tabla_consumos[EAN],tabla_consumos[UM])</f>
        <v>#VALUE!</v>
      </c>
      <c r="S3795" s="38" t="e">
        <f>Tabla1[[#This Row],[StockDisp]]*Tabla1[[#This Row],[UM producto]]</f>
        <v>#VALUE!</v>
      </c>
    </row>
    <row r="3796" spans="1:19" x14ac:dyDescent="0.35">
      <c r="A3796" s="5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6"/>
      <c r="P3796" s="23" t="e">
        <f>TRIM(Tabla1[[#This Row],[Articulo]])</f>
        <v>#VALUE!</v>
      </c>
      <c r="Q3796" s="23" t="e">
        <f>_xlfn.XLOOKUP(Tabla1[[#This Row],[Ean Normalizado]],Consumos!A:A,Consumos!E:E)</f>
        <v>#VALUE!</v>
      </c>
      <c r="R3796" s="38" t="e">
        <f>_xlfn.XLOOKUP(Tabla1[[#This Row],[Ean Normalizado]],tabla_consumos[EAN],tabla_consumos[UM])</f>
        <v>#VALUE!</v>
      </c>
      <c r="S3796" s="38" t="e">
        <f>Tabla1[[#This Row],[StockDisp]]*Tabla1[[#This Row],[UM producto]]</f>
        <v>#VALUE!</v>
      </c>
    </row>
    <row r="3797" spans="1:19" x14ac:dyDescent="0.35">
      <c r="A3797" s="5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6"/>
      <c r="P3797" s="23" t="e">
        <f>TRIM(Tabla1[[#This Row],[Articulo]])</f>
        <v>#VALUE!</v>
      </c>
      <c r="Q3797" s="23" t="e">
        <f>_xlfn.XLOOKUP(Tabla1[[#This Row],[Ean Normalizado]],Consumos!A:A,Consumos!E:E)</f>
        <v>#VALUE!</v>
      </c>
      <c r="R3797" s="38" t="e">
        <f>_xlfn.XLOOKUP(Tabla1[[#This Row],[Ean Normalizado]],tabla_consumos[EAN],tabla_consumos[UM])</f>
        <v>#VALUE!</v>
      </c>
      <c r="S3797" s="38" t="e">
        <f>Tabla1[[#This Row],[StockDisp]]*Tabla1[[#This Row],[UM producto]]</f>
        <v>#VALUE!</v>
      </c>
    </row>
    <row r="3798" spans="1:19" x14ac:dyDescent="0.35">
      <c r="A3798" s="5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6"/>
      <c r="P3798" s="23" t="e">
        <f>TRIM(Tabla1[[#This Row],[Articulo]])</f>
        <v>#VALUE!</v>
      </c>
      <c r="Q3798" s="23" t="e">
        <f>_xlfn.XLOOKUP(Tabla1[[#This Row],[Ean Normalizado]],Consumos!A:A,Consumos!E:E)</f>
        <v>#VALUE!</v>
      </c>
      <c r="R3798" s="38" t="e">
        <f>_xlfn.XLOOKUP(Tabla1[[#This Row],[Ean Normalizado]],tabla_consumos[EAN],tabla_consumos[UM])</f>
        <v>#VALUE!</v>
      </c>
      <c r="S3798" s="38" t="e">
        <f>Tabla1[[#This Row],[StockDisp]]*Tabla1[[#This Row],[UM producto]]</f>
        <v>#VALUE!</v>
      </c>
    </row>
    <row r="3799" spans="1:19" x14ac:dyDescent="0.35">
      <c r="A3799" s="5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6"/>
      <c r="P3799" s="23" t="e">
        <f>TRIM(Tabla1[[#This Row],[Articulo]])</f>
        <v>#VALUE!</v>
      </c>
      <c r="Q3799" s="23" t="e">
        <f>_xlfn.XLOOKUP(Tabla1[[#This Row],[Ean Normalizado]],Consumos!A:A,Consumos!E:E)</f>
        <v>#VALUE!</v>
      </c>
      <c r="R3799" s="38" t="e">
        <f>_xlfn.XLOOKUP(Tabla1[[#This Row],[Ean Normalizado]],tabla_consumos[EAN],tabla_consumos[UM])</f>
        <v>#VALUE!</v>
      </c>
      <c r="S3799" s="38" t="e">
        <f>Tabla1[[#This Row],[StockDisp]]*Tabla1[[#This Row],[UM producto]]</f>
        <v>#VALUE!</v>
      </c>
    </row>
    <row r="3800" spans="1:19" x14ac:dyDescent="0.35">
      <c r="A3800" s="5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6"/>
      <c r="P3800" s="23" t="e">
        <f>TRIM(Tabla1[[#This Row],[Articulo]])</f>
        <v>#VALUE!</v>
      </c>
      <c r="Q3800" s="23" t="e">
        <f>_xlfn.XLOOKUP(Tabla1[[#This Row],[Ean Normalizado]],Consumos!A:A,Consumos!E:E)</f>
        <v>#VALUE!</v>
      </c>
      <c r="R3800" s="38" t="e">
        <f>_xlfn.XLOOKUP(Tabla1[[#This Row],[Ean Normalizado]],tabla_consumos[EAN],tabla_consumos[UM])</f>
        <v>#VALUE!</v>
      </c>
      <c r="S3800" s="38" t="e">
        <f>Tabla1[[#This Row],[StockDisp]]*Tabla1[[#This Row],[UM producto]]</f>
        <v>#VALUE!</v>
      </c>
    </row>
    <row r="3801" spans="1:19" x14ac:dyDescent="0.35">
      <c r="A3801" s="5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6"/>
      <c r="P3801" s="23" t="e">
        <f>TRIM(Tabla1[[#This Row],[Articulo]])</f>
        <v>#VALUE!</v>
      </c>
      <c r="Q3801" s="23" t="e">
        <f>_xlfn.XLOOKUP(Tabla1[[#This Row],[Ean Normalizado]],Consumos!A:A,Consumos!E:E)</f>
        <v>#VALUE!</v>
      </c>
      <c r="R3801" s="38" t="e">
        <f>_xlfn.XLOOKUP(Tabla1[[#This Row],[Ean Normalizado]],tabla_consumos[EAN],tabla_consumos[UM])</f>
        <v>#VALUE!</v>
      </c>
      <c r="S3801" s="38" t="e">
        <f>Tabla1[[#This Row],[StockDisp]]*Tabla1[[#This Row],[UM producto]]</f>
        <v>#VALUE!</v>
      </c>
    </row>
    <row r="3802" spans="1:19" x14ac:dyDescent="0.35">
      <c r="A3802" s="5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6"/>
      <c r="P3802" s="23" t="e">
        <f>TRIM(Tabla1[[#This Row],[Articulo]])</f>
        <v>#VALUE!</v>
      </c>
      <c r="Q3802" s="23" t="e">
        <f>_xlfn.XLOOKUP(Tabla1[[#This Row],[Ean Normalizado]],Consumos!A:A,Consumos!E:E)</f>
        <v>#VALUE!</v>
      </c>
      <c r="R3802" s="38" t="e">
        <f>_xlfn.XLOOKUP(Tabla1[[#This Row],[Ean Normalizado]],tabla_consumos[EAN],tabla_consumos[UM])</f>
        <v>#VALUE!</v>
      </c>
      <c r="S3802" s="38" t="e">
        <f>Tabla1[[#This Row],[StockDisp]]*Tabla1[[#This Row],[UM producto]]</f>
        <v>#VALUE!</v>
      </c>
    </row>
    <row r="3803" spans="1:19" x14ac:dyDescent="0.35">
      <c r="A3803" s="5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6"/>
      <c r="P3803" s="23" t="e">
        <f>TRIM(Tabla1[[#This Row],[Articulo]])</f>
        <v>#VALUE!</v>
      </c>
      <c r="Q3803" s="23" t="e">
        <f>_xlfn.XLOOKUP(Tabla1[[#This Row],[Ean Normalizado]],Consumos!A:A,Consumos!E:E)</f>
        <v>#VALUE!</v>
      </c>
      <c r="R3803" s="38" t="e">
        <f>_xlfn.XLOOKUP(Tabla1[[#This Row],[Ean Normalizado]],tabla_consumos[EAN],tabla_consumos[UM])</f>
        <v>#VALUE!</v>
      </c>
      <c r="S3803" s="38" t="e">
        <f>Tabla1[[#This Row],[StockDisp]]*Tabla1[[#This Row],[UM producto]]</f>
        <v>#VALUE!</v>
      </c>
    </row>
    <row r="3804" spans="1:19" x14ac:dyDescent="0.35">
      <c r="A3804" s="5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6"/>
      <c r="P3804" s="23" t="e">
        <f>TRIM(Tabla1[[#This Row],[Articulo]])</f>
        <v>#VALUE!</v>
      </c>
      <c r="Q3804" s="23" t="e">
        <f>_xlfn.XLOOKUP(Tabla1[[#This Row],[Ean Normalizado]],Consumos!A:A,Consumos!E:E)</f>
        <v>#VALUE!</v>
      </c>
      <c r="R3804" s="38" t="e">
        <f>_xlfn.XLOOKUP(Tabla1[[#This Row],[Ean Normalizado]],tabla_consumos[EAN],tabla_consumos[UM])</f>
        <v>#VALUE!</v>
      </c>
      <c r="S3804" s="38" t="e">
        <f>Tabla1[[#This Row],[StockDisp]]*Tabla1[[#This Row],[UM producto]]</f>
        <v>#VALUE!</v>
      </c>
    </row>
    <row r="3805" spans="1:19" x14ac:dyDescent="0.35">
      <c r="A3805" s="5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6"/>
      <c r="P3805" s="23" t="e">
        <f>TRIM(Tabla1[[#This Row],[Articulo]])</f>
        <v>#VALUE!</v>
      </c>
      <c r="Q3805" s="23" t="e">
        <f>_xlfn.XLOOKUP(Tabla1[[#This Row],[Ean Normalizado]],Consumos!A:A,Consumos!E:E)</f>
        <v>#VALUE!</v>
      </c>
      <c r="R3805" s="38" t="e">
        <f>_xlfn.XLOOKUP(Tabla1[[#This Row],[Ean Normalizado]],tabla_consumos[EAN],tabla_consumos[UM])</f>
        <v>#VALUE!</v>
      </c>
      <c r="S3805" s="38" t="e">
        <f>Tabla1[[#This Row],[StockDisp]]*Tabla1[[#This Row],[UM producto]]</f>
        <v>#VALUE!</v>
      </c>
    </row>
    <row r="3806" spans="1:19" x14ac:dyDescent="0.35">
      <c r="A3806" s="5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6"/>
      <c r="P3806" s="23" t="e">
        <f>TRIM(Tabla1[[#This Row],[Articulo]])</f>
        <v>#VALUE!</v>
      </c>
      <c r="Q3806" s="23" t="e">
        <f>_xlfn.XLOOKUP(Tabla1[[#This Row],[Ean Normalizado]],Consumos!A:A,Consumos!E:E)</f>
        <v>#VALUE!</v>
      </c>
      <c r="R3806" s="38" t="e">
        <f>_xlfn.XLOOKUP(Tabla1[[#This Row],[Ean Normalizado]],tabla_consumos[EAN],tabla_consumos[UM])</f>
        <v>#VALUE!</v>
      </c>
      <c r="S3806" s="38" t="e">
        <f>Tabla1[[#This Row],[StockDisp]]*Tabla1[[#This Row],[UM producto]]</f>
        <v>#VALUE!</v>
      </c>
    </row>
    <row r="3807" spans="1:19" x14ac:dyDescent="0.35">
      <c r="A3807" s="5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6"/>
      <c r="P3807" s="23" t="e">
        <f>TRIM(Tabla1[[#This Row],[Articulo]])</f>
        <v>#VALUE!</v>
      </c>
      <c r="Q3807" s="23" t="e">
        <f>_xlfn.XLOOKUP(Tabla1[[#This Row],[Ean Normalizado]],Consumos!A:A,Consumos!E:E)</f>
        <v>#VALUE!</v>
      </c>
      <c r="R3807" s="38" t="e">
        <f>_xlfn.XLOOKUP(Tabla1[[#This Row],[Ean Normalizado]],tabla_consumos[EAN],tabla_consumos[UM])</f>
        <v>#VALUE!</v>
      </c>
      <c r="S3807" s="38" t="e">
        <f>Tabla1[[#This Row],[StockDisp]]*Tabla1[[#This Row],[UM producto]]</f>
        <v>#VALUE!</v>
      </c>
    </row>
    <row r="3808" spans="1:19" x14ac:dyDescent="0.35">
      <c r="A3808" s="5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6"/>
      <c r="P3808" s="23" t="e">
        <f>TRIM(Tabla1[[#This Row],[Articulo]])</f>
        <v>#VALUE!</v>
      </c>
      <c r="Q3808" s="23" t="e">
        <f>_xlfn.XLOOKUP(Tabla1[[#This Row],[Ean Normalizado]],Consumos!A:A,Consumos!E:E)</f>
        <v>#VALUE!</v>
      </c>
      <c r="R3808" s="38" t="e">
        <f>_xlfn.XLOOKUP(Tabla1[[#This Row],[Ean Normalizado]],tabla_consumos[EAN],tabla_consumos[UM])</f>
        <v>#VALUE!</v>
      </c>
      <c r="S3808" s="38" t="e">
        <f>Tabla1[[#This Row],[StockDisp]]*Tabla1[[#This Row],[UM producto]]</f>
        <v>#VALUE!</v>
      </c>
    </row>
    <row r="3809" spans="1:19" x14ac:dyDescent="0.35">
      <c r="A3809" s="5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6"/>
      <c r="P3809" s="23" t="e">
        <f>TRIM(Tabla1[[#This Row],[Articulo]])</f>
        <v>#VALUE!</v>
      </c>
      <c r="Q3809" s="23" t="e">
        <f>_xlfn.XLOOKUP(Tabla1[[#This Row],[Ean Normalizado]],Consumos!A:A,Consumos!E:E)</f>
        <v>#VALUE!</v>
      </c>
      <c r="R3809" s="38" t="e">
        <f>_xlfn.XLOOKUP(Tabla1[[#This Row],[Ean Normalizado]],tabla_consumos[EAN],tabla_consumos[UM])</f>
        <v>#VALUE!</v>
      </c>
      <c r="S3809" s="38" t="e">
        <f>Tabla1[[#This Row],[StockDisp]]*Tabla1[[#This Row],[UM producto]]</f>
        <v>#VALUE!</v>
      </c>
    </row>
    <row r="3810" spans="1:19" x14ac:dyDescent="0.35">
      <c r="A3810" s="5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6"/>
      <c r="P3810" s="23" t="e">
        <f>TRIM(Tabla1[[#This Row],[Articulo]])</f>
        <v>#VALUE!</v>
      </c>
      <c r="Q3810" s="23" t="e">
        <f>_xlfn.XLOOKUP(Tabla1[[#This Row],[Ean Normalizado]],Consumos!A:A,Consumos!E:E)</f>
        <v>#VALUE!</v>
      </c>
      <c r="R3810" s="38" t="e">
        <f>_xlfn.XLOOKUP(Tabla1[[#This Row],[Ean Normalizado]],tabla_consumos[EAN],tabla_consumos[UM])</f>
        <v>#VALUE!</v>
      </c>
      <c r="S3810" s="38" t="e">
        <f>Tabla1[[#This Row],[StockDisp]]*Tabla1[[#This Row],[UM producto]]</f>
        <v>#VALUE!</v>
      </c>
    </row>
    <row r="3811" spans="1:19" x14ac:dyDescent="0.35">
      <c r="A3811" s="5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6"/>
      <c r="P3811" s="23" t="e">
        <f>TRIM(Tabla1[[#This Row],[Articulo]])</f>
        <v>#VALUE!</v>
      </c>
      <c r="Q3811" s="23" t="e">
        <f>_xlfn.XLOOKUP(Tabla1[[#This Row],[Ean Normalizado]],Consumos!A:A,Consumos!E:E)</f>
        <v>#VALUE!</v>
      </c>
      <c r="R3811" s="38" t="e">
        <f>_xlfn.XLOOKUP(Tabla1[[#This Row],[Ean Normalizado]],tabla_consumos[EAN],tabla_consumos[UM])</f>
        <v>#VALUE!</v>
      </c>
      <c r="S3811" s="38" t="e">
        <f>Tabla1[[#This Row],[StockDisp]]*Tabla1[[#This Row],[UM producto]]</f>
        <v>#VALUE!</v>
      </c>
    </row>
    <row r="3812" spans="1:19" x14ac:dyDescent="0.35">
      <c r="A3812" s="5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6"/>
      <c r="P3812" s="23" t="e">
        <f>TRIM(Tabla1[[#This Row],[Articulo]])</f>
        <v>#VALUE!</v>
      </c>
      <c r="Q3812" s="23" t="e">
        <f>_xlfn.XLOOKUP(Tabla1[[#This Row],[Ean Normalizado]],Consumos!A:A,Consumos!E:E)</f>
        <v>#VALUE!</v>
      </c>
      <c r="R3812" s="38" t="e">
        <f>_xlfn.XLOOKUP(Tabla1[[#This Row],[Ean Normalizado]],tabla_consumos[EAN],tabla_consumos[UM])</f>
        <v>#VALUE!</v>
      </c>
      <c r="S3812" s="38" t="e">
        <f>Tabla1[[#This Row],[StockDisp]]*Tabla1[[#This Row],[UM producto]]</f>
        <v>#VALUE!</v>
      </c>
    </row>
    <row r="3813" spans="1:19" x14ac:dyDescent="0.35">
      <c r="A3813" s="5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6"/>
      <c r="P3813" s="23" t="e">
        <f>TRIM(Tabla1[[#This Row],[Articulo]])</f>
        <v>#VALUE!</v>
      </c>
      <c r="Q3813" s="23" t="e">
        <f>_xlfn.XLOOKUP(Tabla1[[#This Row],[Ean Normalizado]],Consumos!A:A,Consumos!E:E)</f>
        <v>#VALUE!</v>
      </c>
      <c r="R3813" s="38" t="e">
        <f>_xlfn.XLOOKUP(Tabla1[[#This Row],[Ean Normalizado]],tabla_consumos[EAN],tabla_consumos[UM])</f>
        <v>#VALUE!</v>
      </c>
      <c r="S3813" s="38" t="e">
        <f>Tabla1[[#This Row],[StockDisp]]*Tabla1[[#This Row],[UM producto]]</f>
        <v>#VALUE!</v>
      </c>
    </row>
    <row r="3814" spans="1:19" x14ac:dyDescent="0.35">
      <c r="A3814" s="5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6"/>
      <c r="P3814" s="23" t="e">
        <f>TRIM(Tabla1[[#This Row],[Articulo]])</f>
        <v>#VALUE!</v>
      </c>
      <c r="Q3814" s="23" t="e">
        <f>_xlfn.XLOOKUP(Tabla1[[#This Row],[Ean Normalizado]],Consumos!A:A,Consumos!E:E)</f>
        <v>#VALUE!</v>
      </c>
      <c r="R3814" s="38" t="e">
        <f>_xlfn.XLOOKUP(Tabla1[[#This Row],[Ean Normalizado]],tabla_consumos[EAN],tabla_consumos[UM])</f>
        <v>#VALUE!</v>
      </c>
      <c r="S3814" s="38" t="e">
        <f>Tabla1[[#This Row],[StockDisp]]*Tabla1[[#This Row],[UM producto]]</f>
        <v>#VALUE!</v>
      </c>
    </row>
    <row r="3815" spans="1:19" x14ac:dyDescent="0.35">
      <c r="A3815" s="5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6"/>
      <c r="P3815" s="23" t="e">
        <f>TRIM(Tabla1[[#This Row],[Articulo]])</f>
        <v>#VALUE!</v>
      </c>
      <c r="Q3815" s="23" t="e">
        <f>_xlfn.XLOOKUP(Tabla1[[#This Row],[Ean Normalizado]],Consumos!A:A,Consumos!E:E)</f>
        <v>#VALUE!</v>
      </c>
      <c r="R3815" s="38" t="e">
        <f>_xlfn.XLOOKUP(Tabla1[[#This Row],[Ean Normalizado]],tabla_consumos[EAN],tabla_consumos[UM])</f>
        <v>#VALUE!</v>
      </c>
      <c r="S3815" s="38" t="e">
        <f>Tabla1[[#This Row],[StockDisp]]*Tabla1[[#This Row],[UM producto]]</f>
        <v>#VALUE!</v>
      </c>
    </row>
    <row r="3816" spans="1:19" x14ac:dyDescent="0.35">
      <c r="A3816" s="5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6"/>
      <c r="P3816" s="23" t="e">
        <f>TRIM(Tabla1[[#This Row],[Articulo]])</f>
        <v>#VALUE!</v>
      </c>
      <c r="Q3816" s="23" t="e">
        <f>_xlfn.XLOOKUP(Tabla1[[#This Row],[Ean Normalizado]],Consumos!A:A,Consumos!E:E)</f>
        <v>#VALUE!</v>
      </c>
      <c r="R3816" s="38" t="e">
        <f>_xlfn.XLOOKUP(Tabla1[[#This Row],[Ean Normalizado]],tabla_consumos[EAN],tabla_consumos[UM])</f>
        <v>#VALUE!</v>
      </c>
      <c r="S3816" s="38" t="e">
        <f>Tabla1[[#This Row],[StockDisp]]*Tabla1[[#This Row],[UM producto]]</f>
        <v>#VALUE!</v>
      </c>
    </row>
    <row r="3817" spans="1:19" x14ac:dyDescent="0.35">
      <c r="A3817" s="5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6"/>
      <c r="P3817" s="23" t="e">
        <f>TRIM(Tabla1[[#This Row],[Articulo]])</f>
        <v>#VALUE!</v>
      </c>
      <c r="Q3817" s="23" t="e">
        <f>_xlfn.XLOOKUP(Tabla1[[#This Row],[Ean Normalizado]],Consumos!A:A,Consumos!E:E)</f>
        <v>#VALUE!</v>
      </c>
      <c r="R3817" s="38" t="e">
        <f>_xlfn.XLOOKUP(Tabla1[[#This Row],[Ean Normalizado]],tabla_consumos[EAN],tabla_consumos[UM])</f>
        <v>#VALUE!</v>
      </c>
      <c r="S3817" s="38" t="e">
        <f>Tabla1[[#This Row],[StockDisp]]*Tabla1[[#This Row],[UM producto]]</f>
        <v>#VALUE!</v>
      </c>
    </row>
    <row r="3818" spans="1:19" x14ac:dyDescent="0.35">
      <c r="A3818" s="5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6"/>
      <c r="P3818" s="23" t="e">
        <f>TRIM(Tabla1[[#This Row],[Articulo]])</f>
        <v>#VALUE!</v>
      </c>
      <c r="Q3818" s="23" t="e">
        <f>_xlfn.XLOOKUP(Tabla1[[#This Row],[Ean Normalizado]],Consumos!A:A,Consumos!E:E)</f>
        <v>#VALUE!</v>
      </c>
      <c r="R3818" s="38" t="e">
        <f>_xlfn.XLOOKUP(Tabla1[[#This Row],[Ean Normalizado]],tabla_consumos[EAN],tabla_consumos[UM])</f>
        <v>#VALUE!</v>
      </c>
      <c r="S3818" s="38" t="e">
        <f>Tabla1[[#This Row],[StockDisp]]*Tabla1[[#This Row],[UM producto]]</f>
        <v>#VALUE!</v>
      </c>
    </row>
    <row r="3819" spans="1:19" x14ac:dyDescent="0.35">
      <c r="A3819" s="5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6"/>
      <c r="P3819" s="23" t="e">
        <f>TRIM(Tabla1[[#This Row],[Articulo]])</f>
        <v>#VALUE!</v>
      </c>
      <c r="Q3819" s="23" t="e">
        <f>_xlfn.XLOOKUP(Tabla1[[#This Row],[Ean Normalizado]],Consumos!A:A,Consumos!E:E)</f>
        <v>#VALUE!</v>
      </c>
      <c r="R3819" s="38" t="e">
        <f>_xlfn.XLOOKUP(Tabla1[[#This Row],[Ean Normalizado]],tabla_consumos[EAN],tabla_consumos[UM])</f>
        <v>#VALUE!</v>
      </c>
      <c r="S3819" s="38" t="e">
        <f>Tabla1[[#This Row],[StockDisp]]*Tabla1[[#This Row],[UM producto]]</f>
        <v>#VALUE!</v>
      </c>
    </row>
    <row r="3820" spans="1:19" x14ac:dyDescent="0.35">
      <c r="A3820" s="5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6"/>
      <c r="P3820" s="23" t="e">
        <f>TRIM(Tabla1[[#This Row],[Articulo]])</f>
        <v>#VALUE!</v>
      </c>
      <c r="Q3820" s="23" t="e">
        <f>_xlfn.XLOOKUP(Tabla1[[#This Row],[Ean Normalizado]],Consumos!A:A,Consumos!E:E)</f>
        <v>#VALUE!</v>
      </c>
      <c r="R3820" s="38" t="e">
        <f>_xlfn.XLOOKUP(Tabla1[[#This Row],[Ean Normalizado]],tabla_consumos[EAN],tabla_consumos[UM])</f>
        <v>#VALUE!</v>
      </c>
      <c r="S3820" s="38" t="e">
        <f>Tabla1[[#This Row],[StockDisp]]*Tabla1[[#This Row],[UM producto]]</f>
        <v>#VALUE!</v>
      </c>
    </row>
    <row r="3821" spans="1:19" x14ac:dyDescent="0.35">
      <c r="A3821" s="5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6"/>
      <c r="P3821" s="23" t="e">
        <f>TRIM(Tabla1[[#This Row],[Articulo]])</f>
        <v>#VALUE!</v>
      </c>
      <c r="Q3821" s="23" t="e">
        <f>_xlfn.XLOOKUP(Tabla1[[#This Row],[Ean Normalizado]],Consumos!A:A,Consumos!E:E)</f>
        <v>#VALUE!</v>
      </c>
      <c r="R3821" s="38" t="e">
        <f>_xlfn.XLOOKUP(Tabla1[[#This Row],[Ean Normalizado]],tabla_consumos[EAN],tabla_consumos[UM])</f>
        <v>#VALUE!</v>
      </c>
      <c r="S3821" s="38" t="e">
        <f>Tabla1[[#This Row],[StockDisp]]*Tabla1[[#This Row],[UM producto]]</f>
        <v>#VALUE!</v>
      </c>
    </row>
    <row r="3822" spans="1:19" x14ac:dyDescent="0.35">
      <c r="A3822" s="5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6"/>
      <c r="P3822" s="23" t="e">
        <f>TRIM(Tabla1[[#This Row],[Articulo]])</f>
        <v>#VALUE!</v>
      </c>
      <c r="Q3822" s="23" t="e">
        <f>_xlfn.XLOOKUP(Tabla1[[#This Row],[Ean Normalizado]],Consumos!A:A,Consumos!E:E)</f>
        <v>#VALUE!</v>
      </c>
      <c r="R3822" s="38" t="e">
        <f>_xlfn.XLOOKUP(Tabla1[[#This Row],[Ean Normalizado]],tabla_consumos[EAN],tabla_consumos[UM])</f>
        <v>#VALUE!</v>
      </c>
      <c r="S3822" s="38" t="e">
        <f>Tabla1[[#This Row],[StockDisp]]*Tabla1[[#This Row],[UM producto]]</f>
        <v>#VALUE!</v>
      </c>
    </row>
    <row r="3823" spans="1:19" x14ac:dyDescent="0.35">
      <c r="A3823" s="5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6"/>
      <c r="P3823" s="23" t="e">
        <f>TRIM(Tabla1[[#This Row],[Articulo]])</f>
        <v>#VALUE!</v>
      </c>
      <c r="Q3823" s="23" t="e">
        <f>_xlfn.XLOOKUP(Tabla1[[#This Row],[Ean Normalizado]],Consumos!A:A,Consumos!E:E)</f>
        <v>#VALUE!</v>
      </c>
      <c r="R3823" s="38" t="e">
        <f>_xlfn.XLOOKUP(Tabla1[[#This Row],[Ean Normalizado]],tabla_consumos[EAN],tabla_consumos[UM])</f>
        <v>#VALUE!</v>
      </c>
      <c r="S3823" s="38" t="e">
        <f>Tabla1[[#This Row],[StockDisp]]*Tabla1[[#This Row],[UM producto]]</f>
        <v>#VALUE!</v>
      </c>
    </row>
    <row r="3824" spans="1:19" x14ac:dyDescent="0.35">
      <c r="A3824" s="5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6"/>
      <c r="P3824" s="23" t="e">
        <f>TRIM(Tabla1[[#This Row],[Articulo]])</f>
        <v>#VALUE!</v>
      </c>
      <c r="Q3824" s="23" t="e">
        <f>_xlfn.XLOOKUP(Tabla1[[#This Row],[Ean Normalizado]],Consumos!A:A,Consumos!E:E)</f>
        <v>#VALUE!</v>
      </c>
      <c r="R3824" s="38" t="e">
        <f>_xlfn.XLOOKUP(Tabla1[[#This Row],[Ean Normalizado]],tabla_consumos[EAN],tabla_consumos[UM])</f>
        <v>#VALUE!</v>
      </c>
      <c r="S3824" s="38" t="e">
        <f>Tabla1[[#This Row],[StockDisp]]*Tabla1[[#This Row],[UM producto]]</f>
        <v>#VALUE!</v>
      </c>
    </row>
    <row r="3825" spans="1:19" x14ac:dyDescent="0.35">
      <c r="A3825" s="5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6"/>
      <c r="P3825" s="23" t="e">
        <f>TRIM(Tabla1[[#This Row],[Articulo]])</f>
        <v>#VALUE!</v>
      </c>
      <c r="Q3825" s="23" t="e">
        <f>_xlfn.XLOOKUP(Tabla1[[#This Row],[Ean Normalizado]],Consumos!A:A,Consumos!E:E)</f>
        <v>#VALUE!</v>
      </c>
      <c r="R3825" s="38" t="e">
        <f>_xlfn.XLOOKUP(Tabla1[[#This Row],[Ean Normalizado]],tabla_consumos[EAN],tabla_consumos[UM])</f>
        <v>#VALUE!</v>
      </c>
      <c r="S3825" s="38" t="e">
        <f>Tabla1[[#This Row],[StockDisp]]*Tabla1[[#This Row],[UM producto]]</f>
        <v>#VALUE!</v>
      </c>
    </row>
    <row r="3826" spans="1:19" x14ac:dyDescent="0.35">
      <c r="A3826" s="5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6"/>
      <c r="P3826" s="23" t="e">
        <f>TRIM(Tabla1[[#This Row],[Articulo]])</f>
        <v>#VALUE!</v>
      </c>
      <c r="Q3826" s="23" t="e">
        <f>_xlfn.XLOOKUP(Tabla1[[#This Row],[Ean Normalizado]],Consumos!A:A,Consumos!E:E)</f>
        <v>#VALUE!</v>
      </c>
      <c r="R3826" s="38" t="e">
        <f>_xlfn.XLOOKUP(Tabla1[[#This Row],[Ean Normalizado]],tabla_consumos[EAN],tabla_consumos[UM])</f>
        <v>#VALUE!</v>
      </c>
      <c r="S3826" s="38" t="e">
        <f>Tabla1[[#This Row],[StockDisp]]*Tabla1[[#This Row],[UM producto]]</f>
        <v>#VALUE!</v>
      </c>
    </row>
    <row r="3827" spans="1:19" x14ac:dyDescent="0.35">
      <c r="A3827" s="5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6"/>
      <c r="P3827" s="23" t="e">
        <f>TRIM(Tabla1[[#This Row],[Articulo]])</f>
        <v>#VALUE!</v>
      </c>
      <c r="Q3827" s="23" t="e">
        <f>_xlfn.XLOOKUP(Tabla1[[#This Row],[Ean Normalizado]],Consumos!A:A,Consumos!E:E)</f>
        <v>#VALUE!</v>
      </c>
      <c r="R3827" s="38" t="e">
        <f>_xlfn.XLOOKUP(Tabla1[[#This Row],[Ean Normalizado]],tabla_consumos[EAN],tabla_consumos[UM])</f>
        <v>#VALUE!</v>
      </c>
      <c r="S3827" s="38" t="e">
        <f>Tabla1[[#This Row],[StockDisp]]*Tabla1[[#This Row],[UM producto]]</f>
        <v>#VALUE!</v>
      </c>
    </row>
    <row r="3828" spans="1:19" x14ac:dyDescent="0.35">
      <c r="A3828" s="5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6"/>
      <c r="P3828" s="23" t="e">
        <f>TRIM(Tabla1[[#This Row],[Articulo]])</f>
        <v>#VALUE!</v>
      </c>
      <c r="Q3828" s="23" t="e">
        <f>_xlfn.XLOOKUP(Tabla1[[#This Row],[Ean Normalizado]],Consumos!A:A,Consumos!E:E)</f>
        <v>#VALUE!</v>
      </c>
      <c r="R3828" s="38" t="e">
        <f>_xlfn.XLOOKUP(Tabla1[[#This Row],[Ean Normalizado]],tabla_consumos[EAN],tabla_consumos[UM])</f>
        <v>#VALUE!</v>
      </c>
      <c r="S3828" s="38" t="e">
        <f>Tabla1[[#This Row],[StockDisp]]*Tabla1[[#This Row],[UM producto]]</f>
        <v>#VALUE!</v>
      </c>
    </row>
    <row r="3829" spans="1:19" x14ac:dyDescent="0.35">
      <c r="A3829" s="5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6"/>
      <c r="P3829" s="23" t="e">
        <f>TRIM(Tabla1[[#This Row],[Articulo]])</f>
        <v>#VALUE!</v>
      </c>
      <c r="Q3829" s="23" t="e">
        <f>_xlfn.XLOOKUP(Tabla1[[#This Row],[Ean Normalizado]],Consumos!A:A,Consumos!E:E)</f>
        <v>#VALUE!</v>
      </c>
      <c r="R3829" s="38" t="e">
        <f>_xlfn.XLOOKUP(Tabla1[[#This Row],[Ean Normalizado]],tabla_consumos[EAN],tabla_consumos[UM])</f>
        <v>#VALUE!</v>
      </c>
      <c r="S3829" s="38" t="e">
        <f>Tabla1[[#This Row],[StockDisp]]*Tabla1[[#This Row],[UM producto]]</f>
        <v>#VALUE!</v>
      </c>
    </row>
    <row r="3830" spans="1:19" x14ac:dyDescent="0.35">
      <c r="A3830" s="5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6"/>
      <c r="P3830" s="23" t="e">
        <f>TRIM(Tabla1[[#This Row],[Articulo]])</f>
        <v>#VALUE!</v>
      </c>
      <c r="Q3830" s="23" t="e">
        <f>_xlfn.XLOOKUP(Tabla1[[#This Row],[Ean Normalizado]],Consumos!A:A,Consumos!E:E)</f>
        <v>#VALUE!</v>
      </c>
      <c r="R3830" s="38" t="e">
        <f>_xlfn.XLOOKUP(Tabla1[[#This Row],[Ean Normalizado]],tabla_consumos[EAN],tabla_consumos[UM])</f>
        <v>#VALUE!</v>
      </c>
      <c r="S3830" s="38" t="e">
        <f>Tabla1[[#This Row],[StockDisp]]*Tabla1[[#This Row],[UM producto]]</f>
        <v>#VALUE!</v>
      </c>
    </row>
    <row r="3831" spans="1:19" x14ac:dyDescent="0.35">
      <c r="A3831" s="5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6"/>
      <c r="P3831" s="23" t="e">
        <f>TRIM(Tabla1[[#This Row],[Articulo]])</f>
        <v>#VALUE!</v>
      </c>
      <c r="Q3831" s="23" t="e">
        <f>_xlfn.XLOOKUP(Tabla1[[#This Row],[Ean Normalizado]],Consumos!A:A,Consumos!E:E)</f>
        <v>#VALUE!</v>
      </c>
      <c r="R3831" s="38" t="e">
        <f>_xlfn.XLOOKUP(Tabla1[[#This Row],[Ean Normalizado]],tabla_consumos[EAN],tabla_consumos[UM])</f>
        <v>#VALUE!</v>
      </c>
      <c r="S3831" s="38" t="e">
        <f>Tabla1[[#This Row],[StockDisp]]*Tabla1[[#This Row],[UM producto]]</f>
        <v>#VALUE!</v>
      </c>
    </row>
    <row r="3832" spans="1:19" x14ac:dyDescent="0.35">
      <c r="A3832" s="5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6"/>
      <c r="P3832" s="23" t="e">
        <f>TRIM(Tabla1[[#This Row],[Articulo]])</f>
        <v>#VALUE!</v>
      </c>
      <c r="Q3832" s="23" t="e">
        <f>_xlfn.XLOOKUP(Tabla1[[#This Row],[Ean Normalizado]],Consumos!A:A,Consumos!E:E)</f>
        <v>#VALUE!</v>
      </c>
      <c r="R3832" s="38" t="e">
        <f>_xlfn.XLOOKUP(Tabla1[[#This Row],[Ean Normalizado]],tabla_consumos[EAN],tabla_consumos[UM])</f>
        <v>#VALUE!</v>
      </c>
      <c r="S3832" s="38" t="e">
        <f>Tabla1[[#This Row],[StockDisp]]*Tabla1[[#This Row],[UM producto]]</f>
        <v>#VALUE!</v>
      </c>
    </row>
    <row r="3833" spans="1:19" x14ac:dyDescent="0.35">
      <c r="A3833" s="5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6"/>
      <c r="P3833" s="23" t="e">
        <f>TRIM(Tabla1[[#This Row],[Articulo]])</f>
        <v>#VALUE!</v>
      </c>
      <c r="Q3833" s="23" t="e">
        <f>_xlfn.XLOOKUP(Tabla1[[#This Row],[Ean Normalizado]],Consumos!A:A,Consumos!E:E)</f>
        <v>#VALUE!</v>
      </c>
      <c r="R3833" s="38" t="e">
        <f>_xlfn.XLOOKUP(Tabla1[[#This Row],[Ean Normalizado]],tabla_consumos[EAN],tabla_consumos[UM])</f>
        <v>#VALUE!</v>
      </c>
      <c r="S3833" s="38" t="e">
        <f>Tabla1[[#This Row],[StockDisp]]*Tabla1[[#This Row],[UM producto]]</f>
        <v>#VALUE!</v>
      </c>
    </row>
    <row r="3834" spans="1:19" x14ac:dyDescent="0.35">
      <c r="A3834" s="5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6"/>
      <c r="P3834" s="23" t="e">
        <f>TRIM(Tabla1[[#This Row],[Articulo]])</f>
        <v>#VALUE!</v>
      </c>
      <c r="Q3834" s="23" t="e">
        <f>_xlfn.XLOOKUP(Tabla1[[#This Row],[Ean Normalizado]],Consumos!A:A,Consumos!E:E)</f>
        <v>#VALUE!</v>
      </c>
      <c r="R3834" s="38" t="e">
        <f>_xlfn.XLOOKUP(Tabla1[[#This Row],[Ean Normalizado]],tabla_consumos[EAN],tabla_consumos[UM])</f>
        <v>#VALUE!</v>
      </c>
      <c r="S3834" s="38" t="e">
        <f>Tabla1[[#This Row],[StockDisp]]*Tabla1[[#This Row],[UM producto]]</f>
        <v>#VALUE!</v>
      </c>
    </row>
    <row r="3835" spans="1:19" x14ac:dyDescent="0.35">
      <c r="A3835" s="5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6"/>
      <c r="P3835" s="23" t="e">
        <f>TRIM(Tabla1[[#This Row],[Articulo]])</f>
        <v>#VALUE!</v>
      </c>
      <c r="Q3835" s="23" t="e">
        <f>_xlfn.XLOOKUP(Tabla1[[#This Row],[Ean Normalizado]],Consumos!A:A,Consumos!E:E)</f>
        <v>#VALUE!</v>
      </c>
      <c r="R3835" s="38" t="e">
        <f>_xlfn.XLOOKUP(Tabla1[[#This Row],[Ean Normalizado]],tabla_consumos[EAN],tabla_consumos[UM])</f>
        <v>#VALUE!</v>
      </c>
      <c r="S3835" s="38" t="e">
        <f>Tabla1[[#This Row],[StockDisp]]*Tabla1[[#This Row],[UM producto]]</f>
        <v>#VALUE!</v>
      </c>
    </row>
    <row r="3836" spans="1:19" x14ac:dyDescent="0.35">
      <c r="A3836" s="5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6"/>
      <c r="P3836" s="23" t="e">
        <f>TRIM(Tabla1[[#This Row],[Articulo]])</f>
        <v>#VALUE!</v>
      </c>
      <c r="Q3836" s="23" t="e">
        <f>_xlfn.XLOOKUP(Tabla1[[#This Row],[Ean Normalizado]],Consumos!A:A,Consumos!E:E)</f>
        <v>#VALUE!</v>
      </c>
      <c r="R3836" s="38" t="e">
        <f>_xlfn.XLOOKUP(Tabla1[[#This Row],[Ean Normalizado]],tabla_consumos[EAN],tabla_consumos[UM])</f>
        <v>#VALUE!</v>
      </c>
      <c r="S3836" s="38" t="e">
        <f>Tabla1[[#This Row],[StockDisp]]*Tabla1[[#This Row],[UM producto]]</f>
        <v>#VALUE!</v>
      </c>
    </row>
    <row r="3837" spans="1:19" x14ac:dyDescent="0.35">
      <c r="A3837" s="5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6"/>
      <c r="P3837" s="23" t="e">
        <f>TRIM(Tabla1[[#This Row],[Articulo]])</f>
        <v>#VALUE!</v>
      </c>
      <c r="Q3837" s="23" t="e">
        <f>_xlfn.XLOOKUP(Tabla1[[#This Row],[Ean Normalizado]],Consumos!A:A,Consumos!E:E)</f>
        <v>#VALUE!</v>
      </c>
      <c r="R3837" s="38" t="e">
        <f>_xlfn.XLOOKUP(Tabla1[[#This Row],[Ean Normalizado]],tabla_consumos[EAN],tabla_consumos[UM])</f>
        <v>#VALUE!</v>
      </c>
      <c r="S3837" s="38" t="e">
        <f>Tabla1[[#This Row],[StockDisp]]*Tabla1[[#This Row],[UM producto]]</f>
        <v>#VALUE!</v>
      </c>
    </row>
    <row r="3838" spans="1:19" x14ac:dyDescent="0.35">
      <c r="A3838" s="5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6"/>
      <c r="P3838" s="23" t="e">
        <f>TRIM(Tabla1[[#This Row],[Articulo]])</f>
        <v>#VALUE!</v>
      </c>
      <c r="Q3838" s="23" t="e">
        <f>_xlfn.XLOOKUP(Tabla1[[#This Row],[Ean Normalizado]],Consumos!A:A,Consumos!E:E)</f>
        <v>#VALUE!</v>
      </c>
      <c r="R3838" s="38" t="e">
        <f>_xlfn.XLOOKUP(Tabla1[[#This Row],[Ean Normalizado]],tabla_consumos[EAN],tabla_consumos[UM])</f>
        <v>#VALUE!</v>
      </c>
      <c r="S3838" s="38" t="e">
        <f>Tabla1[[#This Row],[StockDisp]]*Tabla1[[#This Row],[UM producto]]</f>
        <v>#VALUE!</v>
      </c>
    </row>
    <row r="3839" spans="1:19" x14ac:dyDescent="0.35">
      <c r="A3839" s="5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6"/>
      <c r="P3839" s="23" t="e">
        <f>TRIM(Tabla1[[#This Row],[Articulo]])</f>
        <v>#VALUE!</v>
      </c>
      <c r="Q3839" s="23" t="e">
        <f>_xlfn.XLOOKUP(Tabla1[[#This Row],[Ean Normalizado]],Consumos!A:A,Consumos!E:E)</f>
        <v>#VALUE!</v>
      </c>
      <c r="R3839" s="38" t="e">
        <f>_xlfn.XLOOKUP(Tabla1[[#This Row],[Ean Normalizado]],tabla_consumos[EAN],tabla_consumos[UM])</f>
        <v>#VALUE!</v>
      </c>
      <c r="S3839" s="38" t="e">
        <f>Tabla1[[#This Row],[StockDisp]]*Tabla1[[#This Row],[UM producto]]</f>
        <v>#VALUE!</v>
      </c>
    </row>
    <row r="3840" spans="1:19" x14ac:dyDescent="0.35">
      <c r="A3840" s="5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6"/>
      <c r="P3840" s="23" t="e">
        <f>TRIM(Tabla1[[#This Row],[Articulo]])</f>
        <v>#VALUE!</v>
      </c>
      <c r="Q3840" s="23" t="e">
        <f>_xlfn.XLOOKUP(Tabla1[[#This Row],[Ean Normalizado]],Consumos!A:A,Consumos!E:E)</f>
        <v>#VALUE!</v>
      </c>
      <c r="R3840" s="38" t="e">
        <f>_xlfn.XLOOKUP(Tabla1[[#This Row],[Ean Normalizado]],tabla_consumos[EAN],tabla_consumos[UM])</f>
        <v>#VALUE!</v>
      </c>
      <c r="S3840" s="38" t="e">
        <f>Tabla1[[#This Row],[StockDisp]]*Tabla1[[#This Row],[UM producto]]</f>
        <v>#VALUE!</v>
      </c>
    </row>
    <row r="3841" spans="1:19" x14ac:dyDescent="0.35">
      <c r="A3841" s="5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6"/>
      <c r="P3841" s="23" t="e">
        <f>TRIM(Tabla1[[#This Row],[Articulo]])</f>
        <v>#VALUE!</v>
      </c>
      <c r="Q3841" s="23" t="e">
        <f>_xlfn.XLOOKUP(Tabla1[[#This Row],[Ean Normalizado]],Consumos!A:A,Consumos!E:E)</f>
        <v>#VALUE!</v>
      </c>
      <c r="R3841" s="38" t="e">
        <f>_xlfn.XLOOKUP(Tabla1[[#This Row],[Ean Normalizado]],tabla_consumos[EAN],tabla_consumos[UM])</f>
        <v>#VALUE!</v>
      </c>
      <c r="S3841" s="38" t="e">
        <f>Tabla1[[#This Row],[StockDisp]]*Tabla1[[#This Row],[UM producto]]</f>
        <v>#VALUE!</v>
      </c>
    </row>
    <row r="3842" spans="1:19" x14ac:dyDescent="0.35">
      <c r="A3842" s="5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6"/>
      <c r="P3842" s="23" t="e">
        <f>TRIM(Tabla1[[#This Row],[Articulo]])</f>
        <v>#VALUE!</v>
      </c>
      <c r="Q3842" s="23" t="e">
        <f>_xlfn.XLOOKUP(Tabla1[[#This Row],[Ean Normalizado]],Consumos!A:A,Consumos!E:E)</f>
        <v>#VALUE!</v>
      </c>
      <c r="R3842" s="38" t="e">
        <f>_xlfn.XLOOKUP(Tabla1[[#This Row],[Ean Normalizado]],tabla_consumos[EAN],tabla_consumos[UM])</f>
        <v>#VALUE!</v>
      </c>
      <c r="S3842" s="38" t="e">
        <f>Tabla1[[#This Row],[StockDisp]]*Tabla1[[#This Row],[UM producto]]</f>
        <v>#VALUE!</v>
      </c>
    </row>
    <row r="3843" spans="1:19" x14ac:dyDescent="0.35">
      <c r="A3843" s="5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6"/>
      <c r="P3843" s="23" t="e">
        <f>TRIM(Tabla1[[#This Row],[Articulo]])</f>
        <v>#VALUE!</v>
      </c>
      <c r="Q3843" s="23" t="e">
        <f>_xlfn.XLOOKUP(Tabla1[[#This Row],[Ean Normalizado]],Consumos!A:A,Consumos!E:E)</f>
        <v>#VALUE!</v>
      </c>
      <c r="R3843" s="38" t="e">
        <f>_xlfn.XLOOKUP(Tabla1[[#This Row],[Ean Normalizado]],tabla_consumos[EAN],tabla_consumos[UM])</f>
        <v>#VALUE!</v>
      </c>
      <c r="S3843" s="38" t="e">
        <f>Tabla1[[#This Row],[StockDisp]]*Tabla1[[#This Row],[UM producto]]</f>
        <v>#VALUE!</v>
      </c>
    </row>
    <row r="3844" spans="1:19" x14ac:dyDescent="0.35">
      <c r="A3844" s="5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6"/>
      <c r="P3844" s="23" t="e">
        <f>TRIM(Tabla1[[#This Row],[Articulo]])</f>
        <v>#VALUE!</v>
      </c>
      <c r="Q3844" s="23" t="e">
        <f>_xlfn.XLOOKUP(Tabla1[[#This Row],[Ean Normalizado]],Consumos!A:A,Consumos!E:E)</f>
        <v>#VALUE!</v>
      </c>
      <c r="R3844" s="38" t="e">
        <f>_xlfn.XLOOKUP(Tabla1[[#This Row],[Ean Normalizado]],tabla_consumos[EAN],tabla_consumos[UM])</f>
        <v>#VALUE!</v>
      </c>
      <c r="S3844" s="38" t="e">
        <f>Tabla1[[#This Row],[StockDisp]]*Tabla1[[#This Row],[UM producto]]</f>
        <v>#VALUE!</v>
      </c>
    </row>
    <row r="3845" spans="1:19" x14ac:dyDescent="0.35">
      <c r="A3845" s="5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6"/>
      <c r="P3845" s="23" t="e">
        <f>TRIM(Tabla1[[#This Row],[Articulo]])</f>
        <v>#VALUE!</v>
      </c>
      <c r="Q3845" s="23" t="e">
        <f>_xlfn.XLOOKUP(Tabla1[[#This Row],[Ean Normalizado]],Consumos!A:A,Consumos!E:E)</f>
        <v>#VALUE!</v>
      </c>
      <c r="R3845" s="38" t="e">
        <f>_xlfn.XLOOKUP(Tabla1[[#This Row],[Ean Normalizado]],tabla_consumos[EAN],tabla_consumos[UM])</f>
        <v>#VALUE!</v>
      </c>
      <c r="S3845" s="38" t="e">
        <f>Tabla1[[#This Row],[StockDisp]]*Tabla1[[#This Row],[UM producto]]</f>
        <v>#VALUE!</v>
      </c>
    </row>
    <row r="3846" spans="1:19" x14ac:dyDescent="0.35">
      <c r="A3846" s="5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6"/>
      <c r="P3846" s="23" t="e">
        <f>TRIM(Tabla1[[#This Row],[Articulo]])</f>
        <v>#VALUE!</v>
      </c>
      <c r="Q3846" s="23" t="e">
        <f>_xlfn.XLOOKUP(Tabla1[[#This Row],[Ean Normalizado]],Consumos!A:A,Consumos!E:E)</f>
        <v>#VALUE!</v>
      </c>
      <c r="R3846" s="38" t="e">
        <f>_xlfn.XLOOKUP(Tabla1[[#This Row],[Ean Normalizado]],tabla_consumos[EAN],tabla_consumos[UM])</f>
        <v>#VALUE!</v>
      </c>
      <c r="S3846" s="38" t="e">
        <f>Tabla1[[#This Row],[StockDisp]]*Tabla1[[#This Row],[UM producto]]</f>
        <v>#VALUE!</v>
      </c>
    </row>
    <row r="3847" spans="1:19" x14ac:dyDescent="0.35">
      <c r="A3847" s="5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6"/>
      <c r="P3847" s="23" t="e">
        <f>TRIM(Tabla1[[#This Row],[Articulo]])</f>
        <v>#VALUE!</v>
      </c>
      <c r="Q3847" s="23" t="e">
        <f>_xlfn.XLOOKUP(Tabla1[[#This Row],[Ean Normalizado]],Consumos!A:A,Consumos!E:E)</f>
        <v>#VALUE!</v>
      </c>
      <c r="R3847" s="38" t="e">
        <f>_xlfn.XLOOKUP(Tabla1[[#This Row],[Ean Normalizado]],tabla_consumos[EAN],tabla_consumos[UM])</f>
        <v>#VALUE!</v>
      </c>
      <c r="S3847" s="38" t="e">
        <f>Tabla1[[#This Row],[StockDisp]]*Tabla1[[#This Row],[UM producto]]</f>
        <v>#VALUE!</v>
      </c>
    </row>
    <row r="3848" spans="1:19" x14ac:dyDescent="0.35">
      <c r="A3848" s="5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6"/>
      <c r="P3848" s="23" t="e">
        <f>TRIM(Tabla1[[#This Row],[Articulo]])</f>
        <v>#VALUE!</v>
      </c>
      <c r="Q3848" s="23" t="e">
        <f>_xlfn.XLOOKUP(Tabla1[[#This Row],[Ean Normalizado]],Consumos!A:A,Consumos!E:E)</f>
        <v>#VALUE!</v>
      </c>
      <c r="R3848" s="38" t="e">
        <f>_xlfn.XLOOKUP(Tabla1[[#This Row],[Ean Normalizado]],tabla_consumos[EAN],tabla_consumos[UM])</f>
        <v>#VALUE!</v>
      </c>
      <c r="S3848" s="38" t="e">
        <f>Tabla1[[#This Row],[StockDisp]]*Tabla1[[#This Row],[UM producto]]</f>
        <v>#VALUE!</v>
      </c>
    </row>
    <row r="3849" spans="1:19" x14ac:dyDescent="0.35">
      <c r="A3849" s="5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6"/>
      <c r="P3849" s="23" t="e">
        <f>TRIM(Tabla1[[#This Row],[Articulo]])</f>
        <v>#VALUE!</v>
      </c>
      <c r="Q3849" s="23" t="e">
        <f>_xlfn.XLOOKUP(Tabla1[[#This Row],[Ean Normalizado]],Consumos!A:A,Consumos!E:E)</f>
        <v>#VALUE!</v>
      </c>
      <c r="R3849" s="38" t="e">
        <f>_xlfn.XLOOKUP(Tabla1[[#This Row],[Ean Normalizado]],tabla_consumos[EAN],tabla_consumos[UM])</f>
        <v>#VALUE!</v>
      </c>
      <c r="S3849" s="38" t="e">
        <f>Tabla1[[#This Row],[StockDisp]]*Tabla1[[#This Row],[UM producto]]</f>
        <v>#VALUE!</v>
      </c>
    </row>
    <row r="3850" spans="1:19" x14ac:dyDescent="0.35">
      <c r="A3850" s="5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6"/>
      <c r="P3850" s="23" t="e">
        <f>TRIM(Tabla1[[#This Row],[Articulo]])</f>
        <v>#VALUE!</v>
      </c>
      <c r="Q3850" s="23" t="e">
        <f>_xlfn.XLOOKUP(Tabla1[[#This Row],[Ean Normalizado]],Consumos!A:A,Consumos!E:E)</f>
        <v>#VALUE!</v>
      </c>
      <c r="R3850" s="38" t="e">
        <f>_xlfn.XLOOKUP(Tabla1[[#This Row],[Ean Normalizado]],tabla_consumos[EAN],tabla_consumos[UM])</f>
        <v>#VALUE!</v>
      </c>
      <c r="S3850" s="38" t="e">
        <f>Tabla1[[#This Row],[StockDisp]]*Tabla1[[#This Row],[UM producto]]</f>
        <v>#VALUE!</v>
      </c>
    </row>
    <row r="3851" spans="1:19" x14ac:dyDescent="0.35">
      <c r="A3851" s="5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6"/>
      <c r="P3851" s="23" t="e">
        <f>TRIM(Tabla1[[#This Row],[Articulo]])</f>
        <v>#VALUE!</v>
      </c>
      <c r="Q3851" s="23" t="e">
        <f>_xlfn.XLOOKUP(Tabla1[[#This Row],[Ean Normalizado]],Consumos!A:A,Consumos!E:E)</f>
        <v>#VALUE!</v>
      </c>
      <c r="R3851" s="38" t="e">
        <f>_xlfn.XLOOKUP(Tabla1[[#This Row],[Ean Normalizado]],tabla_consumos[EAN],tabla_consumos[UM])</f>
        <v>#VALUE!</v>
      </c>
      <c r="S3851" s="38" t="e">
        <f>Tabla1[[#This Row],[StockDisp]]*Tabla1[[#This Row],[UM producto]]</f>
        <v>#VALUE!</v>
      </c>
    </row>
    <row r="3852" spans="1:19" x14ac:dyDescent="0.35">
      <c r="A3852" s="5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6"/>
      <c r="P3852" s="23" t="e">
        <f>TRIM(Tabla1[[#This Row],[Articulo]])</f>
        <v>#VALUE!</v>
      </c>
      <c r="Q3852" s="23" t="e">
        <f>_xlfn.XLOOKUP(Tabla1[[#This Row],[Ean Normalizado]],Consumos!A:A,Consumos!E:E)</f>
        <v>#VALUE!</v>
      </c>
      <c r="R3852" s="38" t="e">
        <f>_xlfn.XLOOKUP(Tabla1[[#This Row],[Ean Normalizado]],tabla_consumos[EAN],tabla_consumos[UM])</f>
        <v>#VALUE!</v>
      </c>
      <c r="S3852" s="38" t="e">
        <f>Tabla1[[#This Row],[StockDisp]]*Tabla1[[#This Row],[UM producto]]</f>
        <v>#VALUE!</v>
      </c>
    </row>
    <row r="3853" spans="1:19" x14ac:dyDescent="0.35">
      <c r="A3853" s="5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6"/>
      <c r="P3853" s="23" t="e">
        <f>TRIM(Tabla1[[#This Row],[Articulo]])</f>
        <v>#VALUE!</v>
      </c>
      <c r="Q3853" s="23" t="e">
        <f>_xlfn.XLOOKUP(Tabla1[[#This Row],[Ean Normalizado]],Consumos!A:A,Consumos!E:E)</f>
        <v>#VALUE!</v>
      </c>
      <c r="R3853" s="38" t="e">
        <f>_xlfn.XLOOKUP(Tabla1[[#This Row],[Ean Normalizado]],tabla_consumos[EAN],tabla_consumos[UM])</f>
        <v>#VALUE!</v>
      </c>
      <c r="S3853" s="38" t="e">
        <f>Tabla1[[#This Row],[StockDisp]]*Tabla1[[#This Row],[UM producto]]</f>
        <v>#VALUE!</v>
      </c>
    </row>
    <row r="3854" spans="1:19" x14ac:dyDescent="0.35">
      <c r="A3854" s="5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6"/>
      <c r="P3854" s="23" t="e">
        <f>TRIM(Tabla1[[#This Row],[Articulo]])</f>
        <v>#VALUE!</v>
      </c>
      <c r="Q3854" s="23" t="e">
        <f>_xlfn.XLOOKUP(Tabla1[[#This Row],[Ean Normalizado]],Consumos!A:A,Consumos!E:E)</f>
        <v>#VALUE!</v>
      </c>
      <c r="R3854" s="38" t="e">
        <f>_xlfn.XLOOKUP(Tabla1[[#This Row],[Ean Normalizado]],tabla_consumos[EAN],tabla_consumos[UM])</f>
        <v>#VALUE!</v>
      </c>
      <c r="S3854" s="38" t="e">
        <f>Tabla1[[#This Row],[StockDisp]]*Tabla1[[#This Row],[UM producto]]</f>
        <v>#VALUE!</v>
      </c>
    </row>
    <row r="3855" spans="1:19" x14ac:dyDescent="0.35">
      <c r="A3855" s="5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6"/>
      <c r="P3855" s="23" t="e">
        <f>TRIM(Tabla1[[#This Row],[Articulo]])</f>
        <v>#VALUE!</v>
      </c>
      <c r="Q3855" s="23" t="e">
        <f>_xlfn.XLOOKUP(Tabla1[[#This Row],[Ean Normalizado]],Consumos!A:A,Consumos!E:E)</f>
        <v>#VALUE!</v>
      </c>
      <c r="R3855" s="38" t="e">
        <f>_xlfn.XLOOKUP(Tabla1[[#This Row],[Ean Normalizado]],tabla_consumos[EAN],tabla_consumos[UM])</f>
        <v>#VALUE!</v>
      </c>
      <c r="S3855" s="38" t="e">
        <f>Tabla1[[#This Row],[StockDisp]]*Tabla1[[#This Row],[UM producto]]</f>
        <v>#VALUE!</v>
      </c>
    </row>
    <row r="3856" spans="1:19" x14ac:dyDescent="0.35">
      <c r="A3856" s="5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6"/>
      <c r="P3856" s="23" t="e">
        <f>TRIM(Tabla1[[#This Row],[Articulo]])</f>
        <v>#VALUE!</v>
      </c>
      <c r="Q3856" s="23" t="e">
        <f>_xlfn.XLOOKUP(Tabla1[[#This Row],[Ean Normalizado]],Consumos!A:A,Consumos!E:E)</f>
        <v>#VALUE!</v>
      </c>
      <c r="R3856" s="38" t="e">
        <f>_xlfn.XLOOKUP(Tabla1[[#This Row],[Ean Normalizado]],tabla_consumos[EAN],tabla_consumos[UM])</f>
        <v>#VALUE!</v>
      </c>
      <c r="S3856" s="38" t="e">
        <f>Tabla1[[#This Row],[StockDisp]]*Tabla1[[#This Row],[UM producto]]</f>
        <v>#VALUE!</v>
      </c>
    </row>
    <row r="3857" spans="1:19" x14ac:dyDescent="0.35">
      <c r="A3857" s="5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6"/>
      <c r="P3857" s="23" t="e">
        <f>TRIM(Tabla1[[#This Row],[Articulo]])</f>
        <v>#VALUE!</v>
      </c>
      <c r="Q3857" s="23" t="e">
        <f>_xlfn.XLOOKUP(Tabla1[[#This Row],[Ean Normalizado]],Consumos!A:A,Consumos!E:E)</f>
        <v>#VALUE!</v>
      </c>
      <c r="R3857" s="38" t="e">
        <f>_xlfn.XLOOKUP(Tabla1[[#This Row],[Ean Normalizado]],tabla_consumos[EAN],tabla_consumos[UM])</f>
        <v>#VALUE!</v>
      </c>
      <c r="S3857" s="38" t="e">
        <f>Tabla1[[#This Row],[StockDisp]]*Tabla1[[#This Row],[UM producto]]</f>
        <v>#VALUE!</v>
      </c>
    </row>
    <row r="3858" spans="1:19" x14ac:dyDescent="0.35">
      <c r="A3858" s="5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6"/>
      <c r="P3858" s="23" t="e">
        <f>TRIM(Tabla1[[#This Row],[Articulo]])</f>
        <v>#VALUE!</v>
      </c>
      <c r="Q3858" s="23" t="e">
        <f>_xlfn.XLOOKUP(Tabla1[[#This Row],[Ean Normalizado]],Consumos!A:A,Consumos!E:E)</f>
        <v>#VALUE!</v>
      </c>
      <c r="R3858" s="38" t="e">
        <f>_xlfn.XLOOKUP(Tabla1[[#This Row],[Ean Normalizado]],tabla_consumos[EAN],tabla_consumos[UM])</f>
        <v>#VALUE!</v>
      </c>
      <c r="S3858" s="38" t="e">
        <f>Tabla1[[#This Row],[StockDisp]]*Tabla1[[#This Row],[UM producto]]</f>
        <v>#VALUE!</v>
      </c>
    </row>
    <row r="3859" spans="1:19" x14ac:dyDescent="0.35">
      <c r="A3859" s="5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6"/>
      <c r="P3859" s="23" t="e">
        <f>TRIM(Tabla1[[#This Row],[Articulo]])</f>
        <v>#VALUE!</v>
      </c>
      <c r="Q3859" s="23" t="e">
        <f>_xlfn.XLOOKUP(Tabla1[[#This Row],[Ean Normalizado]],Consumos!A:A,Consumos!E:E)</f>
        <v>#VALUE!</v>
      </c>
      <c r="R3859" s="38" t="e">
        <f>_xlfn.XLOOKUP(Tabla1[[#This Row],[Ean Normalizado]],tabla_consumos[EAN],tabla_consumos[UM])</f>
        <v>#VALUE!</v>
      </c>
      <c r="S3859" s="38" t="e">
        <f>Tabla1[[#This Row],[StockDisp]]*Tabla1[[#This Row],[UM producto]]</f>
        <v>#VALUE!</v>
      </c>
    </row>
    <row r="3860" spans="1:19" x14ac:dyDescent="0.35">
      <c r="A3860" s="5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6"/>
      <c r="P3860" s="23" t="e">
        <f>TRIM(Tabla1[[#This Row],[Articulo]])</f>
        <v>#VALUE!</v>
      </c>
      <c r="Q3860" s="23" t="e">
        <f>_xlfn.XLOOKUP(Tabla1[[#This Row],[Ean Normalizado]],Consumos!A:A,Consumos!E:E)</f>
        <v>#VALUE!</v>
      </c>
      <c r="R3860" s="38" t="e">
        <f>_xlfn.XLOOKUP(Tabla1[[#This Row],[Ean Normalizado]],tabla_consumos[EAN],tabla_consumos[UM])</f>
        <v>#VALUE!</v>
      </c>
      <c r="S3860" s="38" t="e">
        <f>Tabla1[[#This Row],[StockDisp]]*Tabla1[[#This Row],[UM producto]]</f>
        <v>#VALUE!</v>
      </c>
    </row>
    <row r="3861" spans="1:19" x14ac:dyDescent="0.35">
      <c r="A3861" s="5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6"/>
      <c r="P3861" s="23" t="e">
        <f>TRIM(Tabla1[[#This Row],[Articulo]])</f>
        <v>#VALUE!</v>
      </c>
      <c r="Q3861" s="23" t="e">
        <f>_xlfn.XLOOKUP(Tabla1[[#This Row],[Ean Normalizado]],Consumos!A:A,Consumos!E:E)</f>
        <v>#VALUE!</v>
      </c>
      <c r="R3861" s="38" t="e">
        <f>_xlfn.XLOOKUP(Tabla1[[#This Row],[Ean Normalizado]],tabla_consumos[EAN],tabla_consumos[UM])</f>
        <v>#VALUE!</v>
      </c>
      <c r="S3861" s="38" t="e">
        <f>Tabla1[[#This Row],[StockDisp]]*Tabla1[[#This Row],[UM producto]]</f>
        <v>#VALUE!</v>
      </c>
    </row>
    <row r="3862" spans="1:19" x14ac:dyDescent="0.35">
      <c r="A3862" s="5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6"/>
      <c r="P3862" s="23" t="e">
        <f>TRIM(Tabla1[[#This Row],[Articulo]])</f>
        <v>#VALUE!</v>
      </c>
      <c r="Q3862" s="23" t="e">
        <f>_xlfn.XLOOKUP(Tabla1[[#This Row],[Ean Normalizado]],Consumos!A:A,Consumos!E:E)</f>
        <v>#VALUE!</v>
      </c>
      <c r="R3862" s="38" t="e">
        <f>_xlfn.XLOOKUP(Tabla1[[#This Row],[Ean Normalizado]],tabla_consumos[EAN],tabla_consumos[UM])</f>
        <v>#VALUE!</v>
      </c>
      <c r="S3862" s="38" t="e">
        <f>Tabla1[[#This Row],[StockDisp]]*Tabla1[[#This Row],[UM producto]]</f>
        <v>#VALUE!</v>
      </c>
    </row>
    <row r="3863" spans="1:19" x14ac:dyDescent="0.35">
      <c r="A3863" s="5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6"/>
      <c r="P3863" s="23" t="e">
        <f>TRIM(Tabla1[[#This Row],[Articulo]])</f>
        <v>#VALUE!</v>
      </c>
      <c r="Q3863" s="23" t="e">
        <f>_xlfn.XLOOKUP(Tabla1[[#This Row],[Ean Normalizado]],Consumos!A:A,Consumos!E:E)</f>
        <v>#VALUE!</v>
      </c>
      <c r="R3863" s="38" t="e">
        <f>_xlfn.XLOOKUP(Tabla1[[#This Row],[Ean Normalizado]],tabla_consumos[EAN],tabla_consumos[UM])</f>
        <v>#VALUE!</v>
      </c>
      <c r="S3863" s="38" t="e">
        <f>Tabla1[[#This Row],[StockDisp]]*Tabla1[[#This Row],[UM producto]]</f>
        <v>#VALUE!</v>
      </c>
    </row>
    <row r="3864" spans="1:19" x14ac:dyDescent="0.35">
      <c r="A3864" s="5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6"/>
      <c r="P3864" s="23" t="e">
        <f>TRIM(Tabla1[[#This Row],[Articulo]])</f>
        <v>#VALUE!</v>
      </c>
      <c r="Q3864" s="23" t="e">
        <f>_xlfn.XLOOKUP(Tabla1[[#This Row],[Ean Normalizado]],Consumos!A:A,Consumos!E:E)</f>
        <v>#VALUE!</v>
      </c>
      <c r="R3864" s="38" t="e">
        <f>_xlfn.XLOOKUP(Tabla1[[#This Row],[Ean Normalizado]],tabla_consumos[EAN],tabla_consumos[UM])</f>
        <v>#VALUE!</v>
      </c>
      <c r="S3864" s="38" t="e">
        <f>Tabla1[[#This Row],[StockDisp]]*Tabla1[[#This Row],[UM producto]]</f>
        <v>#VALUE!</v>
      </c>
    </row>
    <row r="3865" spans="1:19" x14ac:dyDescent="0.35">
      <c r="A3865" s="5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6"/>
      <c r="P3865" s="23" t="e">
        <f>TRIM(Tabla1[[#This Row],[Articulo]])</f>
        <v>#VALUE!</v>
      </c>
      <c r="Q3865" s="23" t="e">
        <f>_xlfn.XLOOKUP(Tabla1[[#This Row],[Ean Normalizado]],Consumos!A:A,Consumos!E:E)</f>
        <v>#VALUE!</v>
      </c>
      <c r="R3865" s="38" t="e">
        <f>_xlfn.XLOOKUP(Tabla1[[#This Row],[Ean Normalizado]],tabla_consumos[EAN],tabla_consumos[UM])</f>
        <v>#VALUE!</v>
      </c>
      <c r="S3865" s="38" t="e">
        <f>Tabla1[[#This Row],[StockDisp]]*Tabla1[[#This Row],[UM producto]]</f>
        <v>#VALUE!</v>
      </c>
    </row>
    <row r="3866" spans="1:19" x14ac:dyDescent="0.35">
      <c r="A3866" s="5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6"/>
      <c r="P3866" s="23" t="e">
        <f>TRIM(Tabla1[[#This Row],[Articulo]])</f>
        <v>#VALUE!</v>
      </c>
      <c r="Q3866" s="23" t="e">
        <f>_xlfn.XLOOKUP(Tabla1[[#This Row],[Ean Normalizado]],Consumos!A:A,Consumos!E:E)</f>
        <v>#VALUE!</v>
      </c>
      <c r="R3866" s="38" t="e">
        <f>_xlfn.XLOOKUP(Tabla1[[#This Row],[Ean Normalizado]],tabla_consumos[EAN],tabla_consumos[UM])</f>
        <v>#VALUE!</v>
      </c>
      <c r="S3866" s="38" t="e">
        <f>Tabla1[[#This Row],[StockDisp]]*Tabla1[[#This Row],[UM producto]]</f>
        <v>#VALUE!</v>
      </c>
    </row>
    <row r="3867" spans="1:19" x14ac:dyDescent="0.35">
      <c r="A3867" s="5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6"/>
      <c r="P3867" s="23" t="e">
        <f>TRIM(Tabla1[[#This Row],[Articulo]])</f>
        <v>#VALUE!</v>
      </c>
      <c r="Q3867" s="23" t="e">
        <f>_xlfn.XLOOKUP(Tabla1[[#This Row],[Ean Normalizado]],Consumos!A:A,Consumos!E:E)</f>
        <v>#VALUE!</v>
      </c>
      <c r="R3867" s="38" t="e">
        <f>_xlfn.XLOOKUP(Tabla1[[#This Row],[Ean Normalizado]],tabla_consumos[EAN],tabla_consumos[UM])</f>
        <v>#VALUE!</v>
      </c>
      <c r="S3867" s="38" t="e">
        <f>Tabla1[[#This Row],[StockDisp]]*Tabla1[[#This Row],[UM producto]]</f>
        <v>#VALUE!</v>
      </c>
    </row>
    <row r="3868" spans="1:19" x14ac:dyDescent="0.35">
      <c r="A3868" s="5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6"/>
      <c r="P3868" s="23" t="e">
        <f>TRIM(Tabla1[[#This Row],[Articulo]])</f>
        <v>#VALUE!</v>
      </c>
      <c r="Q3868" s="23" t="e">
        <f>_xlfn.XLOOKUP(Tabla1[[#This Row],[Ean Normalizado]],Consumos!A:A,Consumos!E:E)</f>
        <v>#VALUE!</v>
      </c>
      <c r="R3868" s="38" t="e">
        <f>_xlfn.XLOOKUP(Tabla1[[#This Row],[Ean Normalizado]],tabla_consumos[EAN],tabla_consumos[UM])</f>
        <v>#VALUE!</v>
      </c>
      <c r="S3868" s="38" t="e">
        <f>Tabla1[[#This Row],[StockDisp]]*Tabla1[[#This Row],[UM producto]]</f>
        <v>#VALUE!</v>
      </c>
    </row>
    <row r="3869" spans="1:19" x14ac:dyDescent="0.35">
      <c r="A3869" s="5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6"/>
      <c r="P3869" s="23" t="e">
        <f>TRIM(Tabla1[[#This Row],[Articulo]])</f>
        <v>#VALUE!</v>
      </c>
      <c r="Q3869" s="23" t="e">
        <f>_xlfn.XLOOKUP(Tabla1[[#This Row],[Ean Normalizado]],Consumos!A:A,Consumos!E:E)</f>
        <v>#VALUE!</v>
      </c>
      <c r="R3869" s="38" t="e">
        <f>_xlfn.XLOOKUP(Tabla1[[#This Row],[Ean Normalizado]],tabla_consumos[EAN],tabla_consumos[UM])</f>
        <v>#VALUE!</v>
      </c>
      <c r="S3869" s="38" t="e">
        <f>Tabla1[[#This Row],[StockDisp]]*Tabla1[[#This Row],[UM producto]]</f>
        <v>#VALUE!</v>
      </c>
    </row>
    <row r="3870" spans="1:19" x14ac:dyDescent="0.35">
      <c r="A3870" s="5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6"/>
      <c r="P3870" s="23" t="e">
        <f>TRIM(Tabla1[[#This Row],[Articulo]])</f>
        <v>#VALUE!</v>
      </c>
      <c r="Q3870" s="23" t="e">
        <f>_xlfn.XLOOKUP(Tabla1[[#This Row],[Ean Normalizado]],Consumos!A:A,Consumos!E:E)</f>
        <v>#VALUE!</v>
      </c>
      <c r="R3870" s="38" t="e">
        <f>_xlfn.XLOOKUP(Tabla1[[#This Row],[Ean Normalizado]],tabla_consumos[EAN],tabla_consumos[UM])</f>
        <v>#VALUE!</v>
      </c>
      <c r="S3870" s="38" t="e">
        <f>Tabla1[[#This Row],[StockDisp]]*Tabla1[[#This Row],[UM producto]]</f>
        <v>#VALUE!</v>
      </c>
    </row>
    <row r="3871" spans="1:19" x14ac:dyDescent="0.35">
      <c r="A3871" s="5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6"/>
      <c r="P3871" s="23" t="e">
        <f>TRIM(Tabla1[[#This Row],[Articulo]])</f>
        <v>#VALUE!</v>
      </c>
      <c r="Q3871" s="23" t="e">
        <f>_xlfn.XLOOKUP(Tabla1[[#This Row],[Ean Normalizado]],Consumos!A:A,Consumos!E:E)</f>
        <v>#VALUE!</v>
      </c>
      <c r="R3871" s="38" t="e">
        <f>_xlfn.XLOOKUP(Tabla1[[#This Row],[Ean Normalizado]],tabla_consumos[EAN],tabla_consumos[UM])</f>
        <v>#VALUE!</v>
      </c>
      <c r="S3871" s="38" t="e">
        <f>Tabla1[[#This Row],[StockDisp]]*Tabla1[[#This Row],[UM producto]]</f>
        <v>#VALUE!</v>
      </c>
    </row>
    <row r="3872" spans="1:19" x14ac:dyDescent="0.35">
      <c r="A3872" s="5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6"/>
      <c r="P3872" s="23" t="e">
        <f>TRIM(Tabla1[[#This Row],[Articulo]])</f>
        <v>#VALUE!</v>
      </c>
      <c r="Q3872" s="23" t="e">
        <f>_xlfn.XLOOKUP(Tabla1[[#This Row],[Ean Normalizado]],Consumos!A:A,Consumos!E:E)</f>
        <v>#VALUE!</v>
      </c>
      <c r="R3872" s="38" t="e">
        <f>_xlfn.XLOOKUP(Tabla1[[#This Row],[Ean Normalizado]],tabla_consumos[EAN],tabla_consumos[UM])</f>
        <v>#VALUE!</v>
      </c>
      <c r="S3872" s="38" t="e">
        <f>Tabla1[[#This Row],[StockDisp]]*Tabla1[[#This Row],[UM producto]]</f>
        <v>#VALUE!</v>
      </c>
    </row>
    <row r="3873" spans="1:19" x14ac:dyDescent="0.35">
      <c r="A3873" s="5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6"/>
      <c r="P3873" s="23" t="e">
        <f>TRIM(Tabla1[[#This Row],[Articulo]])</f>
        <v>#VALUE!</v>
      </c>
      <c r="Q3873" s="23" t="e">
        <f>_xlfn.XLOOKUP(Tabla1[[#This Row],[Ean Normalizado]],Consumos!A:A,Consumos!E:E)</f>
        <v>#VALUE!</v>
      </c>
      <c r="R3873" s="38" t="e">
        <f>_xlfn.XLOOKUP(Tabla1[[#This Row],[Ean Normalizado]],tabla_consumos[EAN],tabla_consumos[UM])</f>
        <v>#VALUE!</v>
      </c>
      <c r="S3873" s="38" t="e">
        <f>Tabla1[[#This Row],[StockDisp]]*Tabla1[[#This Row],[UM producto]]</f>
        <v>#VALUE!</v>
      </c>
    </row>
    <row r="3874" spans="1:19" x14ac:dyDescent="0.35">
      <c r="A3874" s="5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6"/>
      <c r="P3874" s="23" t="e">
        <f>TRIM(Tabla1[[#This Row],[Articulo]])</f>
        <v>#VALUE!</v>
      </c>
      <c r="Q3874" s="23" t="e">
        <f>_xlfn.XLOOKUP(Tabla1[[#This Row],[Ean Normalizado]],Consumos!A:A,Consumos!E:E)</f>
        <v>#VALUE!</v>
      </c>
      <c r="R3874" s="38" t="e">
        <f>_xlfn.XLOOKUP(Tabla1[[#This Row],[Ean Normalizado]],tabla_consumos[EAN],tabla_consumos[UM])</f>
        <v>#VALUE!</v>
      </c>
      <c r="S3874" s="38" t="e">
        <f>Tabla1[[#This Row],[StockDisp]]*Tabla1[[#This Row],[UM producto]]</f>
        <v>#VALUE!</v>
      </c>
    </row>
    <row r="3875" spans="1:19" x14ac:dyDescent="0.35">
      <c r="A3875" s="5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6"/>
      <c r="P3875" s="23" t="e">
        <f>TRIM(Tabla1[[#This Row],[Articulo]])</f>
        <v>#VALUE!</v>
      </c>
      <c r="Q3875" s="23" t="e">
        <f>_xlfn.XLOOKUP(Tabla1[[#This Row],[Ean Normalizado]],Consumos!A:A,Consumos!E:E)</f>
        <v>#VALUE!</v>
      </c>
      <c r="R3875" s="38" t="e">
        <f>_xlfn.XLOOKUP(Tabla1[[#This Row],[Ean Normalizado]],tabla_consumos[EAN],tabla_consumos[UM])</f>
        <v>#VALUE!</v>
      </c>
      <c r="S3875" s="38" t="e">
        <f>Tabla1[[#This Row],[StockDisp]]*Tabla1[[#This Row],[UM producto]]</f>
        <v>#VALUE!</v>
      </c>
    </row>
    <row r="3876" spans="1:19" x14ac:dyDescent="0.35">
      <c r="A3876" s="5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6"/>
      <c r="P3876" s="23" t="e">
        <f>TRIM(Tabla1[[#This Row],[Articulo]])</f>
        <v>#VALUE!</v>
      </c>
      <c r="Q3876" s="23" t="e">
        <f>_xlfn.XLOOKUP(Tabla1[[#This Row],[Ean Normalizado]],Consumos!A:A,Consumos!E:E)</f>
        <v>#VALUE!</v>
      </c>
      <c r="R3876" s="38" t="e">
        <f>_xlfn.XLOOKUP(Tabla1[[#This Row],[Ean Normalizado]],tabla_consumos[EAN],tabla_consumos[UM])</f>
        <v>#VALUE!</v>
      </c>
      <c r="S3876" s="38" t="e">
        <f>Tabla1[[#This Row],[StockDisp]]*Tabla1[[#This Row],[UM producto]]</f>
        <v>#VALUE!</v>
      </c>
    </row>
    <row r="3877" spans="1:19" x14ac:dyDescent="0.35">
      <c r="A3877" s="5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6"/>
      <c r="P3877" s="23" t="e">
        <f>TRIM(Tabla1[[#This Row],[Articulo]])</f>
        <v>#VALUE!</v>
      </c>
      <c r="Q3877" s="23" t="e">
        <f>_xlfn.XLOOKUP(Tabla1[[#This Row],[Ean Normalizado]],Consumos!A:A,Consumos!E:E)</f>
        <v>#VALUE!</v>
      </c>
      <c r="R3877" s="38" t="e">
        <f>_xlfn.XLOOKUP(Tabla1[[#This Row],[Ean Normalizado]],tabla_consumos[EAN],tabla_consumos[UM])</f>
        <v>#VALUE!</v>
      </c>
      <c r="S3877" s="38" t="e">
        <f>Tabla1[[#This Row],[StockDisp]]*Tabla1[[#This Row],[UM producto]]</f>
        <v>#VALUE!</v>
      </c>
    </row>
    <row r="3878" spans="1:19" x14ac:dyDescent="0.35">
      <c r="A3878" s="5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6"/>
      <c r="P3878" s="23" t="e">
        <f>TRIM(Tabla1[[#This Row],[Articulo]])</f>
        <v>#VALUE!</v>
      </c>
      <c r="Q3878" s="23" t="e">
        <f>_xlfn.XLOOKUP(Tabla1[[#This Row],[Ean Normalizado]],Consumos!A:A,Consumos!E:E)</f>
        <v>#VALUE!</v>
      </c>
      <c r="R3878" s="38" t="e">
        <f>_xlfn.XLOOKUP(Tabla1[[#This Row],[Ean Normalizado]],tabla_consumos[EAN],tabla_consumos[UM])</f>
        <v>#VALUE!</v>
      </c>
      <c r="S3878" s="38" t="e">
        <f>Tabla1[[#This Row],[StockDisp]]*Tabla1[[#This Row],[UM producto]]</f>
        <v>#VALUE!</v>
      </c>
    </row>
    <row r="3879" spans="1:19" x14ac:dyDescent="0.35">
      <c r="A3879" s="5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6"/>
      <c r="P3879" s="23" t="e">
        <f>TRIM(Tabla1[[#This Row],[Articulo]])</f>
        <v>#VALUE!</v>
      </c>
      <c r="Q3879" s="23" t="e">
        <f>_xlfn.XLOOKUP(Tabla1[[#This Row],[Ean Normalizado]],Consumos!A:A,Consumos!E:E)</f>
        <v>#VALUE!</v>
      </c>
      <c r="R3879" s="38" t="e">
        <f>_xlfn.XLOOKUP(Tabla1[[#This Row],[Ean Normalizado]],tabla_consumos[EAN],tabla_consumos[UM])</f>
        <v>#VALUE!</v>
      </c>
      <c r="S3879" s="38" t="e">
        <f>Tabla1[[#This Row],[StockDisp]]*Tabla1[[#This Row],[UM producto]]</f>
        <v>#VALUE!</v>
      </c>
    </row>
    <row r="3880" spans="1:19" x14ac:dyDescent="0.35">
      <c r="A3880" s="5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6"/>
      <c r="P3880" s="23" t="e">
        <f>TRIM(Tabla1[[#This Row],[Articulo]])</f>
        <v>#VALUE!</v>
      </c>
      <c r="Q3880" s="23" t="e">
        <f>_xlfn.XLOOKUP(Tabla1[[#This Row],[Ean Normalizado]],Consumos!A:A,Consumos!E:E)</f>
        <v>#VALUE!</v>
      </c>
      <c r="R3880" s="38" t="e">
        <f>_xlfn.XLOOKUP(Tabla1[[#This Row],[Ean Normalizado]],tabla_consumos[EAN],tabla_consumos[UM])</f>
        <v>#VALUE!</v>
      </c>
      <c r="S3880" s="38" t="e">
        <f>Tabla1[[#This Row],[StockDisp]]*Tabla1[[#This Row],[UM producto]]</f>
        <v>#VALUE!</v>
      </c>
    </row>
    <row r="3881" spans="1:19" x14ac:dyDescent="0.35">
      <c r="A3881" s="5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6"/>
      <c r="P3881" s="23" t="e">
        <f>TRIM(Tabla1[[#This Row],[Articulo]])</f>
        <v>#VALUE!</v>
      </c>
      <c r="Q3881" s="23" t="e">
        <f>_xlfn.XLOOKUP(Tabla1[[#This Row],[Ean Normalizado]],Consumos!A:A,Consumos!E:E)</f>
        <v>#VALUE!</v>
      </c>
      <c r="R3881" s="38" t="e">
        <f>_xlfn.XLOOKUP(Tabla1[[#This Row],[Ean Normalizado]],tabla_consumos[EAN],tabla_consumos[UM])</f>
        <v>#VALUE!</v>
      </c>
      <c r="S3881" s="38" t="e">
        <f>Tabla1[[#This Row],[StockDisp]]*Tabla1[[#This Row],[UM producto]]</f>
        <v>#VALUE!</v>
      </c>
    </row>
    <row r="3882" spans="1:19" x14ac:dyDescent="0.35">
      <c r="A3882" s="5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6"/>
      <c r="P3882" s="23" t="e">
        <f>TRIM(Tabla1[[#This Row],[Articulo]])</f>
        <v>#VALUE!</v>
      </c>
      <c r="Q3882" s="23" t="e">
        <f>_xlfn.XLOOKUP(Tabla1[[#This Row],[Ean Normalizado]],Consumos!A:A,Consumos!E:E)</f>
        <v>#VALUE!</v>
      </c>
      <c r="R3882" s="38" t="e">
        <f>_xlfn.XLOOKUP(Tabla1[[#This Row],[Ean Normalizado]],tabla_consumos[EAN],tabla_consumos[UM])</f>
        <v>#VALUE!</v>
      </c>
      <c r="S3882" s="38" t="e">
        <f>Tabla1[[#This Row],[StockDisp]]*Tabla1[[#This Row],[UM producto]]</f>
        <v>#VALUE!</v>
      </c>
    </row>
    <row r="3883" spans="1:19" x14ac:dyDescent="0.35">
      <c r="A3883" s="5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6"/>
      <c r="P3883" s="23" t="e">
        <f>TRIM(Tabla1[[#This Row],[Articulo]])</f>
        <v>#VALUE!</v>
      </c>
      <c r="Q3883" s="23" t="e">
        <f>_xlfn.XLOOKUP(Tabla1[[#This Row],[Ean Normalizado]],Consumos!A:A,Consumos!E:E)</f>
        <v>#VALUE!</v>
      </c>
      <c r="R3883" s="38" t="e">
        <f>_xlfn.XLOOKUP(Tabla1[[#This Row],[Ean Normalizado]],tabla_consumos[EAN],tabla_consumos[UM])</f>
        <v>#VALUE!</v>
      </c>
      <c r="S3883" s="38" t="e">
        <f>Tabla1[[#This Row],[StockDisp]]*Tabla1[[#This Row],[UM producto]]</f>
        <v>#VALUE!</v>
      </c>
    </row>
    <row r="3884" spans="1:19" x14ac:dyDescent="0.35">
      <c r="A3884" s="5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6"/>
      <c r="P3884" s="23" t="e">
        <f>TRIM(Tabla1[[#This Row],[Articulo]])</f>
        <v>#VALUE!</v>
      </c>
      <c r="Q3884" s="23" t="e">
        <f>_xlfn.XLOOKUP(Tabla1[[#This Row],[Ean Normalizado]],Consumos!A:A,Consumos!E:E)</f>
        <v>#VALUE!</v>
      </c>
      <c r="R3884" s="38" t="e">
        <f>_xlfn.XLOOKUP(Tabla1[[#This Row],[Ean Normalizado]],tabla_consumos[EAN],tabla_consumos[UM])</f>
        <v>#VALUE!</v>
      </c>
      <c r="S3884" s="38" t="e">
        <f>Tabla1[[#This Row],[StockDisp]]*Tabla1[[#This Row],[UM producto]]</f>
        <v>#VALUE!</v>
      </c>
    </row>
    <row r="3885" spans="1:19" x14ac:dyDescent="0.35">
      <c r="A3885" s="5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6"/>
      <c r="P3885" s="23" t="e">
        <f>TRIM(Tabla1[[#This Row],[Articulo]])</f>
        <v>#VALUE!</v>
      </c>
      <c r="Q3885" s="23" t="e">
        <f>_xlfn.XLOOKUP(Tabla1[[#This Row],[Ean Normalizado]],Consumos!A:A,Consumos!E:E)</f>
        <v>#VALUE!</v>
      </c>
      <c r="R3885" s="38" t="e">
        <f>_xlfn.XLOOKUP(Tabla1[[#This Row],[Ean Normalizado]],tabla_consumos[EAN],tabla_consumos[UM])</f>
        <v>#VALUE!</v>
      </c>
      <c r="S3885" s="38" t="e">
        <f>Tabla1[[#This Row],[StockDisp]]*Tabla1[[#This Row],[UM producto]]</f>
        <v>#VALUE!</v>
      </c>
    </row>
    <row r="3886" spans="1:19" x14ac:dyDescent="0.35">
      <c r="A3886" s="5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6"/>
      <c r="P3886" s="23" t="e">
        <f>TRIM(Tabla1[[#This Row],[Articulo]])</f>
        <v>#VALUE!</v>
      </c>
      <c r="Q3886" s="23" t="e">
        <f>_xlfn.XLOOKUP(Tabla1[[#This Row],[Ean Normalizado]],Consumos!A:A,Consumos!E:E)</f>
        <v>#VALUE!</v>
      </c>
      <c r="R3886" s="38" t="e">
        <f>_xlfn.XLOOKUP(Tabla1[[#This Row],[Ean Normalizado]],tabla_consumos[EAN],tabla_consumos[UM])</f>
        <v>#VALUE!</v>
      </c>
      <c r="S3886" s="38" t="e">
        <f>Tabla1[[#This Row],[StockDisp]]*Tabla1[[#This Row],[UM producto]]</f>
        <v>#VALUE!</v>
      </c>
    </row>
    <row r="3887" spans="1:19" x14ac:dyDescent="0.35">
      <c r="A3887" s="5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6"/>
      <c r="P3887" s="23" t="e">
        <f>TRIM(Tabla1[[#This Row],[Articulo]])</f>
        <v>#VALUE!</v>
      </c>
      <c r="Q3887" s="23" t="e">
        <f>_xlfn.XLOOKUP(Tabla1[[#This Row],[Ean Normalizado]],Consumos!A:A,Consumos!E:E)</f>
        <v>#VALUE!</v>
      </c>
      <c r="R3887" s="38" t="e">
        <f>_xlfn.XLOOKUP(Tabla1[[#This Row],[Ean Normalizado]],tabla_consumos[EAN],tabla_consumos[UM])</f>
        <v>#VALUE!</v>
      </c>
      <c r="S3887" s="38" t="e">
        <f>Tabla1[[#This Row],[StockDisp]]*Tabla1[[#This Row],[UM producto]]</f>
        <v>#VALUE!</v>
      </c>
    </row>
    <row r="3888" spans="1:19" x14ac:dyDescent="0.35">
      <c r="A3888" s="5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6"/>
      <c r="P3888" s="23" t="e">
        <f>TRIM(Tabla1[[#This Row],[Articulo]])</f>
        <v>#VALUE!</v>
      </c>
      <c r="Q3888" s="23" t="e">
        <f>_xlfn.XLOOKUP(Tabla1[[#This Row],[Ean Normalizado]],Consumos!A:A,Consumos!E:E)</f>
        <v>#VALUE!</v>
      </c>
      <c r="R3888" s="38" t="e">
        <f>_xlfn.XLOOKUP(Tabla1[[#This Row],[Ean Normalizado]],tabla_consumos[EAN],tabla_consumos[UM])</f>
        <v>#VALUE!</v>
      </c>
      <c r="S3888" s="38" t="e">
        <f>Tabla1[[#This Row],[StockDisp]]*Tabla1[[#This Row],[UM producto]]</f>
        <v>#VALUE!</v>
      </c>
    </row>
    <row r="3889" spans="1:19" x14ac:dyDescent="0.35">
      <c r="A3889" s="5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6"/>
      <c r="P3889" s="23" t="e">
        <f>TRIM(Tabla1[[#This Row],[Articulo]])</f>
        <v>#VALUE!</v>
      </c>
      <c r="Q3889" s="23" t="e">
        <f>_xlfn.XLOOKUP(Tabla1[[#This Row],[Ean Normalizado]],Consumos!A:A,Consumos!E:E)</f>
        <v>#VALUE!</v>
      </c>
      <c r="R3889" s="38" t="e">
        <f>_xlfn.XLOOKUP(Tabla1[[#This Row],[Ean Normalizado]],tabla_consumos[EAN],tabla_consumos[UM])</f>
        <v>#VALUE!</v>
      </c>
      <c r="S3889" s="38" t="e">
        <f>Tabla1[[#This Row],[StockDisp]]*Tabla1[[#This Row],[UM producto]]</f>
        <v>#VALUE!</v>
      </c>
    </row>
    <row r="3890" spans="1:19" x14ac:dyDescent="0.35">
      <c r="A3890" s="5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6"/>
      <c r="P3890" s="23" t="e">
        <f>TRIM(Tabla1[[#This Row],[Articulo]])</f>
        <v>#VALUE!</v>
      </c>
      <c r="Q3890" s="23" t="e">
        <f>_xlfn.XLOOKUP(Tabla1[[#This Row],[Ean Normalizado]],Consumos!A:A,Consumos!E:E)</f>
        <v>#VALUE!</v>
      </c>
      <c r="R3890" s="38" t="e">
        <f>_xlfn.XLOOKUP(Tabla1[[#This Row],[Ean Normalizado]],tabla_consumos[EAN],tabla_consumos[UM])</f>
        <v>#VALUE!</v>
      </c>
      <c r="S3890" s="38" t="e">
        <f>Tabla1[[#This Row],[StockDisp]]*Tabla1[[#This Row],[UM producto]]</f>
        <v>#VALUE!</v>
      </c>
    </row>
    <row r="3891" spans="1:19" x14ac:dyDescent="0.35">
      <c r="A3891" s="5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6"/>
      <c r="P3891" s="23" t="e">
        <f>TRIM(Tabla1[[#This Row],[Articulo]])</f>
        <v>#VALUE!</v>
      </c>
      <c r="Q3891" s="23" t="e">
        <f>_xlfn.XLOOKUP(Tabla1[[#This Row],[Ean Normalizado]],Consumos!A:A,Consumos!E:E)</f>
        <v>#VALUE!</v>
      </c>
      <c r="R3891" s="38" t="e">
        <f>_xlfn.XLOOKUP(Tabla1[[#This Row],[Ean Normalizado]],tabla_consumos[EAN],tabla_consumos[UM])</f>
        <v>#VALUE!</v>
      </c>
      <c r="S3891" s="38" t="e">
        <f>Tabla1[[#This Row],[StockDisp]]*Tabla1[[#This Row],[UM producto]]</f>
        <v>#VALUE!</v>
      </c>
    </row>
    <row r="3892" spans="1:19" x14ac:dyDescent="0.35">
      <c r="A3892" s="5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6"/>
      <c r="P3892" s="23" t="e">
        <f>TRIM(Tabla1[[#This Row],[Articulo]])</f>
        <v>#VALUE!</v>
      </c>
      <c r="Q3892" s="23" t="e">
        <f>_xlfn.XLOOKUP(Tabla1[[#This Row],[Ean Normalizado]],Consumos!A:A,Consumos!E:E)</f>
        <v>#VALUE!</v>
      </c>
      <c r="R3892" s="38" t="e">
        <f>_xlfn.XLOOKUP(Tabla1[[#This Row],[Ean Normalizado]],tabla_consumos[EAN],tabla_consumos[UM])</f>
        <v>#VALUE!</v>
      </c>
      <c r="S3892" s="38" t="e">
        <f>Tabla1[[#This Row],[StockDisp]]*Tabla1[[#This Row],[UM producto]]</f>
        <v>#VALUE!</v>
      </c>
    </row>
    <row r="3893" spans="1:19" x14ac:dyDescent="0.35">
      <c r="A3893" s="5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6"/>
      <c r="P3893" s="23" t="e">
        <f>TRIM(Tabla1[[#This Row],[Articulo]])</f>
        <v>#VALUE!</v>
      </c>
      <c r="Q3893" s="23" t="e">
        <f>_xlfn.XLOOKUP(Tabla1[[#This Row],[Ean Normalizado]],Consumos!A:A,Consumos!E:E)</f>
        <v>#VALUE!</v>
      </c>
      <c r="R3893" s="38" t="e">
        <f>_xlfn.XLOOKUP(Tabla1[[#This Row],[Ean Normalizado]],tabla_consumos[EAN],tabla_consumos[UM])</f>
        <v>#VALUE!</v>
      </c>
      <c r="S3893" s="38" t="e">
        <f>Tabla1[[#This Row],[StockDisp]]*Tabla1[[#This Row],[UM producto]]</f>
        <v>#VALUE!</v>
      </c>
    </row>
    <row r="3894" spans="1:19" x14ac:dyDescent="0.35">
      <c r="A3894" s="5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6"/>
      <c r="P3894" s="23" t="e">
        <f>TRIM(Tabla1[[#This Row],[Articulo]])</f>
        <v>#VALUE!</v>
      </c>
      <c r="Q3894" s="23" t="e">
        <f>_xlfn.XLOOKUP(Tabla1[[#This Row],[Ean Normalizado]],Consumos!A:A,Consumos!E:E)</f>
        <v>#VALUE!</v>
      </c>
      <c r="R3894" s="38" t="e">
        <f>_xlfn.XLOOKUP(Tabla1[[#This Row],[Ean Normalizado]],tabla_consumos[EAN],tabla_consumos[UM])</f>
        <v>#VALUE!</v>
      </c>
      <c r="S3894" s="38" t="e">
        <f>Tabla1[[#This Row],[StockDisp]]*Tabla1[[#This Row],[UM producto]]</f>
        <v>#VALUE!</v>
      </c>
    </row>
    <row r="3895" spans="1:19" x14ac:dyDescent="0.35">
      <c r="A3895" s="5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6"/>
      <c r="P3895" s="23" t="e">
        <f>TRIM(Tabla1[[#This Row],[Articulo]])</f>
        <v>#VALUE!</v>
      </c>
      <c r="Q3895" s="23" t="e">
        <f>_xlfn.XLOOKUP(Tabla1[[#This Row],[Ean Normalizado]],Consumos!A:A,Consumos!E:E)</f>
        <v>#VALUE!</v>
      </c>
      <c r="R3895" s="38" t="e">
        <f>_xlfn.XLOOKUP(Tabla1[[#This Row],[Ean Normalizado]],tabla_consumos[EAN],tabla_consumos[UM])</f>
        <v>#VALUE!</v>
      </c>
      <c r="S3895" s="38" t="e">
        <f>Tabla1[[#This Row],[StockDisp]]*Tabla1[[#This Row],[UM producto]]</f>
        <v>#VALUE!</v>
      </c>
    </row>
    <row r="3896" spans="1:19" x14ac:dyDescent="0.35">
      <c r="A3896" s="5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6"/>
      <c r="P3896" s="23" t="e">
        <f>TRIM(Tabla1[[#This Row],[Articulo]])</f>
        <v>#VALUE!</v>
      </c>
      <c r="Q3896" s="23" t="e">
        <f>_xlfn.XLOOKUP(Tabla1[[#This Row],[Ean Normalizado]],Consumos!A:A,Consumos!E:E)</f>
        <v>#VALUE!</v>
      </c>
      <c r="R3896" s="38" t="e">
        <f>_xlfn.XLOOKUP(Tabla1[[#This Row],[Ean Normalizado]],tabla_consumos[EAN],tabla_consumos[UM])</f>
        <v>#VALUE!</v>
      </c>
      <c r="S3896" s="38" t="e">
        <f>Tabla1[[#This Row],[StockDisp]]*Tabla1[[#This Row],[UM producto]]</f>
        <v>#VALUE!</v>
      </c>
    </row>
    <row r="3897" spans="1:19" x14ac:dyDescent="0.35">
      <c r="A3897" s="5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6"/>
      <c r="P3897" s="23" t="e">
        <f>TRIM(Tabla1[[#This Row],[Articulo]])</f>
        <v>#VALUE!</v>
      </c>
      <c r="Q3897" s="23" t="e">
        <f>_xlfn.XLOOKUP(Tabla1[[#This Row],[Ean Normalizado]],Consumos!A:A,Consumos!E:E)</f>
        <v>#VALUE!</v>
      </c>
      <c r="R3897" s="38" t="e">
        <f>_xlfn.XLOOKUP(Tabla1[[#This Row],[Ean Normalizado]],tabla_consumos[EAN],tabla_consumos[UM])</f>
        <v>#VALUE!</v>
      </c>
      <c r="S3897" s="38" t="e">
        <f>Tabla1[[#This Row],[StockDisp]]*Tabla1[[#This Row],[UM producto]]</f>
        <v>#VALUE!</v>
      </c>
    </row>
    <row r="3898" spans="1:19" x14ac:dyDescent="0.35">
      <c r="A3898" s="5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6"/>
      <c r="P3898" s="23" t="e">
        <f>TRIM(Tabla1[[#This Row],[Articulo]])</f>
        <v>#VALUE!</v>
      </c>
      <c r="Q3898" s="23" t="e">
        <f>_xlfn.XLOOKUP(Tabla1[[#This Row],[Ean Normalizado]],Consumos!A:A,Consumos!E:E)</f>
        <v>#VALUE!</v>
      </c>
      <c r="R3898" s="38" t="e">
        <f>_xlfn.XLOOKUP(Tabla1[[#This Row],[Ean Normalizado]],tabla_consumos[EAN],tabla_consumos[UM])</f>
        <v>#VALUE!</v>
      </c>
      <c r="S3898" s="38" t="e">
        <f>Tabla1[[#This Row],[StockDisp]]*Tabla1[[#This Row],[UM producto]]</f>
        <v>#VALUE!</v>
      </c>
    </row>
    <row r="3899" spans="1:19" x14ac:dyDescent="0.35">
      <c r="A3899" s="5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6"/>
      <c r="P3899" s="23" t="e">
        <f>TRIM(Tabla1[[#This Row],[Articulo]])</f>
        <v>#VALUE!</v>
      </c>
      <c r="Q3899" s="23" t="e">
        <f>_xlfn.XLOOKUP(Tabla1[[#This Row],[Ean Normalizado]],Consumos!A:A,Consumos!E:E)</f>
        <v>#VALUE!</v>
      </c>
      <c r="R3899" s="38" t="e">
        <f>_xlfn.XLOOKUP(Tabla1[[#This Row],[Ean Normalizado]],tabla_consumos[EAN],tabla_consumos[UM])</f>
        <v>#VALUE!</v>
      </c>
      <c r="S3899" s="38" t="e">
        <f>Tabla1[[#This Row],[StockDisp]]*Tabla1[[#This Row],[UM producto]]</f>
        <v>#VALUE!</v>
      </c>
    </row>
    <row r="3900" spans="1:19" x14ac:dyDescent="0.35">
      <c r="A3900" s="5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6"/>
      <c r="P3900" s="23" t="e">
        <f>TRIM(Tabla1[[#This Row],[Articulo]])</f>
        <v>#VALUE!</v>
      </c>
      <c r="Q3900" s="23" t="e">
        <f>_xlfn.XLOOKUP(Tabla1[[#This Row],[Ean Normalizado]],Consumos!A:A,Consumos!E:E)</f>
        <v>#VALUE!</v>
      </c>
      <c r="R3900" s="38" t="e">
        <f>_xlfn.XLOOKUP(Tabla1[[#This Row],[Ean Normalizado]],tabla_consumos[EAN],tabla_consumos[UM])</f>
        <v>#VALUE!</v>
      </c>
      <c r="S3900" s="38" t="e">
        <f>Tabla1[[#This Row],[StockDisp]]*Tabla1[[#This Row],[UM producto]]</f>
        <v>#VALUE!</v>
      </c>
    </row>
    <row r="3901" spans="1:19" x14ac:dyDescent="0.35">
      <c r="A3901" s="5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6"/>
      <c r="P3901" s="23" t="e">
        <f>TRIM(Tabla1[[#This Row],[Articulo]])</f>
        <v>#VALUE!</v>
      </c>
      <c r="Q3901" s="23" t="e">
        <f>_xlfn.XLOOKUP(Tabla1[[#This Row],[Ean Normalizado]],Consumos!A:A,Consumos!E:E)</f>
        <v>#VALUE!</v>
      </c>
      <c r="R3901" s="38" t="e">
        <f>_xlfn.XLOOKUP(Tabla1[[#This Row],[Ean Normalizado]],tabla_consumos[EAN],tabla_consumos[UM])</f>
        <v>#VALUE!</v>
      </c>
      <c r="S3901" s="38" t="e">
        <f>Tabla1[[#This Row],[StockDisp]]*Tabla1[[#This Row],[UM producto]]</f>
        <v>#VALUE!</v>
      </c>
    </row>
    <row r="3902" spans="1:19" x14ac:dyDescent="0.35">
      <c r="A3902" s="5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6"/>
      <c r="P3902" s="23" t="e">
        <f>TRIM(Tabla1[[#This Row],[Articulo]])</f>
        <v>#VALUE!</v>
      </c>
      <c r="Q3902" s="23" t="e">
        <f>_xlfn.XLOOKUP(Tabla1[[#This Row],[Ean Normalizado]],Consumos!A:A,Consumos!E:E)</f>
        <v>#VALUE!</v>
      </c>
      <c r="R3902" s="38" t="e">
        <f>_xlfn.XLOOKUP(Tabla1[[#This Row],[Ean Normalizado]],tabla_consumos[EAN],tabla_consumos[UM])</f>
        <v>#VALUE!</v>
      </c>
      <c r="S3902" s="38" t="e">
        <f>Tabla1[[#This Row],[StockDisp]]*Tabla1[[#This Row],[UM producto]]</f>
        <v>#VALUE!</v>
      </c>
    </row>
    <row r="3903" spans="1:19" x14ac:dyDescent="0.35">
      <c r="A3903" s="5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6"/>
      <c r="P3903" s="23" t="e">
        <f>TRIM(Tabla1[[#This Row],[Articulo]])</f>
        <v>#VALUE!</v>
      </c>
      <c r="Q3903" s="23" t="e">
        <f>_xlfn.XLOOKUP(Tabla1[[#This Row],[Ean Normalizado]],Consumos!A:A,Consumos!E:E)</f>
        <v>#VALUE!</v>
      </c>
      <c r="R3903" s="38" t="e">
        <f>_xlfn.XLOOKUP(Tabla1[[#This Row],[Ean Normalizado]],tabla_consumos[EAN],tabla_consumos[UM])</f>
        <v>#VALUE!</v>
      </c>
      <c r="S3903" s="38" t="e">
        <f>Tabla1[[#This Row],[StockDisp]]*Tabla1[[#This Row],[UM producto]]</f>
        <v>#VALUE!</v>
      </c>
    </row>
    <row r="3904" spans="1:19" x14ac:dyDescent="0.35">
      <c r="A3904" s="5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6"/>
      <c r="P3904" s="23" t="e">
        <f>TRIM(Tabla1[[#This Row],[Articulo]])</f>
        <v>#VALUE!</v>
      </c>
      <c r="Q3904" s="23" t="e">
        <f>_xlfn.XLOOKUP(Tabla1[[#This Row],[Ean Normalizado]],Consumos!A:A,Consumos!E:E)</f>
        <v>#VALUE!</v>
      </c>
      <c r="R3904" s="38" t="e">
        <f>_xlfn.XLOOKUP(Tabla1[[#This Row],[Ean Normalizado]],tabla_consumos[EAN],tabla_consumos[UM])</f>
        <v>#VALUE!</v>
      </c>
      <c r="S3904" s="38" t="e">
        <f>Tabla1[[#This Row],[StockDisp]]*Tabla1[[#This Row],[UM producto]]</f>
        <v>#VALUE!</v>
      </c>
    </row>
    <row r="3905" spans="1:19" x14ac:dyDescent="0.35">
      <c r="A3905" s="5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6"/>
      <c r="P3905" s="23" t="e">
        <f>TRIM(Tabla1[[#This Row],[Articulo]])</f>
        <v>#VALUE!</v>
      </c>
      <c r="Q3905" s="23" t="e">
        <f>_xlfn.XLOOKUP(Tabla1[[#This Row],[Ean Normalizado]],Consumos!A:A,Consumos!E:E)</f>
        <v>#VALUE!</v>
      </c>
      <c r="R3905" s="38" t="e">
        <f>_xlfn.XLOOKUP(Tabla1[[#This Row],[Ean Normalizado]],tabla_consumos[EAN],tabla_consumos[UM])</f>
        <v>#VALUE!</v>
      </c>
      <c r="S3905" s="38" t="e">
        <f>Tabla1[[#This Row],[StockDisp]]*Tabla1[[#This Row],[UM producto]]</f>
        <v>#VALUE!</v>
      </c>
    </row>
    <row r="3906" spans="1:19" x14ac:dyDescent="0.35">
      <c r="A3906" s="5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6"/>
      <c r="P3906" s="23" t="e">
        <f>TRIM(Tabla1[[#This Row],[Articulo]])</f>
        <v>#VALUE!</v>
      </c>
      <c r="Q3906" s="23" t="e">
        <f>_xlfn.XLOOKUP(Tabla1[[#This Row],[Ean Normalizado]],Consumos!A:A,Consumos!E:E)</f>
        <v>#VALUE!</v>
      </c>
      <c r="R3906" s="38" t="e">
        <f>_xlfn.XLOOKUP(Tabla1[[#This Row],[Ean Normalizado]],tabla_consumos[EAN],tabla_consumos[UM])</f>
        <v>#VALUE!</v>
      </c>
      <c r="S3906" s="38" t="e">
        <f>Tabla1[[#This Row],[StockDisp]]*Tabla1[[#This Row],[UM producto]]</f>
        <v>#VALUE!</v>
      </c>
    </row>
    <row r="3907" spans="1:19" x14ac:dyDescent="0.35">
      <c r="A3907" s="5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6"/>
      <c r="P3907" s="23" t="e">
        <f>TRIM(Tabla1[[#This Row],[Articulo]])</f>
        <v>#VALUE!</v>
      </c>
      <c r="Q3907" s="23" t="e">
        <f>_xlfn.XLOOKUP(Tabla1[[#This Row],[Ean Normalizado]],Consumos!A:A,Consumos!E:E)</f>
        <v>#VALUE!</v>
      </c>
      <c r="R3907" s="38" t="e">
        <f>_xlfn.XLOOKUP(Tabla1[[#This Row],[Ean Normalizado]],tabla_consumos[EAN],tabla_consumos[UM])</f>
        <v>#VALUE!</v>
      </c>
      <c r="S3907" s="38" t="e">
        <f>Tabla1[[#This Row],[StockDisp]]*Tabla1[[#This Row],[UM producto]]</f>
        <v>#VALUE!</v>
      </c>
    </row>
    <row r="3908" spans="1:19" x14ac:dyDescent="0.35">
      <c r="A3908" s="5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6"/>
      <c r="P3908" s="23" t="e">
        <f>TRIM(Tabla1[[#This Row],[Articulo]])</f>
        <v>#VALUE!</v>
      </c>
      <c r="Q3908" s="23" t="e">
        <f>_xlfn.XLOOKUP(Tabla1[[#This Row],[Ean Normalizado]],Consumos!A:A,Consumos!E:E)</f>
        <v>#VALUE!</v>
      </c>
      <c r="R3908" s="38" t="e">
        <f>_xlfn.XLOOKUP(Tabla1[[#This Row],[Ean Normalizado]],tabla_consumos[EAN],tabla_consumos[UM])</f>
        <v>#VALUE!</v>
      </c>
      <c r="S3908" s="38" t="e">
        <f>Tabla1[[#This Row],[StockDisp]]*Tabla1[[#This Row],[UM producto]]</f>
        <v>#VALUE!</v>
      </c>
    </row>
    <row r="3909" spans="1:19" x14ac:dyDescent="0.35">
      <c r="A3909" s="5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6"/>
      <c r="P3909" s="23" t="e">
        <f>TRIM(Tabla1[[#This Row],[Articulo]])</f>
        <v>#VALUE!</v>
      </c>
      <c r="Q3909" s="23" t="e">
        <f>_xlfn.XLOOKUP(Tabla1[[#This Row],[Ean Normalizado]],Consumos!A:A,Consumos!E:E)</f>
        <v>#VALUE!</v>
      </c>
      <c r="R3909" s="38" t="e">
        <f>_xlfn.XLOOKUP(Tabla1[[#This Row],[Ean Normalizado]],tabla_consumos[EAN],tabla_consumos[UM])</f>
        <v>#VALUE!</v>
      </c>
      <c r="S3909" s="38" t="e">
        <f>Tabla1[[#This Row],[StockDisp]]*Tabla1[[#This Row],[UM producto]]</f>
        <v>#VALUE!</v>
      </c>
    </row>
    <row r="3910" spans="1:19" x14ac:dyDescent="0.35">
      <c r="A3910" s="5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6"/>
      <c r="P3910" s="23" t="e">
        <f>TRIM(Tabla1[[#This Row],[Articulo]])</f>
        <v>#VALUE!</v>
      </c>
      <c r="Q3910" s="23" t="e">
        <f>_xlfn.XLOOKUP(Tabla1[[#This Row],[Ean Normalizado]],Consumos!A:A,Consumos!E:E)</f>
        <v>#VALUE!</v>
      </c>
      <c r="R3910" s="38" t="e">
        <f>_xlfn.XLOOKUP(Tabla1[[#This Row],[Ean Normalizado]],tabla_consumos[EAN],tabla_consumos[UM])</f>
        <v>#VALUE!</v>
      </c>
      <c r="S3910" s="38" t="e">
        <f>Tabla1[[#This Row],[StockDisp]]*Tabla1[[#This Row],[UM producto]]</f>
        <v>#VALUE!</v>
      </c>
    </row>
    <row r="3911" spans="1:19" x14ac:dyDescent="0.35">
      <c r="A3911" s="5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6"/>
      <c r="P3911" s="23" t="e">
        <f>TRIM(Tabla1[[#This Row],[Articulo]])</f>
        <v>#VALUE!</v>
      </c>
      <c r="Q3911" s="23" t="e">
        <f>_xlfn.XLOOKUP(Tabla1[[#This Row],[Ean Normalizado]],Consumos!A:A,Consumos!E:E)</f>
        <v>#VALUE!</v>
      </c>
      <c r="R3911" s="38" t="e">
        <f>_xlfn.XLOOKUP(Tabla1[[#This Row],[Ean Normalizado]],tabla_consumos[EAN],tabla_consumos[UM])</f>
        <v>#VALUE!</v>
      </c>
      <c r="S3911" s="38" t="e">
        <f>Tabla1[[#This Row],[StockDisp]]*Tabla1[[#This Row],[UM producto]]</f>
        <v>#VALUE!</v>
      </c>
    </row>
    <row r="3912" spans="1:19" x14ac:dyDescent="0.35">
      <c r="A3912" s="5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6"/>
      <c r="P3912" s="23" t="e">
        <f>TRIM(Tabla1[[#This Row],[Articulo]])</f>
        <v>#VALUE!</v>
      </c>
      <c r="Q3912" s="23" t="e">
        <f>_xlfn.XLOOKUP(Tabla1[[#This Row],[Ean Normalizado]],Consumos!A:A,Consumos!E:E)</f>
        <v>#VALUE!</v>
      </c>
      <c r="R3912" s="38" t="e">
        <f>_xlfn.XLOOKUP(Tabla1[[#This Row],[Ean Normalizado]],tabla_consumos[EAN],tabla_consumos[UM])</f>
        <v>#VALUE!</v>
      </c>
      <c r="S3912" s="38" t="e">
        <f>Tabla1[[#This Row],[StockDisp]]*Tabla1[[#This Row],[UM producto]]</f>
        <v>#VALUE!</v>
      </c>
    </row>
    <row r="3913" spans="1:19" x14ac:dyDescent="0.35">
      <c r="A3913" s="5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6"/>
      <c r="P3913" s="23" t="e">
        <f>TRIM(Tabla1[[#This Row],[Articulo]])</f>
        <v>#VALUE!</v>
      </c>
      <c r="Q3913" s="23" t="e">
        <f>_xlfn.XLOOKUP(Tabla1[[#This Row],[Ean Normalizado]],Consumos!A:A,Consumos!E:E)</f>
        <v>#VALUE!</v>
      </c>
      <c r="R3913" s="38" t="e">
        <f>_xlfn.XLOOKUP(Tabla1[[#This Row],[Ean Normalizado]],tabla_consumos[EAN],tabla_consumos[UM])</f>
        <v>#VALUE!</v>
      </c>
      <c r="S3913" s="38" t="e">
        <f>Tabla1[[#This Row],[StockDisp]]*Tabla1[[#This Row],[UM producto]]</f>
        <v>#VALUE!</v>
      </c>
    </row>
    <row r="3914" spans="1:19" x14ac:dyDescent="0.35">
      <c r="A3914" s="5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6"/>
      <c r="P3914" s="23" t="e">
        <f>TRIM(Tabla1[[#This Row],[Articulo]])</f>
        <v>#VALUE!</v>
      </c>
      <c r="Q3914" s="23" t="e">
        <f>_xlfn.XLOOKUP(Tabla1[[#This Row],[Ean Normalizado]],Consumos!A:A,Consumos!E:E)</f>
        <v>#VALUE!</v>
      </c>
      <c r="R3914" s="38" t="e">
        <f>_xlfn.XLOOKUP(Tabla1[[#This Row],[Ean Normalizado]],tabla_consumos[EAN],tabla_consumos[UM])</f>
        <v>#VALUE!</v>
      </c>
      <c r="S3914" s="38" t="e">
        <f>Tabla1[[#This Row],[StockDisp]]*Tabla1[[#This Row],[UM producto]]</f>
        <v>#VALUE!</v>
      </c>
    </row>
    <row r="3915" spans="1:19" x14ac:dyDescent="0.35">
      <c r="A3915" s="5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6"/>
      <c r="P3915" s="23" t="e">
        <f>TRIM(Tabla1[[#This Row],[Articulo]])</f>
        <v>#VALUE!</v>
      </c>
      <c r="Q3915" s="23" t="e">
        <f>_xlfn.XLOOKUP(Tabla1[[#This Row],[Ean Normalizado]],Consumos!A:A,Consumos!E:E)</f>
        <v>#VALUE!</v>
      </c>
      <c r="R3915" s="38" t="e">
        <f>_xlfn.XLOOKUP(Tabla1[[#This Row],[Ean Normalizado]],tabla_consumos[EAN],tabla_consumos[UM])</f>
        <v>#VALUE!</v>
      </c>
      <c r="S3915" s="38" t="e">
        <f>Tabla1[[#This Row],[StockDisp]]*Tabla1[[#This Row],[UM producto]]</f>
        <v>#VALUE!</v>
      </c>
    </row>
    <row r="3916" spans="1:19" x14ac:dyDescent="0.35">
      <c r="A3916" s="5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6"/>
      <c r="P3916" s="23" t="e">
        <f>TRIM(Tabla1[[#This Row],[Articulo]])</f>
        <v>#VALUE!</v>
      </c>
      <c r="Q3916" s="23" t="e">
        <f>_xlfn.XLOOKUP(Tabla1[[#This Row],[Ean Normalizado]],Consumos!A:A,Consumos!E:E)</f>
        <v>#VALUE!</v>
      </c>
      <c r="R3916" s="38" t="e">
        <f>_xlfn.XLOOKUP(Tabla1[[#This Row],[Ean Normalizado]],tabla_consumos[EAN],tabla_consumos[UM])</f>
        <v>#VALUE!</v>
      </c>
      <c r="S3916" s="38" t="e">
        <f>Tabla1[[#This Row],[StockDisp]]*Tabla1[[#This Row],[UM producto]]</f>
        <v>#VALUE!</v>
      </c>
    </row>
    <row r="3917" spans="1:19" x14ac:dyDescent="0.35">
      <c r="A3917" s="5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6"/>
      <c r="P3917" s="23" t="e">
        <f>TRIM(Tabla1[[#This Row],[Articulo]])</f>
        <v>#VALUE!</v>
      </c>
      <c r="Q3917" s="23" t="e">
        <f>_xlfn.XLOOKUP(Tabla1[[#This Row],[Ean Normalizado]],Consumos!A:A,Consumos!E:E)</f>
        <v>#VALUE!</v>
      </c>
      <c r="R3917" s="38" t="e">
        <f>_xlfn.XLOOKUP(Tabla1[[#This Row],[Ean Normalizado]],tabla_consumos[EAN],tabla_consumos[UM])</f>
        <v>#VALUE!</v>
      </c>
      <c r="S3917" s="38" t="e">
        <f>Tabla1[[#This Row],[StockDisp]]*Tabla1[[#This Row],[UM producto]]</f>
        <v>#VALUE!</v>
      </c>
    </row>
    <row r="3918" spans="1:19" x14ac:dyDescent="0.35">
      <c r="A3918" s="5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6"/>
      <c r="P3918" s="23" t="e">
        <f>TRIM(Tabla1[[#This Row],[Articulo]])</f>
        <v>#VALUE!</v>
      </c>
      <c r="Q3918" s="23" t="e">
        <f>_xlfn.XLOOKUP(Tabla1[[#This Row],[Ean Normalizado]],Consumos!A:A,Consumos!E:E)</f>
        <v>#VALUE!</v>
      </c>
      <c r="R3918" s="38" t="e">
        <f>_xlfn.XLOOKUP(Tabla1[[#This Row],[Ean Normalizado]],tabla_consumos[EAN],tabla_consumos[UM])</f>
        <v>#VALUE!</v>
      </c>
      <c r="S3918" s="38" t="e">
        <f>Tabla1[[#This Row],[StockDisp]]*Tabla1[[#This Row],[UM producto]]</f>
        <v>#VALUE!</v>
      </c>
    </row>
    <row r="3919" spans="1:19" x14ac:dyDescent="0.35">
      <c r="A3919" s="5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6"/>
      <c r="P3919" s="23" t="e">
        <f>TRIM(Tabla1[[#This Row],[Articulo]])</f>
        <v>#VALUE!</v>
      </c>
      <c r="Q3919" s="23" t="e">
        <f>_xlfn.XLOOKUP(Tabla1[[#This Row],[Ean Normalizado]],Consumos!A:A,Consumos!E:E)</f>
        <v>#VALUE!</v>
      </c>
      <c r="R3919" s="38" t="e">
        <f>_xlfn.XLOOKUP(Tabla1[[#This Row],[Ean Normalizado]],tabla_consumos[EAN],tabla_consumos[UM])</f>
        <v>#VALUE!</v>
      </c>
      <c r="S3919" s="38" t="e">
        <f>Tabla1[[#This Row],[StockDisp]]*Tabla1[[#This Row],[UM producto]]</f>
        <v>#VALUE!</v>
      </c>
    </row>
    <row r="3920" spans="1:19" x14ac:dyDescent="0.35">
      <c r="A3920" s="5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6"/>
      <c r="P3920" s="23" t="e">
        <f>TRIM(Tabla1[[#This Row],[Articulo]])</f>
        <v>#VALUE!</v>
      </c>
      <c r="Q3920" s="23" t="e">
        <f>_xlfn.XLOOKUP(Tabla1[[#This Row],[Ean Normalizado]],Consumos!A:A,Consumos!E:E)</f>
        <v>#VALUE!</v>
      </c>
      <c r="R3920" s="38" t="e">
        <f>_xlfn.XLOOKUP(Tabla1[[#This Row],[Ean Normalizado]],tabla_consumos[EAN],tabla_consumos[UM])</f>
        <v>#VALUE!</v>
      </c>
      <c r="S3920" s="38" t="e">
        <f>Tabla1[[#This Row],[StockDisp]]*Tabla1[[#This Row],[UM producto]]</f>
        <v>#VALUE!</v>
      </c>
    </row>
    <row r="3921" spans="1:19" x14ac:dyDescent="0.35">
      <c r="A3921" s="5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6"/>
      <c r="P3921" s="23" t="e">
        <f>TRIM(Tabla1[[#This Row],[Articulo]])</f>
        <v>#VALUE!</v>
      </c>
      <c r="Q3921" s="23" t="e">
        <f>_xlfn.XLOOKUP(Tabla1[[#This Row],[Ean Normalizado]],Consumos!A:A,Consumos!E:E)</f>
        <v>#VALUE!</v>
      </c>
      <c r="R3921" s="38" t="e">
        <f>_xlfn.XLOOKUP(Tabla1[[#This Row],[Ean Normalizado]],tabla_consumos[EAN],tabla_consumos[UM])</f>
        <v>#VALUE!</v>
      </c>
      <c r="S3921" s="38" t="e">
        <f>Tabla1[[#This Row],[StockDisp]]*Tabla1[[#This Row],[UM producto]]</f>
        <v>#VALUE!</v>
      </c>
    </row>
    <row r="3922" spans="1:19" x14ac:dyDescent="0.35">
      <c r="A3922" s="5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6"/>
      <c r="P3922" s="23" t="e">
        <f>TRIM(Tabla1[[#This Row],[Articulo]])</f>
        <v>#VALUE!</v>
      </c>
      <c r="Q3922" s="23" t="e">
        <f>_xlfn.XLOOKUP(Tabla1[[#This Row],[Ean Normalizado]],Consumos!A:A,Consumos!E:E)</f>
        <v>#VALUE!</v>
      </c>
      <c r="R3922" s="38" t="e">
        <f>_xlfn.XLOOKUP(Tabla1[[#This Row],[Ean Normalizado]],tabla_consumos[EAN],tabla_consumos[UM])</f>
        <v>#VALUE!</v>
      </c>
      <c r="S3922" s="38" t="e">
        <f>Tabla1[[#This Row],[StockDisp]]*Tabla1[[#This Row],[UM producto]]</f>
        <v>#VALUE!</v>
      </c>
    </row>
    <row r="3923" spans="1:19" x14ac:dyDescent="0.35">
      <c r="A3923" s="5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6"/>
      <c r="P3923" s="23" t="e">
        <f>TRIM(Tabla1[[#This Row],[Articulo]])</f>
        <v>#VALUE!</v>
      </c>
      <c r="Q3923" s="23" t="e">
        <f>_xlfn.XLOOKUP(Tabla1[[#This Row],[Ean Normalizado]],Consumos!A:A,Consumos!E:E)</f>
        <v>#VALUE!</v>
      </c>
      <c r="R3923" s="38" t="e">
        <f>_xlfn.XLOOKUP(Tabla1[[#This Row],[Ean Normalizado]],tabla_consumos[EAN],tabla_consumos[UM])</f>
        <v>#VALUE!</v>
      </c>
      <c r="S3923" s="38" t="e">
        <f>Tabla1[[#This Row],[StockDisp]]*Tabla1[[#This Row],[UM producto]]</f>
        <v>#VALUE!</v>
      </c>
    </row>
    <row r="3924" spans="1:19" x14ac:dyDescent="0.35">
      <c r="A3924" s="5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6"/>
      <c r="P3924" s="23" t="e">
        <f>TRIM(Tabla1[[#This Row],[Articulo]])</f>
        <v>#VALUE!</v>
      </c>
      <c r="Q3924" s="23" t="e">
        <f>_xlfn.XLOOKUP(Tabla1[[#This Row],[Ean Normalizado]],Consumos!A:A,Consumos!E:E)</f>
        <v>#VALUE!</v>
      </c>
      <c r="R3924" s="38" t="e">
        <f>_xlfn.XLOOKUP(Tabla1[[#This Row],[Ean Normalizado]],tabla_consumos[EAN],tabla_consumos[UM])</f>
        <v>#VALUE!</v>
      </c>
      <c r="S3924" s="38" t="e">
        <f>Tabla1[[#This Row],[StockDisp]]*Tabla1[[#This Row],[UM producto]]</f>
        <v>#VALUE!</v>
      </c>
    </row>
    <row r="3925" spans="1:19" x14ac:dyDescent="0.35">
      <c r="A3925" s="5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6"/>
      <c r="P3925" s="23" t="e">
        <f>TRIM(Tabla1[[#This Row],[Articulo]])</f>
        <v>#VALUE!</v>
      </c>
      <c r="Q3925" s="23" t="e">
        <f>_xlfn.XLOOKUP(Tabla1[[#This Row],[Ean Normalizado]],Consumos!A:A,Consumos!E:E)</f>
        <v>#VALUE!</v>
      </c>
      <c r="R3925" s="38" t="e">
        <f>_xlfn.XLOOKUP(Tabla1[[#This Row],[Ean Normalizado]],tabla_consumos[EAN],tabla_consumos[UM])</f>
        <v>#VALUE!</v>
      </c>
      <c r="S3925" s="38" t="e">
        <f>Tabla1[[#This Row],[StockDisp]]*Tabla1[[#This Row],[UM producto]]</f>
        <v>#VALUE!</v>
      </c>
    </row>
    <row r="3926" spans="1:19" x14ac:dyDescent="0.35">
      <c r="A3926" s="5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6"/>
      <c r="P3926" s="23" t="e">
        <f>TRIM(Tabla1[[#This Row],[Articulo]])</f>
        <v>#VALUE!</v>
      </c>
      <c r="Q3926" s="23" t="e">
        <f>_xlfn.XLOOKUP(Tabla1[[#This Row],[Ean Normalizado]],Consumos!A:A,Consumos!E:E)</f>
        <v>#VALUE!</v>
      </c>
      <c r="R3926" s="38" t="e">
        <f>_xlfn.XLOOKUP(Tabla1[[#This Row],[Ean Normalizado]],tabla_consumos[EAN],tabla_consumos[UM])</f>
        <v>#VALUE!</v>
      </c>
      <c r="S3926" s="38" t="e">
        <f>Tabla1[[#This Row],[StockDisp]]*Tabla1[[#This Row],[UM producto]]</f>
        <v>#VALUE!</v>
      </c>
    </row>
    <row r="3927" spans="1:19" x14ac:dyDescent="0.35">
      <c r="A3927" s="5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6"/>
      <c r="P3927" s="23" t="e">
        <f>TRIM(Tabla1[[#This Row],[Articulo]])</f>
        <v>#VALUE!</v>
      </c>
      <c r="Q3927" s="23" t="e">
        <f>_xlfn.XLOOKUP(Tabla1[[#This Row],[Ean Normalizado]],Consumos!A:A,Consumos!E:E)</f>
        <v>#VALUE!</v>
      </c>
      <c r="R3927" s="38" t="e">
        <f>_xlfn.XLOOKUP(Tabla1[[#This Row],[Ean Normalizado]],tabla_consumos[EAN],tabla_consumos[UM])</f>
        <v>#VALUE!</v>
      </c>
      <c r="S3927" s="38" t="e">
        <f>Tabla1[[#This Row],[StockDisp]]*Tabla1[[#This Row],[UM producto]]</f>
        <v>#VALUE!</v>
      </c>
    </row>
    <row r="3928" spans="1:19" x14ac:dyDescent="0.35">
      <c r="A3928" s="5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6"/>
      <c r="P3928" s="23" t="e">
        <f>TRIM(Tabla1[[#This Row],[Articulo]])</f>
        <v>#VALUE!</v>
      </c>
      <c r="Q3928" s="23" t="e">
        <f>_xlfn.XLOOKUP(Tabla1[[#This Row],[Ean Normalizado]],Consumos!A:A,Consumos!E:E)</f>
        <v>#VALUE!</v>
      </c>
      <c r="R3928" s="38" t="e">
        <f>_xlfn.XLOOKUP(Tabla1[[#This Row],[Ean Normalizado]],tabla_consumos[EAN],tabla_consumos[UM])</f>
        <v>#VALUE!</v>
      </c>
      <c r="S3928" s="38" t="e">
        <f>Tabla1[[#This Row],[StockDisp]]*Tabla1[[#This Row],[UM producto]]</f>
        <v>#VALUE!</v>
      </c>
    </row>
    <row r="3929" spans="1:19" x14ac:dyDescent="0.35">
      <c r="A3929" s="5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6"/>
      <c r="P3929" s="23" t="e">
        <f>TRIM(Tabla1[[#This Row],[Articulo]])</f>
        <v>#VALUE!</v>
      </c>
      <c r="Q3929" s="23" t="e">
        <f>_xlfn.XLOOKUP(Tabla1[[#This Row],[Ean Normalizado]],Consumos!A:A,Consumos!E:E)</f>
        <v>#VALUE!</v>
      </c>
      <c r="R3929" s="38" t="e">
        <f>_xlfn.XLOOKUP(Tabla1[[#This Row],[Ean Normalizado]],tabla_consumos[EAN],tabla_consumos[UM])</f>
        <v>#VALUE!</v>
      </c>
      <c r="S3929" s="38" t="e">
        <f>Tabla1[[#This Row],[StockDisp]]*Tabla1[[#This Row],[UM producto]]</f>
        <v>#VALUE!</v>
      </c>
    </row>
    <row r="3930" spans="1:19" x14ac:dyDescent="0.35">
      <c r="A3930" s="5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6"/>
      <c r="P3930" s="23" t="e">
        <f>TRIM(Tabla1[[#This Row],[Articulo]])</f>
        <v>#VALUE!</v>
      </c>
      <c r="Q3930" s="23" t="e">
        <f>_xlfn.XLOOKUP(Tabla1[[#This Row],[Ean Normalizado]],Consumos!A:A,Consumos!E:E)</f>
        <v>#VALUE!</v>
      </c>
      <c r="R3930" s="38" t="e">
        <f>_xlfn.XLOOKUP(Tabla1[[#This Row],[Ean Normalizado]],tabla_consumos[EAN],tabla_consumos[UM])</f>
        <v>#VALUE!</v>
      </c>
      <c r="S3930" s="38" t="e">
        <f>Tabla1[[#This Row],[StockDisp]]*Tabla1[[#This Row],[UM producto]]</f>
        <v>#VALUE!</v>
      </c>
    </row>
    <row r="3931" spans="1:19" x14ac:dyDescent="0.35">
      <c r="A3931" s="5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6"/>
      <c r="P3931" s="23" t="e">
        <f>TRIM(Tabla1[[#This Row],[Articulo]])</f>
        <v>#VALUE!</v>
      </c>
      <c r="Q3931" s="23" t="e">
        <f>_xlfn.XLOOKUP(Tabla1[[#This Row],[Ean Normalizado]],Consumos!A:A,Consumos!E:E)</f>
        <v>#VALUE!</v>
      </c>
      <c r="R3931" s="38" t="e">
        <f>_xlfn.XLOOKUP(Tabla1[[#This Row],[Ean Normalizado]],tabla_consumos[EAN],tabla_consumos[UM])</f>
        <v>#VALUE!</v>
      </c>
      <c r="S3931" s="38" t="e">
        <f>Tabla1[[#This Row],[StockDisp]]*Tabla1[[#This Row],[UM producto]]</f>
        <v>#VALUE!</v>
      </c>
    </row>
    <row r="3932" spans="1:19" x14ac:dyDescent="0.35">
      <c r="A3932" s="5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6"/>
      <c r="P3932" s="23" t="e">
        <f>TRIM(Tabla1[[#This Row],[Articulo]])</f>
        <v>#VALUE!</v>
      </c>
      <c r="Q3932" s="23" t="e">
        <f>_xlfn.XLOOKUP(Tabla1[[#This Row],[Ean Normalizado]],Consumos!A:A,Consumos!E:E)</f>
        <v>#VALUE!</v>
      </c>
      <c r="R3932" s="38" t="e">
        <f>_xlfn.XLOOKUP(Tabla1[[#This Row],[Ean Normalizado]],tabla_consumos[EAN],tabla_consumos[UM])</f>
        <v>#VALUE!</v>
      </c>
      <c r="S3932" s="38" t="e">
        <f>Tabla1[[#This Row],[StockDisp]]*Tabla1[[#This Row],[UM producto]]</f>
        <v>#VALUE!</v>
      </c>
    </row>
    <row r="3933" spans="1:19" x14ac:dyDescent="0.35">
      <c r="A3933" s="5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6"/>
      <c r="P3933" s="23" t="e">
        <f>TRIM(Tabla1[[#This Row],[Articulo]])</f>
        <v>#VALUE!</v>
      </c>
      <c r="Q3933" s="23" t="e">
        <f>_xlfn.XLOOKUP(Tabla1[[#This Row],[Ean Normalizado]],Consumos!A:A,Consumos!E:E)</f>
        <v>#VALUE!</v>
      </c>
      <c r="R3933" s="38" t="e">
        <f>_xlfn.XLOOKUP(Tabla1[[#This Row],[Ean Normalizado]],tabla_consumos[EAN],tabla_consumos[UM])</f>
        <v>#VALUE!</v>
      </c>
      <c r="S3933" s="38" t="e">
        <f>Tabla1[[#This Row],[StockDisp]]*Tabla1[[#This Row],[UM producto]]</f>
        <v>#VALUE!</v>
      </c>
    </row>
    <row r="3934" spans="1:19" x14ac:dyDescent="0.35">
      <c r="A3934" s="5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6"/>
      <c r="P3934" s="23" t="e">
        <f>TRIM(Tabla1[[#This Row],[Articulo]])</f>
        <v>#VALUE!</v>
      </c>
      <c r="Q3934" s="23" t="e">
        <f>_xlfn.XLOOKUP(Tabla1[[#This Row],[Ean Normalizado]],Consumos!A:A,Consumos!E:E)</f>
        <v>#VALUE!</v>
      </c>
      <c r="R3934" s="38" t="e">
        <f>_xlfn.XLOOKUP(Tabla1[[#This Row],[Ean Normalizado]],tabla_consumos[EAN],tabla_consumos[UM])</f>
        <v>#VALUE!</v>
      </c>
      <c r="S3934" s="38" t="e">
        <f>Tabla1[[#This Row],[StockDisp]]*Tabla1[[#This Row],[UM producto]]</f>
        <v>#VALUE!</v>
      </c>
    </row>
    <row r="3935" spans="1:19" x14ac:dyDescent="0.35">
      <c r="A3935" s="5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6"/>
      <c r="P3935" s="23" t="e">
        <f>TRIM(Tabla1[[#This Row],[Articulo]])</f>
        <v>#VALUE!</v>
      </c>
      <c r="Q3935" s="23" t="e">
        <f>_xlfn.XLOOKUP(Tabla1[[#This Row],[Ean Normalizado]],Consumos!A:A,Consumos!E:E)</f>
        <v>#VALUE!</v>
      </c>
      <c r="R3935" s="38" t="e">
        <f>_xlfn.XLOOKUP(Tabla1[[#This Row],[Ean Normalizado]],tabla_consumos[EAN],tabla_consumos[UM])</f>
        <v>#VALUE!</v>
      </c>
      <c r="S3935" s="38" t="e">
        <f>Tabla1[[#This Row],[StockDisp]]*Tabla1[[#This Row],[UM producto]]</f>
        <v>#VALUE!</v>
      </c>
    </row>
    <row r="3936" spans="1:19" x14ac:dyDescent="0.35">
      <c r="A3936" s="5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6"/>
      <c r="P3936" s="23" t="e">
        <f>TRIM(Tabla1[[#This Row],[Articulo]])</f>
        <v>#VALUE!</v>
      </c>
      <c r="Q3936" s="23" t="e">
        <f>_xlfn.XLOOKUP(Tabla1[[#This Row],[Ean Normalizado]],Consumos!A:A,Consumos!E:E)</f>
        <v>#VALUE!</v>
      </c>
      <c r="R3936" s="38" t="e">
        <f>_xlfn.XLOOKUP(Tabla1[[#This Row],[Ean Normalizado]],tabla_consumos[EAN],tabla_consumos[UM])</f>
        <v>#VALUE!</v>
      </c>
      <c r="S3936" s="38" t="e">
        <f>Tabla1[[#This Row],[StockDisp]]*Tabla1[[#This Row],[UM producto]]</f>
        <v>#VALUE!</v>
      </c>
    </row>
    <row r="3937" spans="1:19" x14ac:dyDescent="0.35">
      <c r="A3937" s="5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6"/>
      <c r="P3937" s="23" t="e">
        <f>TRIM(Tabla1[[#This Row],[Articulo]])</f>
        <v>#VALUE!</v>
      </c>
      <c r="Q3937" s="23" t="e">
        <f>_xlfn.XLOOKUP(Tabla1[[#This Row],[Ean Normalizado]],Consumos!A:A,Consumos!E:E)</f>
        <v>#VALUE!</v>
      </c>
      <c r="R3937" s="38" t="e">
        <f>_xlfn.XLOOKUP(Tabla1[[#This Row],[Ean Normalizado]],tabla_consumos[EAN],tabla_consumos[UM])</f>
        <v>#VALUE!</v>
      </c>
      <c r="S3937" s="38" t="e">
        <f>Tabla1[[#This Row],[StockDisp]]*Tabla1[[#This Row],[UM producto]]</f>
        <v>#VALUE!</v>
      </c>
    </row>
    <row r="3938" spans="1:19" x14ac:dyDescent="0.35">
      <c r="A3938" s="5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6"/>
      <c r="P3938" s="23" t="e">
        <f>TRIM(Tabla1[[#This Row],[Articulo]])</f>
        <v>#VALUE!</v>
      </c>
      <c r="Q3938" s="23" t="e">
        <f>_xlfn.XLOOKUP(Tabla1[[#This Row],[Ean Normalizado]],Consumos!A:A,Consumos!E:E)</f>
        <v>#VALUE!</v>
      </c>
      <c r="R3938" s="38" t="e">
        <f>_xlfn.XLOOKUP(Tabla1[[#This Row],[Ean Normalizado]],tabla_consumos[EAN],tabla_consumos[UM])</f>
        <v>#VALUE!</v>
      </c>
      <c r="S3938" s="38" t="e">
        <f>Tabla1[[#This Row],[StockDisp]]*Tabla1[[#This Row],[UM producto]]</f>
        <v>#VALUE!</v>
      </c>
    </row>
    <row r="3939" spans="1:19" x14ac:dyDescent="0.35">
      <c r="A3939" s="5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6"/>
      <c r="P3939" s="23" t="e">
        <f>TRIM(Tabla1[[#This Row],[Articulo]])</f>
        <v>#VALUE!</v>
      </c>
      <c r="Q3939" s="23" t="e">
        <f>_xlfn.XLOOKUP(Tabla1[[#This Row],[Ean Normalizado]],Consumos!A:A,Consumos!E:E)</f>
        <v>#VALUE!</v>
      </c>
      <c r="R3939" s="38" t="e">
        <f>_xlfn.XLOOKUP(Tabla1[[#This Row],[Ean Normalizado]],tabla_consumos[EAN],tabla_consumos[UM])</f>
        <v>#VALUE!</v>
      </c>
      <c r="S3939" s="38" t="e">
        <f>Tabla1[[#This Row],[StockDisp]]*Tabla1[[#This Row],[UM producto]]</f>
        <v>#VALUE!</v>
      </c>
    </row>
    <row r="3940" spans="1:19" x14ac:dyDescent="0.35">
      <c r="A3940" s="5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6"/>
      <c r="P3940" s="23" t="e">
        <f>TRIM(Tabla1[[#This Row],[Articulo]])</f>
        <v>#VALUE!</v>
      </c>
      <c r="Q3940" s="23" t="e">
        <f>_xlfn.XLOOKUP(Tabla1[[#This Row],[Ean Normalizado]],Consumos!A:A,Consumos!E:E)</f>
        <v>#VALUE!</v>
      </c>
      <c r="R3940" s="38" t="e">
        <f>_xlfn.XLOOKUP(Tabla1[[#This Row],[Ean Normalizado]],tabla_consumos[EAN],tabla_consumos[UM])</f>
        <v>#VALUE!</v>
      </c>
      <c r="S3940" s="38" t="e">
        <f>Tabla1[[#This Row],[StockDisp]]*Tabla1[[#This Row],[UM producto]]</f>
        <v>#VALUE!</v>
      </c>
    </row>
    <row r="3941" spans="1:19" x14ac:dyDescent="0.35">
      <c r="A3941" s="5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6"/>
      <c r="P3941" s="23" t="e">
        <f>TRIM(Tabla1[[#This Row],[Articulo]])</f>
        <v>#VALUE!</v>
      </c>
      <c r="Q3941" s="23" t="e">
        <f>_xlfn.XLOOKUP(Tabla1[[#This Row],[Ean Normalizado]],Consumos!A:A,Consumos!E:E)</f>
        <v>#VALUE!</v>
      </c>
      <c r="R3941" s="38" t="e">
        <f>_xlfn.XLOOKUP(Tabla1[[#This Row],[Ean Normalizado]],tabla_consumos[EAN],tabla_consumos[UM])</f>
        <v>#VALUE!</v>
      </c>
      <c r="S3941" s="38" t="e">
        <f>Tabla1[[#This Row],[StockDisp]]*Tabla1[[#This Row],[UM producto]]</f>
        <v>#VALUE!</v>
      </c>
    </row>
    <row r="3942" spans="1:19" x14ac:dyDescent="0.35">
      <c r="A3942" s="5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6"/>
      <c r="P3942" s="23" t="e">
        <f>TRIM(Tabla1[[#This Row],[Articulo]])</f>
        <v>#VALUE!</v>
      </c>
      <c r="Q3942" s="23" t="e">
        <f>_xlfn.XLOOKUP(Tabla1[[#This Row],[Ean Normalizado]],Consumos!A:A,Consumos!E:E)</f>
        <v>#VALUE!</v>
      </c>
      <c r="R3942" s="38" t="e">
        <f>_xlfn.XLOOKUP(Tabla1[[#This Row],[Ean Normalizado]],tabla_consumos[EAN],tabla_consumos[UM])</f>
        <v>#VALUE!</v>
      </c>
      <c r="S3942" s="38" t="e">
        <f>Tabla1[[#This Row],[StockDisp]]*Tabla1[[#This Row],[UM producto]]</f>
        <v>#VALUE!</v>
      </c>
    </row>
    <row r="3943" spans="1:19" x14ac:dyDescent="0.35">
      <c r="A3943" s="5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6"/>
      <c r="P3943" s="23" t="e">
        <f>TRIM(Tabla1[[#This Row],[Articulo]])</f>
        <v>#VALUE!</v>
      </c>
      <c r="Q3943" s="23" t="e">
        <f>_xlfn.XLOOKUP(Tabla1[[#This Row],[Ean Normalizado]],Consumos!A:A,Consumos!E:E)</f>
        <v>#VALUE!</v>
      </c>
      <c r="R3943" s="38" t="e">
        <f>_xlfn.XLOOKUP(Tabla1[[#This Row],[Ean Normalizado]],tabla_consumos[EAN],tabla_consumos[UM])</f>
        <v>#VALUE!</v>
      </c>
      <c r="S3943" s="38" t="e">
        <f>Tabla1[[#This Row],[StockDisp]]*Tabla1[[#This Row],[UM producto]]</f>
        <v>#VALUE!</v>
      </c>
    </row>
    <row r="3944" spans="1:19" x14ac:dyDescent="0.35">
      <c r="A3944" s="5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6"/>
      <c r="P3944" s="23" t="e">
        <f>TRIM(Tabla1[[#This Row],[Articulo]])</f>
        <v>#VALUE!</v>
      </c>
      <c r="Q3944" s="23" t="e">
        <f>_xlfn.XLOOKUP(Tabla1[[#This Row],[Ean Normalizado]],Consumos!A:A,Consumos!E:E)</f>
        <v>#VALUE!</v>
      </c>
      <c r="R3944" s="38" t="e">
        <f>_xlfn.XLOOKUP(Tabla1[[#This Row],[Ean Normalizado]],tabla_consumos[EAN],tabla_consumos[UM])</f>
        <v>#VALUE!</v>
      </c>
      <c r="S3944" s="38" t="e">
        <f>Tabla1[[#This Row],[StockDisp]]*Tabla1[[#This Row],[UM producto]]</f>
        <v>#VALUE!</v>
      </c>
    </row>
    <row r="3945" spans="1:19" x14ac:dyDescent="0.35">
      <c r="A3945" s="5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6"/>
      <c r="P3945" s="23" t="e">
        <f>TRIM(Tabla1[[#This Row],[Articulo]])</f>
        <v>#VALUE!</v>
      </c>
      <c r="Q3945" s="23" t="e">
        <f>_xlfn.XLOOKUP(Tabla1[[#This Row],[Ean Normalizado]],Consumos!A:A,Consumos!E:E)</f>
        <v>#VALUE!</v>
      </c>
      <c r="R3945" s="38" t="e">
        <f>_xlfn.XLOOKUP(Tabla1[[#This Row],[Ean Normalizado]],tabla_consumos[EAN],tabla_consumos[UM])</f>
        <v>#VALUE!</v>
      </c>
      <c r="S3945" s="38" t="e">
        <f>Tabla1[[#This Row],[StockDisp]]*Tabla1[[#This Row],[UM producto]]</f>
        <v>#VALUE!</v>
      </c>
    </row>
    <row r="3946" spans="1:19" x14ac:dyDescent="0.35">
      <c r="A3946" s="5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6"/>
      <c r="P3946" s="23" t="e">
        <f>TRIM(Tabla1[[#This Row],[Articulo]])</f>
        <v>#VALUE!</v>
      </c>
      <c r="Q3946" s="23" t="e">
        <f>_xlfn.XLOOKUP(Tabla1[[#This Row],[Ean Normalizado]],Consumos!A:A,Consumos!E:E)</f>
        <v>#VALUE!</v>
      </c>
      <c r="R3946" s="38" t="e">
        <f>_xlfn.XLOOKUP(Tabla1[[#This Row],[Ean Normalizado]],tabla_consumos[EAN],tabla_consumos[UM])</f>
        <v>#VALUE!</v>
      </c>
      <c r="S3946" s="38" t="e">
        <f>Tabla1[[#This Row],[StockDisp]]*Tabla1[[#This Row],[UM producto]]</f>
        <v>#VALUE!</v>
      </c>
    </row>
    <row r="3947" spans="1:19" x14ac:dyDescent="0.35">
      <c r="A3947" s="5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6"/>
      <c r="P3947" s="23" t="e">
        <f>TRIM(Tabla1[[#This Row],[Articulo]])</f>
        <v>#VALUE!</v>
      </c>
      <c r="Q3947" s="23" t="e">
        <f>_xlfn.XLOOKUP(Tabla1[[#This Row],[Ean Normalizado]],Consumos!A:A,Consumos!E:E)</f>
        <v>#VALUE!</v>
      </c>
      <c r="R3947" s="38" t="e">
        <f>_xlfn.XLOOKUP(Tabla1[[#This Row],[Ean Normalizado]],tabla_consumos[EAN],tabla_consumos[UM])</f>
        <v>#VALUE!</v>
      </c>
      <c r="S3947" s="38" t="e">
        <f>Tabla1[[#This Row],[StockDisp]]*Tabla1[[#This Row],[UM producto]]</f>
        <v>#VALUE!</v>
      </c>
    </row>
    <row r="3948" spans="1:19" x14ac:dyDescent="0.35">
      <c r="A3948" s="5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6"/>
      <c r="P3948" s="23" t="e">
        <f>TRIM(Tabla1[[#This Row],[Articulo]])</f>
        <v>#VALUE!</v>
      </c>
      <c r="Q3948" s="23" t="e">
        <f>_xlfn.XLOOKUP(Tabla1[[#This Row],[Ean Normalizado]],Consumos!A:A,Consumos!E:E)</f>
        <v>#VALUE!</v>
      </c>
      <c r="R3948" s="38" t="e">
        <f>_xlfn.XLOOKUP(Tabla1[[#This Row],[Ean Normalizado]],tabla_consumos[EAN],tabla_consumos[UM])</f>
        <v>#VALUE!</v>
      </c>
      <c r="S3948" s="38" t="e">
        <f>Tabla1[[#This Row],[StockDisp]]*Tabla1[[#This Row],[UM producto]]</f>
        <v>#VALUE!</v>
      </c>
    </row>
    <row r="3949" spans="1:19" x14ac:dyDescent="0.35">
      <c r="A3949" s="5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6"/>
      <c r="P3949" s="23" t="e">
        <f>TRIM(Tabla1[[#This Row],[Articulo]])</f>
        <v>#VALUE!</v>
      </c>
      <c r="Q3949" s="23" t="e">
        <f>_xlfn.XLOOKUP(Tabla1[[#This Row],[Ean Normalizado]],Consumos!A:A,Consumos!E:E)</f>
        <v>#VALUE!</v>
      </c>
      <c r="R3949" s="38" t="e">
        <f>_xlfn.XLOOKUP(Tabla1[[#This Row],[Ean Normalizado]],tabla_consumos[EAN],tabla_consumos[UM])</f>
        <v>#VALUE!</v>
      </c>
      <c r="S3949" s="38" t="e">
        <f>Tabla1[[#This Row],[StockDisp]]*Tabla1[[#This Row],[UM producto]]</f>
        <v>#VALUE!</v>
      </c>
    </row>
    <row r="3950" spans="1:19" x14ac:dyDescent="0.35">
      <c r="A3950" s="5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6"/>
      <c r="P3950" s="23" t="e">
        <f>TRIM(Tabla1[[#This Row],[Articulo]])</f>
        <v>#VALUE!</v>
      </c>
      <c r="Q3950" s="23" t="e">
        <f>_xlfn.XLOOKUP(Tabla1[[#This Row],[Ean Normalizado]],Consumos!A:A,Consumos!E:E)</f>
        <v>#VALUE!</v>
      </c>
      <c r="R3950" s="38" t="e">
        <f>_xlfn.XLOOKUP(Tabla1[[#This Row],[Ean Normalizado]],tabla_consumos[EAN],tabla_consumos[UM])</f>
        <v>#VALUE!</v>
      </c>
      <c r="S3950" s="38" t="e">
        <f>Tabla1[[#This Row],[StockDisp]]*Tabla1[[#This Row],[UM producto]]</f>
        <v>#VALUE!</v>
      </c>
    </row>
    <row r="3951" spans="1:19" x14ac:dyDescent="0.35">
      <c r="A3951" s="5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6"/>
      <c r="P3951" s="23" t="e">
        <f>TRIM(Tabla1[[#This Row],[Articulo]])</f>
        <v>#VALUE!</v>
      </c>
      <c r="Q3951" s="23" t="e">
        <f>_xlfn.XLOOKUP(Tabla1[[#This Row],[Ean Normalizado]],Consumos!A:A,Consumos!E:E)</f>
        <v>#VALUE!</v>
      </c>
      <c r="R3951" s="38" t="e">
        <f>_xlfn.XLOOKUP(Tabla1[[#This Row],[Ean Normalizado]],tabla_consumos[EAN],tabla_consumos[UM])</f>
        <v>#VALUE!</v>
      </c>
      <c r="S3951" s="38" t="e">
        <f>Tabla1[[#This Row],[StockDisp]]*Tabla1[[#This Row],[UM producto]]</f>
        <v>#VALUE!</v>
      </c>
    </row>
    <row r="3952" spans="1:19" x14ac:dyDescent="0.35">
      <c r="A3952" s="5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6"/>
      <c r="P3952" s="23" t="e">
        <f>TRIM(Tabla1[[#This Row],[Articulo]])</f>
        <v>#VALUE!</v>
      </c>
      <c r="Q3952" s="23" t="e">
        <f>_xlfn.XLOOKUP(Tabla1[[#This Row],[Ean Normalizado]],Consumos!A:A,Consumos!E:E)</f>
        <v>#VALUE!</v>
      </c>
      <c r="R3952" s="38" t="e">
        <f>_xlfn.XLOOKUP(Tabla1[[#This Row],[Ean Normalizado]],tabla_consumos[EAN],tabla_consumos[UM])</f>
        <v>#VALUE!</v>
      </c>
      <c r="S3952" s="38" t="e">
        <f>Tabla1[[#This Row],[StockDisp]]*Tabla1[[#This Row],[UM producto]]</f>
        <v>#VALUE!</v>
      </c>
    </row>
    <row r="3953" spans="1:19" x14ac:dyDescent="0.35">
      <c r="A3953" s="5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6"/>
      <c r="P3953" s="23" t="e">
        <f>TRIM(Tabla1[[#This Row],[Articulo]])</f>
        <v>#VALUE!</v>
      </c>
      <c r="Q3953" s="23" t="e">
        <f>_xlfn.XLOOKUP(Tabla1[[#This Row],[Ean Normalizado]],Consumos!A:A,Consumos!E:E)</f>
        <v>#VALUE!</v>
      </c>
      <c r="R3953" s="38" t="e">
        <f>_xlfn.XLOOKUP(Tabla1[[#This Row],[Ean Normalizado]],tabla_consumos[EAN],tabla_consumos[UM])</f>
        <v>#VALUE!</v>
      </c>
      <c r="S3953" s="38" t="e">
        <f>Tabla1[[#This Row],[StockDisp]]*Tabla1[[#This Row],[UM producto]]</f>
        <v>#VALUE!</v>
      </c>
    </row>
    <row r="3954" spans="1:19" x14ac:dyDescent="0.35">
      <c r="A3954" s="5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6"/>
      <c r="P3954" s="23" t="e">
        <f>TRIM(Tabla1[[#This Row],[Articulo]])</f>
        <v>#VALUE!</v>
      </c>
      <c r="Q3954" s="23" t="e">
        <f>_xlfn.XLOOKUP(Tabla1[[#This Row],[Ean Normalizado]],Consumos!A:A,Consumos!E:E)</f>
        <v>#VALUE!</v>
      </c>
      <c r="R3954" s="38" t="e">
        <f>_xlfn.XLOOKUP(Tabla1[[#This Row],[Ean Normalizado]],tabla_consumos[EAN],tabla_consumos[UM])</f>
        <v>#VALUE!</v>
      </c>
      <c r="S3954" s="38" t="e">
        <f>Tabla1[[#This Row],[StockDisp]]*Tabla1[[#This Row],[UM producto]]</f>
        <v>#VALUE!</v>
      </c>
    </row>
    <row r="3955" spans="1:19" x14ac:dyDescent="0.35">
      <c r="A3955" s="5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6"/>
      <c r="P3955" s="23" t="e">
        <f>TRIM(Tabla1[[#This Row],[Articulo]])</f>
        <v>#VALUE!</v>
      </c>
      <c r="Q3955" s="23" t="e">
        <f>_xlfn.XLOOKUP(Tabla1[[#This Row],[Ean Normalizado]],Consumos!A:A,Consumos!E:E)</f>
        <v>#VALUE!</v>
      </c>
      <c r="R3955" s="38" t="e">
        <f>_xlfn.XLOOKUP(Tabla1[[#This Row],[Ean Normalizado]],tabla_consumos[EAN],tabla_consumos[UM])</f>
        <v>#VALUE!</v>
      </c>
      <c r="S3955" s="38" t="e">
        <f>Tabla1[[#This Row],[StockDisp]]*Tabla1[[#This Row],[UM producto]]</f>
        <v>#VALUE!</v>
      </c>
    </row>
    <row r="3956" spans="1:19" x14ac:dyDescent="0.35">
      <c r="A3956" s="5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6"/>
      <c r="P3956" s="23" t="e">
        <f>TRIM(Tabla1[[#This Row],[Articulo]])</f>
        <v>#VALUE!</v>
      </c>
      <c r="Q3956" s="23" t="e">
        <f>_xlfn.XLOOKUP(Tabla1[[#This Row],[Ean Normalizado]],Consumos!A:A,Consumos!E:E)</f>
        <v>#VALUE!</v>
      </c>
      <c r="R3956" s="38" t="e">
        <f>_xlfn.XLOOKUP(Tabla1[[#This Row],[Ean Normalizado]],tabla_consumos[EAN],tabla_consumos[UM])</f>
        <v>#VALUE!</v>
      </c>
      <c r="S3956" s="38" t="e">
        <f>Tabla1[[#This Row],[StockDisp]]*Tabla1[[#This Row],[UM producto]]</f>
        <v>#VALUE!</v>
      </c>
    </row>
    <row r="3957" spans="1:19" x14ac:dyDescent="0.35">
      <c r="A3957" s="5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6"/>
      <c r="P3957" s="23" t="e">
        <f>TRIM(Tabla1[[#This Row],[Articulo]])</f>
        <v>#VALUE!</v>
      </c>
      <c r="Q3957" s="23" t="e">
        <f>_xlfn.XLOOKUP(Tabla1[[#This Row],[Ean Normalizado]],Consumos!A:A,Consumos!E:E)</f>
        <v>#VALUE!</v>
      </c>
      <c r="R3957" s="38" t="e">
        <f>_xlfn.XLOOKUP(Tabla1[[#This Row],[Ean Normalizado]],tabla_consumos[EAN],tabla_consumos[UM])</f>
        <v>#VALUE!</v>
      </c>
      <c r="S3957" s="38" t="e">
        <f>Tabla1[[#This Row],[StockDisp]]*Tabla1[[#This Row],[UM producto]]</f>
        <v>#VALUE!</v>
      </c>
    </row>
    <row r="3958" spans="1:19" x14ac:dyDescent="0.35">
      <c r="A3958" s="5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6"/>
      <c r="P3958" s="23" t="e">
        <f>TRIM(Tabla1[[#This Row],[Articulo]])</f>
        <v>#VALUE!</v>
      </c>
      <c r="Q3958" s="23" t="e">
        <f>_xlfn.XLOOKUP(Tabla1[[#This Row],[Ean Normalizado]],Consumos!A:A,Consumos!E:E)</f>
        <v>#VALUE!</v>
      </c>
      <c r="R3958" s="38" t="e">
        <f>_xlfn.XLOOKUP(Tabla1[[#This Row],[Ean Normalizado]],tabla_consumos[EAN],tabla_consumos[UM])</f>
        <v>#VALUE!</v>
      </c>
      <c r="S3958" s="38" t="e">
        <f>Tabla1[[#This Row],[StockDisp]]*Tabla1[[#This Row],[UM producto]]</f>
        <v>#VALUE!</v>
      </c>
    </row>
    <row r="3959" spans="1:19" x14ac:dyDescent="0.35">
      <c r="A3959" s="5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6"/>
      <c r="P3959" s="23" t="e">
        <f>TRIM(Tabla1[[#This Row],[Articulo]])</f>
        <v>#VALUE!</v>
      </c>
      <c r="Q3959" s="23" t="e">
        <f>_xlfn.XLOOKUP(Tabla1[[#This Row],[Ean Normalizado]],Consumos!A:A,Consumos!E:E)</f>
        <v>#VALUE!</v>
      </c>
      <c r="R3959" s="38" t="e">
        <f>_xlfn.XLOOKUP(Tabla1[[#This Row],[Ean Normalizado]],tabla_consumos[EAN],tabla_consumos[UM])</f>
        <v>#VALUE!</v>
      </c>
      <c r="S3959" s="38" t="e">
        <f>Tabla1[[#This Row],[StockDisp]]*Tabla1[[#This Row],[UM producto]]</f>
        <v>#VALUE!</v>
      </c>
    </row>
    <row r="3960" spans="1:19" x14ac:dyDescent="0.35">
      <c r="A3960" s="5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6"/>
      <c r="P3960" s="23" t="e">
        <f>TRIM(Tabla1[[#This Row],[Articulo]])</f>
        <v>#VALUE!</v>
      </c>
      <c r="Q3960" s="23" t="e">
        <f>_xlfn.XLOOKUP(Tabla1[[#This Row],[Ean Normalizado]],Consumos!A:A,Consumos!E:E)</f>
        <v>#VALUE!</v>
      </c>
      <c r="R3960" s="38" t="e">
        <f>_xlfn.XLOOKUP(Tabla1[[#This Row],[Ean Normalizado]],tabla_consumos[EAN],tabla_consumos[UM])</f>
        <v>#VALUE!</v>
      </c>
      <c r="S3960" s="38" t="e">
        <f>Tabla1[[#This Row],[StockDisp]]*Tabla1[[#This Row],[UM producto]]</f>
        <v>#VALUE!</v>
      </c>
    </row>
    <row r="3961" spans="1:19" x14ac:dyDescent="0.35">
      <c r="A3961" s="5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6"/>
      <c r="P3961" s="23" t="e">
        <f>TRIM(Tabla1[[#This Row],[Articulo]])</f>
        <v>#VALUE!</v>
      </c>
      <c r="Q3961" s="23" t="e">
        <f>_xlfn.XLOOKUP(Tabla1[[#This Row],[Ean Normalizado]],Consumos!A:A,Consumos!E:E)</f>
        <v>#VALUE!</v>
      </c>
      <c r="R3961" s="38" t="e">
        <f>_xlfn.XLOOKUP(Tabla1[[#This Row],[Ean Normalizado]],tabla_consumos[EAN],tabla_consumos[UM])</f>
        <v>#VALUE!</v>
      </c>
      <c r="S3961" s="38" t="e">
        <f>Tabla1[[#This Row],[StockDisp]]*Tabla1[[#This Row],[UM producto]]</f>
        <v>#VALUE!</v>
      </c>
    </row>
    <row r="3962" spans="1:19" x14ac:dyDescent="0.35">
      <c r="A3962" s="5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6"/>
      <c r="P3962" s="23" t="e">
        <f>TRIM(Tabla1[[#This Row],[Articulo]])</f>
        <v>#VALUE!</v>
      </c>
      <c r="Q3962" s="23" t="e">
        <f>_xlfn.XLOOKUP(Tabla1[[#This Row],[Ean Normalizado]],Consumos!A:A,Consumos!E:E)</f>
        <v>#VALUE!</v>
      </c>
      <c r="R3962" s="38" t="e">
        <f>_xlfn.XLOOKUP(Tabla1[[#This Row],[Ean Normalizado]],tabla_consumos[EAN],tabla_consumos[UM])</f>
        <v>#VALUE!</v>
      </c>
      <c r="S3962" s="38" t="e">
        <f>Tabla1[[#This Row],[StockDisp]]*Tabla1[[#This Row],[UM producto]]</f>
        <v>#VALUE!</v>
      </c>
    </row>
    <row r="3963" spans="1:19" x14ac:dyDescent="0.35">
      <c r="A3963" s="5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6"/>
      <c r="P3963" s="23" t="e">
        <f>TRIM(Tabla1[[#This Row],[Articulo]])</f>
        <v>#VALUE!</v>
      </c>
      <c r="Q3963" s="23" t="e">
        <f>_xlfn.XLOOKUP(Tabla1[[#This Row],[Ean Normalizado]],Consumos!A:A,Consumos!E:E)</f>
        <v>#VALUE!</v>
      </c>
      <c r="R3963" s="38" t="e">
        <f>_xlfn.XLOOKUP(Tabla1[[#This Row],[Ean Normalizado]],tabla_consumos[EAN],tabla_consumos[UM])</f>
        <v>#VALUE!</v>
      </c>
      <c r="S3963" s="38" t="e">
        <f>Tabla1[[#This Row],[StockDisp]]*Tabla1[[#This Row],[UM producto]]</f>
        <v>#VALUE!</v>
      </c>
    </row>
    <row r="3964" spans="1:19" x14ac:dyDescent="0.35">
      <c r="A3964" s="5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6"/>
      <c r="P3964" s="23" t="e">
        <f>TRIM(Tabla1[[#This Row],[Articulo]])</f>
        <v>#VALUE!</v>
      </c>
      <c r="Q3964" s="23" t="e">
        <f>_xlfn.XLOOKUP(Tabla1[[#This Row],[Ean Normalizado]],Consumos!A:A,Consumos!E:E)</f>
        <v>#VALUE!</v>
      </c>
      <c r="R3964" s="38" t="e">
        <f>_xlfn.XLOOKUP(Tabla1[[#This Row],[Ean Normalizado]],tabla_consumos[EAN],tabla_consumos[UM])</f>
        <v>#VALUE!</v>
      </c>
      <c r="S3964" s="38" t="e">
        <f>Tabla1[[#This Row],[StockDisp]]*Tabla1[[#This Row],[UM producto]]</f>
        <v>#VALUE!</v>
      </c>
    </row>
    <row r="3965" spans="1:19" x14ac:dyDescent="0.35">
      <c r="A3965" s="5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6"/>
      <c r="P3965" s="23" t="e">
        <f>TRIM(Tabla1[[#This Row],[Articulo]])</f>
        <v>#VALUE!</v>
      </c>
      <c r="Q3965" s="23" t="e">
        <f>_xlfn.XLOOKUP(Tabla1[[#This Row],[Ean Normalizado]],Consumos!A:A,Consumos!E:E)</f>
        <v>#VALUE!</v>
      </c>
      <c r="R3965" s="38" t="e">
        <f>_xlfn.XLOOKUP(Tabla1[[#This Row],[Ean Normalizado]],tabla_consumos[EAN],tabla_consumos[UM])</f>
        <v>#VALUE!</v>
      </c>
      <c r="S3965" s="38" t="e">
        <f>Tabla1[[#This Row],[StockDisp]]*Tabla1[[#This Row],[UM producto]]</f>
        <v>#VALUE!</v>
      </c>
    </row>
    <row r="3966" spans="1:19" x14ac:dyDescent="0.35">
      <c r="A3966" s="5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6"/>
      <c r="P3966" s="23" t="e">
        <f>TRIM(Tabla1[[#This Row],[Articulo]])</f>
        <v>#VALUE!</v>
      </c>
      <c r="Q3966" s="23" t="e">
        <f>_xlfn.XLOOKUP(Tabla1[[#This Row],[Ean Normalizado]],Consumos!A:A,Consumos!E:E)</f>
        <v>#VALUE!</v>
      </c>
      <c r="R3966" s="38" t="e">
        <f>_xlfn.XLOOKUP(Tabla1[[#This Row],[Ean Normalizado]],tabla_consumos[EAN],tabla_consumos[UM])</f>
        <v>#VALUE!</v>
      </c>
      <c r="S3966" s="38" t="e">
        <f>Tabla1[[#This Row],[StockDisp]]*Tabla1[[#This Row],[UM producto]]</f>
        <v>#VALUE!</v>
      </c>
    </row>
    <row r="3967" spans="1:19" x14ac:dyDescent="0.35">
      <c r="A3967" s="5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6"/>
      <c r="P3967" s="23" t="e">
        <f>TRIM(Tabla1[[#This Row],[Articulo]])</f>
        <v>#VALUE!</v>
      </c>
      <c r="Q3967" s="23" t="e">
        <f>_xlfn.XLOOKUP(Tabla1[[#This Row],[Ean Normalizado]],Consumos!A:A,Consumos!E:E)</f>
        <v>#VALUE!</v>
      </c>
      <c r="R3967" s="38" t="e">
        <f>_xlfn.XLOOKUP(Tabla1[[#This Row],[Ean Normalizado]],tabla_consumos[EAN],tabla_consumos[UM])</f>
        <v>#VALUE!</v>
      </c>
      <c r="S3967" s="38" t="e">
        <f>Tabla1[[#This Row],[StockDisp]]*Tabla1[[#This Row],[UM producto]]</f>
        <v>#VALUE!</v>
      </c>
    </row>
    <row r="3968" spans="1:19" x14ac:dyDescent="0.35">
      <c r="A3968" s="5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6"/>
      <c r="P3968" s="23" t="e">
        <f>TRIM(Tabla1[[#This Row],[Articulo]])</f>
        <v>#VALUE!</v>
      </c>
      <c r="Q3968" s="23" t="e">
        <f>_xlfn.XLOOKUP(Tabla1[[#This Row],[Ean Normalizado]],Consumos!A:A,Consumos!E:E)</f>
        <v>#VALUE!</v>
      </c>
      <c r="R3968" s="38" t="e">
        <f>_xlfn.XLOOKUP(Tabla1[[#This Row],[Ean Normalizado]],tabla_consumos[EAN],tabla_consumos[UM])</f>
        <v>#VALUE!</v>
      </c>
      <c r="S3968" s="38" t="e">
        <f>Tabla1[[#This Row],[StockDisp]]*Tabla1[[#This Row],[UM producto]]</f>
        <v>#VALUE!</v>
      </c>
    </row>
    <row r="3969" spans="1:19" x14ac:dyDescent="0.35">
      <c r="A3969" s="5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6"/>
      <c r="P3969" s="23" t="e">
        <f>TRIM(Tabla1[[#This Row],[Articulo]])</f>
        <v>#VALUE!</v>
      </c>
      <c r="Q3969" s="23" t="e">
        <f>_xlfn.XLOOKUP(Tabla1[[#This Row],[Ean Normalizado]],Consumos!A:A,Consumos!E:E)</f>
        <v>#VALUE!</v>
      </c>
      <c r="R3969" s="38" t="e">
        <f>_xlfn.XLOOKUP(Tabla1[[#This Row],[Ean Normalizado]],tabla_consumos[EAN],tabla_consumos[UM])</f>
        <v>#VALUE!</v>
      </c>
      <c r="S3969" s="38" t="e">
        <f>Tabla1[[#This Row],[StockDisp]]*Tabla1[[#This Row],[UM producto]]</f>
        <v>#VALUE!</v>
      </c>
    </row>
    <row r="3970" spans="1:19" x14ac:dyDescent="0.35">
      <c r="A3970" s="5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6"/>
      <c r="P3970" s="23" t="e">
        <f>TRIM(Tabla1[[#This Row],[Articulo]])</f>
        <v>#VALUE!</v>
      </c>
      <c r="Q3970" s="23" t="e">
        <f>_xlfn.XLOOKUP(Tabla1[[#This Row],[Ean Normalizado]],Consumos!A:A,Consumos!E:E)</f>
        <v>#VALUE!</v>
      </c>
      <c r="R3970" s="38" t="e">
        <f>_xlfn.XLOOKUP(Tabla1[[#This Row],[Ean Normalizado]],tabla_consumos[EAN],tabla_consumos[UM])</f>
        <v>#VALUE!</v>
      </c>
      <c r="S3970" s="38" t="e">
        <f>Tabla1[[#This Row],[StockDisp]]*Tabla1[[#This Row],[UM producto]]</f>
        <v>#VALUE!</v>
      </c>
    </row>
    <row r="3971" spans="1:19" x14ac:dyDescent="0.35">
      <c r="A3971" s="5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6"/>
      <c r="P3971" s="23" t="e">
        <f>TRIM(Tabla1[[#This Row],[Articulo]])</f>
        <v>#VALUE!</v>
      </c>
      <c r="Q3971" s="23" t="e">
        <f>_xlfn.XLOOKUP(Tabla1[[#This Row],[Ean Normalizado]],Consumos!A:A,Consumos!E:E)</f>
        <v>#VALUE!</v>
      </c>
      <c r="R3971" s="38" t="e">
        <f>_xlfn.XLOOKUP(Tabla1[[#This Row],[Ean Normalizado]],tabla_consumos[EAN],tabla_consumos[UM])</f>
        <v>#VALUE!</v>
      </c>
      <c r="S3971" s="38" t="e">
        <f>Tabla1[[#This Row],[StockDisp]]*Tabla1[[#This Row],[UM producto]]</f>
        <v>#VALUE!</v>
      </c>
    </row>
    <row r="3972" spans="1:19" x14ac:dyDescent="0.35">
      <c r="A3972" s="5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6"/>
      <c r="P3972" s="23" t="e">
        <f>TRIM(Tabla1[[#This Row],[Articulo]])</f>
        <v>#VALUE!</v>
      </c>
      <c r="Q3972" s="23" t="e">
        <f>_xlfn.XLOOKUP(Tabla1[[#This Row],[Ean Normalizado]],Consumos!A:A,Consumos!E:E)</f>
        <v>#VALUE!</v>
      </c>
      <c r="R3972" s="38" t="e">
        <f>_xlfn.XLOOKUP(Tabla1[[#This Row],[Ean Normalizado]],tabla_consumos[EAN],tabla_consumos[UM])</f>
        <v>#VALUE!</v>
      </c>
      <c r="S3972" s="38" t="e">
        <f>Tabla1[[#This Row],[StockDisp]]*Tabla1[[#This Row],[UM producto]]</f>
        <v>#VALUE!</v>
      </c>
    </row>
    <row r="3973" spans="1:19" x14ac:dyDescent="0.35">
      <c r="A3973" s="5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6"/>
      <c r="P3973" s="23" t="e">
        <f>TRIM(Tabla1[[#This Row],[Articulo]])</f>
        <v>#VALUE!</v>
      </c>
      <c r="Q3973" s="23" t="e">
        <f>_xlfn.XLOOKUP(Tabla1[[#This Row],[Ean Normalizado]],Consumos!A:A,Consumos!E:E)</f>
        <v>#VALUE!</v>
      </c>
      <c r="R3973" s="38" t="e">
        <f>_xlfn.XLOOKUP(Tabla1[[#This Row],[Ean Normalizado]],tabla_consumos[EAN],tabla_consumos[UM])</f>
        <v>#VALUE!</v>
      </c>
      <c r="S3973" s="38" t="e">
        <f>Tabla1[[#This Row],[StockDisp]]*Tabla1[[#This Row],[UM producto]]</f>
        <v>#VALUE!</v>
      </c>
    </row>
    <row r="3974" spans="1:19" x14ac:dyDescent="0.35">
      <c r="A3974" s="5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6"/>
      <c r="P3974" s="23" t="e">
        <f>TRIM(Tabla1[[#This Row],[Articulo]])</f>
        <v>#VALUE!</v>
      </c>
      <c r="Q3974" s="23" t="e">
        <f>_xlfn.XLOOKUP(Tabla1[[#This Row],[Ean Normalizado]],Consumos!A:A,Consumos!E:E)</f>
        <v>#VALUE!</v>
      </c>
      <c r="R3974" s="38" t="e">
        <f>_xlfn.XLOOKUP(Tabla1[[#This Row],[Ean Normalizado]],tabla_consumos[EAN],tabla_consumos[UM])</f>
        <v>#VALUE!</v>
      </c>
      <c r="S3974" s="38" t="e">
        <f>Tabla1[[#This Row],[StockDisp]]*Tabla1[[#This Row],[UM producto]]</f>
        <v>#VALUE!</v>
      </c>
    </row>
    <row r="3975" spans="1:19" x14ac:dyDescent="0.35">
      <c r="A3975" s="5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6"/>
      <c r="P3975" s="23" t="e">
        <f>TRIM(Tabla1[[#This Row],[Articulo]])</f>
        <v>#VALUE!</v>
      </c>
      <c r="Q3975" s="23" t="e">
        <f>_xlfn.XLOOKUP(Tabla1[[#This Row],[Ean Normalizado]],Consumos!A:A,Consumos!E:E)</f>
        <v>#VALUE!</v>
      </c>
      <c r="R3975" s="38" t="e">
        <f>_xlfn.XLOOKUP(Tabla1[[#This Row],[Ean Normalizado]],tabla_consumos[EAN],tabla_consumos[UM])</f>
        <v>#VALUE!</v>
      </c>
      <c r="S3975" s="38" t="e">
        <f>Tabla1[[#This Row],[StockDisp]]*Tabla1[[#This Row],[UM producto]]</f>
        <v>#VALUE!</v>
      </c>
    </row>
    <row r="3976" spans="1:19" x14ac:dyDescent="0.35">
      <c r="A3976" s="5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6"/>
      <c r="P3976" s="23" t="e">
        <f>TRIM(Tabla1[[#This Row],[Articulo]])</f>
        <v>#VALUE!</v>
      </c>
      <c r="Q3976" s="23" t="e">
        <f>_xlfn.XLOOKUP(Tabla1[[#This Row],[Ean Normalizado]],Consumos!A:A,Consumos!E:E)</f>
        <v>#VALUE!</v>
      </c>
      <c r="R3976" s="38" t="e">
        <f>_xlfn.XLOOKUP(Tabla1[[#This Row],[Ean Normalizado]],tabla_consumos[EAN],tabla_consumos[UM])</f>
        <v>#VALUE!</v>
      </c>
      <c r="S3976" s="38" t="e">
        <f>Tabla1[[#This Row],[StockDisp]]*Tabla1[[#This Row],[UM producto]]</f>
        <v>#VALUE!</v>
      </c>
    </row>
    <row r="3977" spans="1:19" x14ac:dyDescent="0.35">
      <c r="A3977" s="5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6"/>
      <c r="P3977" s="23" t="e">
        <f>TRIM(Tabla1[[#This Row],[Articulo]])</f>
        <v>#VALUE!</v>
      </c>
      <c r="Q3977" s="23" t="e">
        <f>_xlfn.XLOOKUP(Tabla1[[#This Row],[Ean Normalizado]],Consumos!A:A,Consumos!E:E)</f>
        <v>#VALUE!</v>
      </c>
      <c r="R3977" s="38" t="e">
        <f>_xlfn.XLOOKUP(Tabla1[[#This Row],[Ean Normalizado]],tabla_consumos[EAN],tabla_consumos[UM])</f>
        <v>#VALUE!</v>
      </c>
      <c r="S3977" s="38" t="e">
        <f>Tabla1[[#This Row],[StockDisp]]*Tabla1[[#This Row],[UM producto]]</f>
        <v>#VALUE!</v>
      </c>
    </row>
    <row r="3978" spans="1:19" x14ac:dyDescent="0.35">
      <c r="A3978" s="5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6"/>
      <c r="P3978" s="23" t="e">
        <f>TRIM(Tabla1[[#This Row],[Articulo]])</f>
        <v>#VALUE!</v>
      </c>
      <c r="Q3978" s="23" t="e">
        <f>_xlfn.XLOOKUP(Tabla1[[#This Row],[Ean Normalizado]],Consumos!A:A,Consumos!E:E)</f>
        <v>#VALUE!</v>
      </c>
      <c r="R3978" s="38" t="e">
        <f>_xlfn.XLOOKUP(Tabla1[[#This Row],[Ean Normalizado]],tabla_consumos[EAN],tabla_consumos[UM])</f>
        <v>#VALUE!</v>
      </c>
      <c r="S3978" s="38" t="e">
        <f>Tabla1[[#This Row],[StockDisp]]*Tabla1[[#This Row],[UM producto]]</f>
        <v>#VALUE!</v>
      </c>
    </row>
    <row r="3979" spans="1:19" x14ac:dyDescent="0.35">
      <c r="A3979" s="5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6"/>
      <c r="P3979" s="23" t="e">
        <f>TRIM(Tabla1[[#This Row],[Articulo]])</f>
        <v>#VALUE!</v>
      </c>
      <c r="Q3979" s="23" t="e">
        <f>_xlfn.XLOOKUP(Tabla1[[#This Row],[Ean Normalizado]],Consumos!A:A,Consumos!E:E)</f>
        <v>#VALUE!</v>
      </c>
      <c r="R3979" s="38" t="e">
        <f>_xlfn.XLOOKUP(Tabla1[[#This Row],[Ean Normalizado]],tabla_consumos[EAN],tabla_consumos[UM])</f>
        <v>#VALUE!</v>
      </c>
      <c r="S3979" s="38" t="e">
        <f>Tabla1[[#This Row],[StockDisp]]*Tabla1[[#This Row],[UM producto]]</f>
        <v>#VALUE!</v>
      </c>
    </row>
    <row r="3980" spans="1:19" x14ac:dyDescent="0.35">
      <c r="A3980" s="5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6"/>
      <c r="P3980" s="23" t="e">
        <f>TRIM(Tabla1[[#This Row],[Articulo]])</f>
        <v>#VALUE!</v>
      </c>
      <c r="Q3980" s="23" t="e">
        <f>_xlfn.XLOOKUP(Tabla1[[#This Row],[Ean Normalizado]],Consumos!A:A,Consumos!E:E)</f>
        <v>#VALUE!</v>
      </c>
      <c r="R3980" s="38" t="e">
        <f>_xlfn.XLOOKUP(Tabla1[[#This Row],[Ean Normalizado]],tabla_consumos[EAN],tabla_consumos[UM])</f>
        <v>#VALUE!</v>
      </c>
      <c r="S3980" s="38" t="e">
        <f>Tabla1[[#This Row],[StockDisp]]*Tabla1[[#This Row],[UM producto]]</f>
        <v>#VALUE!</v>
      </c>
    </row>
    <row r="3981" spans="1:19" x14ac:dyDescent="0.35">
      <c r="A3981" s="5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6"/>
      <c r="P3981" s="23" t="e">
        <f>TRIM(Tabla1[[#This Row],[Articulo]])</f>
        <v>#VALUE!</v>
      </c>
      <c r="Q3981" s="23" t="e">
        <f>_xlfn.XLOOKUP(Tabla1[[#This Row],[Ean Normalizado]],Consumos!A:A,Consumos!E:E)</f>
        <v>#VALUE!</v>
      </c>
      <c r="R3981" s="38" t="e">
        <f>_xlfn.XLOOKUP(Tabla1[[#This Row],[Ean Normalizado]],tabla_consumos[EAN],tabla_consumos[UM])</f>
        <v>#VALUE!</v>
      </c>
      <c r="S3981" s="38" t="e">
        <f>Tabla1[[#This Row],[StockDisp]]*Tabla1[[#This Row],[UM producto]]</f>
        <v>#VALUE!</v>
      </c>
    </row>
    <row r="3982" spans="1:19" x14ac:dyDescent="0.35">
      <c r="A3982" s="5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6"/>
      <c r="P3982" s="23" t="e">
        <f>TRIM(Tabla1[[#This Row],[Articulo]])</f>
        <v>#VALUE!</v>
      </c>
      <c r="Q3982" s="23" t="e">
        <f>_xlfn.XLOOKUP(Tabla1[[#This Row],[Ean Normalizado]],Consumos!A:A,Consumos!E:E)</f>
        <v>#VALUE!</v>
      </c>
      <c r="R3982" s="38" t="e">
        <f>_xlfn.XLOOKUP(Tabla1[[#This Row],[Ean Normalizado]],tabla_consumos[EAN],tabla_consumos[UM])</f>
        <v>#VALUE!</v>
      </c>
      <c r="S3982" s="38" t="e">
        <f>Tabla1[[#This Row],[StockDisp]]*Tabla1[[#This Row],[UM producto]]</f>
        <v>#VALUE!</v>
      </c>
    </row>
    <row r="3983" spans="1:19" x14ac:dyDescent="0.35">
      <c r="A3983" s="5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6"/>
      <c r="P3983" s="23" t="e">
        <f>TRIM(Tabla1[[#This Row],[Articulo]])</f>
        <v>#VALUE!</v>
      </c>
      <c r="Q3983" s="23" t="e">
        <f>_xlfn.XLOOKUP(Tabla1[[#This Row],[Ean Normalizado]],Consumos!A:A,Consumos!E:E)</f>
        <v>#VALUE!</v>
      </c>
      <c r="R3983" s="38" t="e">
        <f>_xlfn.XLOOKUP(Tabla1[[#This Row],[Ean Normalizado]],tabla_consumos[EAN],tabla_consumos[UM])</f>
        <v>#VALUE!</v>
      </c>
      <c r="S3983" s="38" t="e">
        <f>Tabla1[[#This Row],[StockDisp]]*Tabla1[[#This Row],[UM producto]]</f>
        <v>#VALUE!</v>
      </c>
    </row>
    <row r="3984" spans="1:19" x14ac:dyDescent="0.35">
      <c r="A3984" s="5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6"/>
      <c r="P3984" s="23" t="e">
        <f>TRIM(Tabla1[[#This Row],[Articulo]])</f>
        <v>#VALUE!</v>
      </c>
      <c r="Q3984" s="23" t="e">
        <f>_xlfn.XLOOKUP(Tabla1[[#This Row],[Ean Normalizado]],Consumos!A:A,Consumos!E:E)</f>
        <v>#VALUE!</v>
      </c>
      <c r="R3984" s="38" t="e">
        <f>_xlfn.XLOOKUP(Tabla1[[#This Row],[Ean Normalizado]],tabla_consumos[EAN],tabla_consumos[UM])</f>
        <v>#VALUE!</v>
      </c>
      <c r="S3984" s="38" t="e">
        <f>Tabla1[[#This Row],[StockDisp]]*Tabla1[[#This Row],[UM producto]]</f>
        <v>#VALUE!</v>
      </c>
    </row>
    <row r="3985" spans="1:19" x14ac:dyDescent="0.35">
      <c r="A3985" s="5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6"/>
      <c r="P3985" s="23" t="e">
        <f>TRIM(Tabla1[[#This Row],[Articulo]])</f>
        <v>#VALUE!</v>
      </c>
      <c r="Q3985" s="23" t="e">
        <f>_xlfn.XLOOKUP(Tabla1[[#This Row],[Ean Normalizado]],Consumos!A:A,Consumos!E:E)</f>
        <v>#VALUE!</v>
      </c>
      <c r="R3985" s="38" t="e">
        <f>_xlfn.XLOOKUP(Tabla1[[#This Row],[Ean Normalizado]],tabla_consumos[EAN],tabla_consumos[UM])</f>
        <v>#VALUE!</v>
      </c>
      <c r="S3985" s="38" t="e">
        <f>Tabla1[[#This Row],[StockDisp]]*Tabla1[[#This Row],[UM producto]]</f>
        <v>#VALUE!</v>
      </c>
    </row>
    <row r="3986" spans="1:19" x14ac:dyDescent="0.35">
      <c r="A3986" s="5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6"/>
      <c r="P3986" s="23" t="e">
        <f>TRIM(Tabla1[[#This Row],[Articulo]])</f>
        <v>#VALUE!</v>
      </c>
      <c r="Q3986" s="23" t="e">
        <f>_xlfn.XLOOKUP(Tabla1[[#This Row],[Ean Normalizado]],Consumos!A:A,Consumos!E:E)</f>
        <v>#VALUE!</v>
      </c>
      <c r="R3986" s="38" t="e">
        <f>_xlfn.XLOOKUP(Tabla1[[#This Row],[Ean Normalizado]],tabla_consumos[EAN],tabla_consumos[UM])</f>
        <v>#VALUE!</v>
      </c>
      <c r="S3986" s="38" t="e">
        <f>Tabla1[[#This Row],[StockDisp]]*Tabla1[[#This Row],[UM producto]]</f>
        <v>#VALUE!</v>
      </c>
    </row>
    <row r="3987" spans="1:19" x14ac:dyDescent="0.35">
      <c r="A3987" s="5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6"/>
      <c r="P3987" s="23" t="e">
        <f>TRIM(Tabla1[[#This Row],[Articulo]])</f>
        <v>#VALUE!</v>
      </c>
      <c r="Q3987" s="23" t="e">
        <f>_xlfn.XLOOKUP(Tabla1[[#This Row],[Ean Normalizado]],Consumos!A:A,Consumos!E:E)</f>
        <v>#VALUE!</v>
      </c>
      <c r="R3987" s="38" t="e">
        <f>_xlfn.XLOOKUP(Tabla1[[#This Row],[Ean Normalizado]],tabla_consumos[EAN],tabla_consumos[UM])</f>
        <v>#VALUE!</v>
      </c>
      <c r="S3987" s="38" t="e">
        <f>Tabla1[[#This Row],[StockDisp]]*Tabla1[[#This Row],[UM producto]]</f>
        <v>#VALUE!</v>
      </c>
    </row>
    <row r="3988" spans="1:19" x14ac:dyDescent="0.35">
      <c r="A3988" s="5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6"/>
      <c r="P3988" s="23" t="e">
        <f>TRIM(Tabla1[[#This Row],[Articulo]])</f>
        <v>#VALUE!</v>
      </c>
      <c r="Q3988" s="23" t="e">
        <f>_xlfn.XLOOKUP(Tabla1[[#This Row],[Ean Normalizado]],Consumos!A:A,Consumos!E:E)</f>
        <v>#VALUE!</v>
      </c>
      <c r="R3988" s="38" t="e">
        <f>_xlfn.XLOOKUP(Tabla1[[#This Row],[Ean Normalizado]],tabla_consumos[EAN],tabla_consumos[UM])</f>
        <v>#VALUE!</v>
      </c>
      <c r="S3988" s="38" t="e">
        <f>Tabla1[[#This Row],[StockDisp]]*Tabla1[[#This Row],[UM producto]]</f>
        <v>#VALUE!</v>
      </c>
    </row>
    <row r="3989" spans="1:19" x14ac:dyDescent="0.35">
      <c r="A3989" s="5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6"/>
      <c r="P3989" s="23" t="e">
        <f>TRIM(Tabla1[[#This Row],[Articulo]])</f>
        <v>#VALUE!</v>
      </c>
      <c r="Q3989" s="23" t="e">
        <f>_xlfn.XLOOKUP(Tabla1[[#This Row],[Ean Normalizado]],Consumos!A:A,Consumos!E:E)</f>
        <v>#VALUE!</v>
      </c>
      <c r="R3989" s="38" t="e">
        <f>_xlfn.XLOOKUP(Tabla1[[#This Row],[Ean Normalizado]],tabla_consumos[EAN],tabla_consumos[UM])</f>
        <v>#VALUE!</v>
      </c>
      <c r="S3989" s="38" t="e">
        <f>Tabla1[[#This Row],[StockDisp]]*Tabla1[[#This Row],[UM producto]]</f>
        <v>#VALUE!</v>
      </c>
    </row>
    <row r="3990" spans="1:19" x14ac:dyDescent="0.35">
      <c r="A3990" s="5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6"/>
      <c r="P3990" s="23" t="e">
        <f>TRIM(Tabla1[[#This Row],[Articulo]])</f>
        <v>#VALUE!</v>
      </c>
      <c r="Q3990" s="23" t="e">
        <f>_xlfn.XLOOKUP(Tabla1[[#This Row],[Ean Normalizado]],Consumos!A:A,Consumos!E:E)</f>
        <v>#VALUE!</v>
      </c>
      <c r="R3990" s="38" t="e">
        <f>_xlfn.XLOOKUP(Tabla1[[#This Row],[Ean Normalizado]],tabla_consumos[EAN],tabla_consumos[UM])</f>
        <v>#VALUE!</v>
      </c>
      <c r="S3990" s="38" t="e">
        <f>Tabla1[[#This Row],[StockDisp]]*Tabla1[[#This Row],[UM producto]]</f>
        <v>#VALUE!</v>
      </c>
    </row>
    <row r="3991" spans="1:19" x14ac:dyDescent="0.35">
      <c r="A3991" s="5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6"/>
      <c r="P3991" s="23" t="e">
        <f>TRIM(Tabla1[[#This Row],[Articulo]])</f>
        <v>#VALUE!</v>
      </c>
      <c r="Q3991" s="23" t="e">
        <f>_xlfn.XLOOKUP(Tabla1[[#This Row],[Ean Normalizado]],Consumos!A:A,Consumos!E:E)</f>
        <v>#VALUE!</v>
      </c>
      <c r="R3991" s="38" t="e">
        <f>_xlfn.XLOOKUP(Tabla1[[#This Row],[Ean Normalizado]],tabla_consumos[EAN],tabla_consumos[UM])</f>
        <v>#VALUE!</v>
      </c>
      <c r="S3991" s="38" t="e">
        <f>Tabla1[[#This Row],[StockDisp]]*Tabla1[[#This Row],[UM producto]]</f>
        <v>#VALUE!</v>
      </c>
    </row>
    <row r="3992" spans="1:19" x14ac:dyDescent="0.35">
      <c r="A3992" s="5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6"/>
      <c r="P3992" s="23" t="e">
        <f>TRIM(Tabla1[[#This Row],[Articulo]])</f>
        <v>#VALUE!</v>
      </c>
      <c r="Q3992" s="23" t="e">
        <f>_xlfn.XLOOKUP(Tabla1[[#This Row],[Ean Normalizado]],Consumos!A:A,Consumos!E:E)</f>
        <v>#VALUE!</v>
      </c>
      <c r="R3992" s="38" t="e">
        <f>_xlfn.XLOOKUP(Tabla1[[#This Row],[Ean Normalizado]],tabla_consumos[EAN],tabla_consumos[UM])</f>
        <v>#VALUE!</v>
      </c>
      <c r="S3992" s="38" t="e">
        <f>Tabla1[[#This Row],[StockDisp]]*Tabla1[[#This Row],[UM producto]]</f>
        <v>#VALUE!</v>
      </c>
    </row>
    <row r="3993" spans="1:19" x14ac:dyDescent="0.35">
      <c r="A3993" s="5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6"/>
      <c r="P3993" s="23" t="e">
        <f>TRIM(Tabla1[[#This Row],[Articulo]])</f>
        <v>#VALUE!</v>
      </c>
      <c r="Q3993" s="23" t="e">
        <f>_xlfn.XLOOKUP(Tabla1[[#This Row],[Ean Normalizado]],Consumos!A:A,Consumos!E:E)</f>
        <v>#VALUE!</v>
      </c>
      <c r="R3993" s="38" t="e">
        <f>_xlfn.XLOOKUP(Tabla1[[#This Row],[Ean Normalizado]],tabla_consumos[EAN],tabla_consumos[UM])</f>
        <v>#VALUE!</v>
      </c>
      <c r="S3993" s="38" t="e">
        <f>Tabla1[[#This Row],[StockDisp]]*Tabla1[[#This Row],[UM producto]]</f>
        <v>#VALUE!</v>
      </c>
    </row>
    <row r="3994" spans="1:19" x14ac:dyDescent="0.35">
      <c r="A3994" s="5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6"/>
      <c r="P3994" s="23" t="e">
        <f>TRIM(Tabla1[[#This Row],[Articulo]])</f>
        <v>#VALUE!</v>
      </c>
      <c r="Q3994" s="23" t="e">
        <f>_xlfn.XLOOKUP(Tabla1[[#This Row],[Ean Normalizado]],Consumos!A:A,Consumos!E:E)</f>
        <v>#VALUE!</v>
      </c>
      <c r="R3994" s="38" t="e">
        <f>_xlfn.XLOOKUP(Tabla1[[#This Row],[Ean Normalizado]],tabla_consumos[EAN],tabla_consumos[UM])</f>
        <v>#VALUE!</v>
      </c>
      <c r="S3994" s="38" t="e">
        <f>Tabla1[[#This Row],[StockDisp]]*Tabla1[[#This Row],[UM producto]]</f>
        <v>#VALUE!</v>
      </c>
    </row>
    <row r="3995" spans="1:19" x14ac:dyDescent="0.35">
      <c r="A3995" s="5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6"/>
      <c r="P3995" s="23" t="e">
        <f>TRIM(Tabla1[[#This Row],[Articulo]])</f>
        <v>#VALUE!</v>
      </c>
      <c r="Q3995" s="23" t="e">
        <f>_xlfn.XLOOKUP(Tabla1[[#This Row],[Ean Normalizado]],Consumos!A:A,Consumos!E:E)</f>
        <v>#VALUE!</v>
      </c>
      <c r="R3995" s="38" t="e">
        <f>_xlfn.XLOOKUP(Tabla1[[#This Row],[Ean Normalizado]],tabla_consumos[EAN],tabla_consumos[UM])</f>
        <v>#VALUE!</v>
      </c>
      <c r="S3995" s="38" t="e">
        <f>Tabla1[[#This Row],[StockDisp]]*Tabla1[[#This Row],[UM producto]]</f>
        <v>#VALUE!</v>
      </c>
    </row>
    <row r="3996" spans="1:19" x14ac:dyDescent="0.35">
      <c r="A3996" s="5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6"/>
      <c r="P3996" s="23" t="e">
        <f>TRIM(Tabla1[[#This Row],[Articulo]])</f>
        <v>#VALUE!</v>
      </c>
      <c r="Q3996" s="23" t="e">
        <f>_xlfn.XLOOKUP(Tabla1[[#This Row],[Ean Normalizado]],Consumos!A:A,Consumos!E:E)</f>
        <v>#VALUE!</v>
      </c>
      <c r="R3996" s="38" t="e">
        <f>_xlfn.XLOOKUP(Tabla1[[#This Row],[Ean Normalizado]],tabla_consumos[EAN],tabla_consumos[UM])</f>
        <v>#VALUE!</v>
      </c>
      <c r="S3996" s="38" t="e">
        <f>Tabla1[[#This Row],[StockDisp]]*Tabla1[[#This Row],[UM producto]]</f>
        <v>#VALUE!</v>
      </c>
    </row>
    <row r="3997" spans="1:19" x14ac:dyDescent="0.35">
      <c r="A3997" s="5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6"/>
      <c r="P3997" s="23" t="e">
        <f>TRIM(Tabla1[[#This Row],[Articulo]])</f>
        <v>#VALUE!</v>
      </c>
      <c r="Q3997" s="23" t="e">
        <f>_xlfn.XLOOKUP(Tabla1[[#This Row],[Ean Normalizado]],Consumos!A:A,Consumos!E:E)</f>
        <v>#VALUE!</v>
      </c>
      <c r="R3997" s="38" t="e">
        <f>_xlfn.XLOOKUP(Tabla1[[#This Row],[Ean Normalizado]],tabla_consumos[EAN],tabla_consumos[UM])</f>
        <v>#VALUE!</v>
      </c>
      <c r="S3997" s="38" t="e">
        <f>Tabla1[[#This Row],[StockDisp]]*Tabla1[[#This Row],[UM producto]]</f>
        <v>#VALUE!</v>
      </c>
    </row>
    <row r="3998" spans="1:19" x14ac:dyDescent="0.35">
      <c r="A3998" s="5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6"/>
      <c r="P3998" s="23" t="e">
        <f>TRIM(Tabla1[[#This Row],[Articulo]])</f>
        <v>#VALUE!</v>
      </c>
      <c r="Q3998" s="23" t="e">
        <f>_xlfn.XLOOKUP(Tabla1[[#This Row],[Ean Normalizado]],Consumos!A:A,Consumos!E:E)</f>
        <v>#VALUE!</v>
      </c>
      <c r="R3998" s="38" t="e">
        <f>_xlfn.XLOOKUP(Tabla1[[#This Row],[Ean Normalizado]],tabla_consumos[EAN],tabla_consumos[UM])</f>
        <v>#VALUE!</v>
      </c>
      <c r="S3998" s="38" t="e">
        <f>Tabla1[[#This Row],[StockDisp]]*Tabla1[[#This Row],[UM producto]]</f>
        <v>#VALUE!</v>
      </c>
    </row>
    <row r="3999" spans="1:19" x14ac:dyDescent="0.35">
      <c r="A3999" s="5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6"/>
      <c r="P3999" s="23" t="e">
        <f>TRIM(Tabla1[[#This Row],[Articulo]])</f>
        <v>#VALUE!</v>
      </c>
      <c r="Q3999" s="23" t="e">
        <f>_xlfn.XLOOKUP(Tabla1[[#This Row],[Ean Normalizado]],Consumos!A:A,Consumos!E:E)</f>
        <v>#VALUE!</v>
      </c>
      <c r="R3999" s="38" t="e">
        <f>_xlfn.XLOOKUP(Tabla1[[#This Row],[Ean Normalizado]],tabla_consumos[EAN],tabla_consumos[UM])</f>
        <v>#VALUE!</v>
      </c>
      <c r="S3999" s="38" t="e">
        <f>Tabla1[[#This Row],[StockDisp]]*Tabla1[[#This Row],[UM producto]]</f>
        <v>#VALUE!</v>
      </c>
    </row>
    <row r="4000" spans="1:19" x14ac:dyDescent="0.35">
      <c r="A4000" s="5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6"/>
      <c r="P4000" s="23" t="e">
        <f>TRIM(Tabla1[[#This Row],[Articulo]])</f>
        <v>#VALUE!</v>
      </c>
      <c r="Q4000" s="23" t="e">
        <f>_xlfn.XLOOKUP(Tabla1[[#This Row],[Ean Normalizado]],Consumos!A:A,Consumos!E:E)</f>
        <v>#VALUE!</v>
      </c>
      <c r="R4000" s="38" t="e">
        <f>_xlfn.XLOOKUP(Tabla1[[#This Row],[Ean Normalizado]],tabla_consumos[EAN],tabla_consumos[UM])</f>
        <v>#VALUE!</v>
      </c>
      <c r="S4000" s="38" t="e">
        <f>Tabla1[[#This Row],[StockDisp]]*Tabla1[[#This Row],[UM producto]]</f>
        <v>#VALUE!</v>
      </c>
    </row>
    <row r="4001" spans="1:19" x14ac:dyDescent="0.35">
      <c r="A4001" s="5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6"/>
      <c r="P4001" s="23" t="e">
        <f>TRIM(Tabla1[[#This Row],[Articulo]])</f>
        <v>#VALUE!</v>
      </c>
      <c r="Q4001" s="23" t="e">
        <f>_xlfn.XLOOKUP(Tabla1[[#This Row],[Ean Normalizado]],Consumos!A:A,Consumos!E:E)</f>
        <v>#VALUE!</v>
      </c>
      <c r="R4001" s="38" t="e">
        <f>_xlfn.XLOOKUP(Tabla1[[#This Row],[Ean Normalizado]],tabla_consumos[EAN],tabla_consumos[UM])</f>
        <v>#VALUE!</v>
      </c>
      <c r="S4001" s="38" t="e">
        <f>Tabla1[[#This Row],[StockDisp]]*Tabla1[[#This Row],[UM producto]]</f>
        <v>#VALUE!</v>
      </c>
    </row>
    <row r="4002" spans="1:19" x14ac:dyDescent="0.35">
      <c r="A4002" s="5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6"/>
      <c r="P4002" s="23" t="e">
        <f>TRIM(Tabla1[[#This Row],[Articulo]])</f>
        <v>#VALUE!</v>
      </c>
      <c r="Q4002" s="23" t="e">
        <f>_xlfn.XLOOKUP(Tabla1[[#This Row],[Ean Normalizado]],Consumos!A:A,Consumos!E:E)</f>
        <v>#VALUE!</v>
      </c>
      <c r="R4002" s="38" t="e">
        <f>_xlfn.XLOOKUP(Tabla1[[#This Row],[Ean Normalizado]],tabla_consumos[EAN],tabla_consumos[UM])</f>
        <v>#VALUE!</v>
      </c>
      <c r="S4002" s="38" t="e">
        <f>Tabla1[[#This Row],[StockDisp]]*Tabla1[[#This Row],[UM producto]]</f>
        <v>#VALUE!</v>
      </c>
    </row>
    <row r="4003" spans="1:19" x14ac:dyDescent="0.35">
      <c r="A4003" s="5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6"/>
      <c r="P4003" s="23" t="e">
        <f>TRIM(Tabla1[[#This Row],[Articulo]])</f>
        <v>#VALUE!</v>
      </c>
      <c r="Q4003" s="23" t="e">
        <f>_xlfn.XLOOKUP(Tabla1[[#This Row],[Ean Normalizado]],Consumos!A:A,Consumos!E:E)</f>
        <v>#VALUE!</v>
      </c>
      <c r="R4003" s="38" t="e">
        <f>_xlfn.XLOOKUP(Tabla1[[#This Row],[Ean Normalizado]],tabla_consumos[EAN],tabla_consumos[UM])</f>
        <v>#VALUE!</v>
      </c>
      <c r="S4003" s="38" t="e">
        <f>Tabla1[[#This Row],[StockDisp]]*Tabla1[[#This Row],[UM producto]]</f>
        <v>#VALUE!</v>
      </c>
    </row>
    <row r="4004" spans="1:19" x14ac:dyDescent="0.35">
      <c r="A4004" s="5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6"/>
      <c r="P4004" s="23" t="e">
        <f>TRIM(Tabla1[[#This Row],[Articulo]])</f>
        <v>#VALUE!</v>
      </c>
      <c r="Q4004" s="23" t="e">
        <f>_xlfn.XLOOKUP(Tabla1[[#This Row],[Ean Normalizado]],Consumos!A:A,Consumos!E:E)</f>
        <v>#VALUE!</v>
      </c>
      <c r="R4004" s="38" t="e">
        <f>_xlfn.XLOOKUP(Tabla1[[#This Row],[Ean Normalizado]],tabla_consumos[EAN],tabla_consumos[UM])</f>
        <v>#VALUE!</v>
      </c>
      <c r="S4004" s="38" t="e">
        <f>Tabla1[[#This Row],[StockDisp]]*Tabla1[[#This Row],[UM producto]]</f>
        <v>#VALUE!</v>
      </c>
    </row>
    <row r="4005" spans="1:19" x14ac:dyDescent="0.35">
      <c r="A4005" s="5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6"/>
      <c r="P4005" s="23" t="e">
        <f>TRIM(Tabla1[[#This Row],[Articulo]])</f>
        <v>#VALUE!</v>
      </c>
      <c r="Q4005" s="23" t="e">
        <f>_xlfn.XLOOKUP(Tabla1[[#This Row],[Ean Normalizado]],Consumos!A:A,Consumos!E:E)</f>
        <v>#VALUE!</v>
      </c>
      <c r="R4005" s="38" t="e">
        <f>_xlfn.XLOOKUP(Tabla1[[#This Row],[Ean Normalizado]],tabla_consumos[EAN],tabla_consumos[UM])</f>
        <v>#VALUE!</v>
      </c>
      <c r="S4005" s="38" t="e">
        <f>Tabla1[[#This Row],[StockDisp]]*Tabla1[[#This Row],[UM producto]]</f>
        <v>#VALUE!</v>
      </c>
    </row>
    <row r="4006" spans="1:19" x14ac:dyDescent="0.35">
      <c r="A4006" s="5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6"/>
      <c r="P4006" s="23" t="e">
        <f>TRIM(Tabla1[[#This Row],[Articulo]])</f>
        <v>#VALUE!</v>
      </c>
      <c r="Q4006" s="23" t="e">
        <f>_xlfn.XLOOKUP(Tabla1[[#This Row],[Ean Normalizado]],Consumos!A:A,Consumos!E:E)</f>
        <v>#VALUE!</v>
      </c>
      <c r="R4006" s="38" t="e">
        <f>_xlfn.XLOOKUP(Tabla1[[#This Row],[Ean Normalizado]],tabla_consumos[EAN],tabla_consumos[UM])</f>
        <v>#VALUE!</v>
      </c>
      <c r="S4006" s="38" t="e">
        <f>Tabla1[[#This Row],[StockDisp]]*Tabla1[[#This Row],[UM producto]]</f>
        <v>#VALUE!</v>
      </c>
    </row>
    <row r="4007" spans="1:19" x14ac:dyDescent="0.35">
      <c r="A4007" s="5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6"/>
      <c r="P4007" s="23" t="e">
        <f>TRIM(Tabla1[[#This Row],[Articulo]])</f>
        <v>#VALUE!</v>
      </c>
      <c r="Q4007" s="23" t="e">
        <f>_xlfn.XLOOKUP(Tabla1[[#This Row],[Ean Normalizado]],Consumos!A:A,Consumos!E:E)</f>
        <v>#VALUE!</v>
      </c>
      <c r="R4007" s="38" t="e">
        <f>_xlfn.XLOOKUP(Tabla1[[#This Row],[Ean Normalizado]],tabla_consumos[EAN],tabla_consumos[UM])</f>
        <v>#VALUE!</v>
      </c>
      <c r="S4007" s="38" t="e">
        <f>Tabla1[[#This Row],[StockDisp]]*Tabla1[[#This Row],[UM producto]]</f>
        <v>#VALUE!</v>
      </c>
    </row>
    <row r="4008" spans="1:19" x14ac:dyDescent="0.35">
      <c r="A4008" s="5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6"/>
      <c r="P4008" s="23" t="e">
        <f>TRIM(Tabla1[[#This Row],[Articulo]])</f>
        <v>#VALUE!</v>
      </c>
      <c r="Q4008" s="23" t="e">
        <f>_xlfn.XLOOKUP(Tabla1[[#This Row],[Ean Normalizado]],Consumos!A:A,Consumos!E:E)</f>
        <v>#VALUE!</v>
      </c>
      <c r="R4008" s="38" t="e">
        <f>_xlfn.XLOOKUP(Tabla1[[#This Row],[Ean Normalizado]],tabla_consumos[EAN],tabla_consumos[UM])</f>
        <v>#VALUE!</v>
      </c>
      <c r="S4008" s="38" t="e">
        <f>Tabla1[[#This Row],[StockDisp]]*Tabla1[[#This Row],[UM producto]]</f>
        <v>#VALUE!</v>
      </c>
    </row>
    <row r="4009" spans="1:19" x14ac:dyDescent="0.35">
      <c r="A4009" s="5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6"/>
      <c r="P4009" s="23" t="e">
        <f>TRIM(Tabla1[[#This Row],[Articulo]])</f>
        <v>#VALUE!</v>
      </c>
      <c r="Q4009" s="23" t="e">
        <f>_xlfn.XLOOKUP(Tabla1[[#This Row],[Ean Normalizado]],Consumos!A:A,Consumos!E:E)</f>
        <v>#VALUE!</v>
      </c>
      <c r="R4009" s="38" t="e">
        <f>_xlfn.XLOOKUP(Tabla1[[#This Row],[Ean Normalizado]],tabla_consumos[EAN],tabla_consumos[UM])</f>
        <v>#VALUE!</v>
      </c>
      <c r="S4009" s="38" t="e">
        <f>Tabla1[[#This Row],[StockDisp]]*Tabla1[[#This Row],[UM producto]]</f>
        <v>#VALUE!</v>
      </c>
    </row>
    <row r="4010" spans="1:19" x14ac:dyDescent="0.35">
      <c r="A4010" s="5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6"/>
      <c r="P4010" s="23" t="e">
        <f>TRIM(Tabla1[[#This Row],[Articulo]])</f>
        <v>#VALUE!</v>
      </c>
      <c r="Q4010" s="23" t="e">
        <f>_xlfn.XLOOKUP(Tabla1[[#This Row],[Ean Normalizado]],Consumos!A:A,Consumos!E:E)</f>
        <v>#VALUE!</v>
      </c>
      <c r="R4010" s="38" t="e">
        <f>_xlfn.XLOOKUP(Tabla1[[#This Row],[Ean Normalizado]],tabla_consumos[EAN],tabla_consumos[UM])</f>
        <v>#VALUE!</v>
      </c>
      <c r="S4010" s="38" t="e">
        <f>Tabla1[[#This Row],[StockDisp]]*Tabla1[[#This Row],[UM producto]]</f>
        <v>#VALUE!</v>
      </c>
    </row>
    <row r="4011" spans="1:19" x14ac:dyDescent="0.35">
      <c r="A4011" s="5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6"/>
      <c r="P4011" s="23" t="e">
        <f>TRIM(Tabla1[[#This Row],[Articulo]])</f>
        <v>#VALUE!</v>
      </c>
      <c r="Q4011" s="23" t="e">
        <f>_xlfn.XLOOKUP(Tabla1[[#This Row],[Ean Normalizado]],Consumos!A:A,Consumos!E:E)</f>
        <v>#VALUE!</v>
      </c>
      <c r="R4011" s="38" t="e">
        <f>_xlfn.XLOOKUP(Tabla1[[#This Row],[Ean Normalizado]],tabla_consumos[EAN],tabla_consumos[UM])</f>
        <v>#VALUE!</v>
      </c>
      <c r="S4011" s="38" t="e">
        <f>Tabla1[[#This Row],[StockDisp]]*Tabla1[[#This Row],[UM producto]]</f>
        <v>#VALUE!</v>
      </c>
    </row>
    <row r="4012" spans="1:19" x14ac:dyDescent="0.35">
      <c r="A4012" s="5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6"/>
      <c r="P4012" s="23" t="e">
        <f>TRIM(Tabla1[[#This Row],[Articulo]])</f>
        <v>#VALUE!</v>
      </c>
      <c r="Q4012" s="23" t="e">
        <f>_xlfn.XLOOKUP(Tabla1[[#This Row],[Ean Normalizado]],Consumos!A:A,Consumos!E:E)</f>
        <v>#VALUE!</v>
      </c>
      <c r="R4012" s="38" t="e">
        <f>_xlfn.XLOOKUP(Tabla1[[#This Row],[Ean Normalizado]],tabla_consumos[EAN],tabla_consumos[UM])</f>
        <v>#VALUE!</v>
      </c>
      <c r="S4012" s="38" t="e">
        <f>Tabla1[[#This Row],[StockDisp]]*Tabla1[[#This Row],[UM producto]]</f>
        <v>#VALUE!</v>
      </c>
    </row>
    <row r="4013" spans="1:19" x14ac:dyDescent="0.35">
      <c r="A4013" s="5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6"/>
      <c r="P4013" s="23" t="e">
        <f>TRIM(Tabla1[[#This Row],[Articulo]])</f>
        <v>#VALUE!</v>
      </c>
      <c r="Q4013" s="23" t="e">
        <f>_xlfn.XLOOKUP(Tabla1[[#This Row],[Ean Normalizado]],Consumos!A:A,Consumos!E:E)</f>
        <v>#VALUE!</v>
      </c>
      <c r="R4013" s="38" t="e">
        <f>_xlfn.XLOOKUP(Tabla1[[#This Row],[Ean Normalizado]],tabla_consumos[EAN],tabla_consumos[UM])</f>
        <v>#VALUE!</v>
      </c>
      <c r="S4013" s="38" t="e">
        <f>Tabla1[[#This Row],[StockDisp]]*Tabla1[[#This Row],[UM producto]]</f>
        <v>#VALUE!</v>
      </c>
    </row>
    <row r="4014" spans="1:19" x14ac:dyDescent="0.35">
      <c r="A4014" s="5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6"/>
      <c r="P4014" s="23" t="e">
        <f>TRIM(Tabla1[[#This Row],[Articulo]])</f>
        <v>#VALUE!</v>
      </c>
      <c r="Q4014" s="23" t="e">
        <f>_xlfn.XLOOKUP(Tabla1[[#This Row],[Ean Normalizado]],Consumos!A:A,Consumos!E:E)</f>
        <v>#VALUE!</v>
      </c>
      <c r="R4014" s="38" t="e">
        <f>_xlfn.XLOOKUP(Tabla1[[#This Row],[Ean Normalizado]],tabla_consumos[EAN],tabla_consumos[UM])</f>
        <v>#VALUE!</v>
      </c>
      <c r="S4014" s="38" t="e">
        <f>Tabla1[[#This Row],[StockDisp]]*Tabla1[[#This Row],[UM producto]]</f>
        <v>#VALUE!</v>
      </c>
    </row>
    <row r="4015" spans="1:19" x14ac:dyDescent="0.35">
      <c r="A4015" s="5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6"/>
      <c r="P4015" s="23" t="e">
        <f>TRIM(Tabla1[[#This Row],[Articulo]])</f>
        <v>#VALUE!</v>
      </c>
      <c r="Q4015" s="23" t="e">
        <f>_xlfn.XLOOKUP(Tabla1[[#This Row],[Ean Normalizado]],Consumos!A:A,Consumos!E:E)</f>
        <v>#VALUE!</v>
      </c>
      <c r="R4015" s="38" t="e">
        <f>_xlfn.XLOOKUP(Tabla1[[#This Row],[Ean Normalizado]],tabla_consumos[EAN],tabla_consumos[UM])</f>
        <v>#VALUE!</v>
      </c>
      <c r="S4015" s="38" t="e">
        <f>Tabla1[[#This Row],[StockDisp]]*Tabla1[[#This Row],[UM producto]]</f>
        <v>#VALUE!</v>
      </c>
    </row>
    <row r="4016" spans="1:19" x14ac:dyDescent="0.35">
      <c r="A4016" s="5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6"/>
      <c r="P4016" s="23" t="e">
        <f>TRIM(Tabla1[[#This Row],[Articulo]])</f>
        <v>#VALUE!</v>
      </c>
      <c r="Q4016" s="23" t="e">
        <f>_xlfn.XLOOKUP(Tabla1[[#This Row],[Ean Normalizado]],Consumos!A:A,Consumos!E:E)</f>
        <v>#VALUE!</v>
      </c>
      <c r="R4016" s="38" t="e">
        <f>_xlfn.XLOOKUP(Tabla1[[#This Row],[Ean Normalizado]],tabla_consumos[EAN],tabla_consumos[UM])</f>
        <v>#VALUE!</v>
      </c>
      <c r="S4016" s="38" t="e">
        <f>Tabla1[[#This Row],[StockDisp]]*Tabla1[[#This Row],[UM producto]]</f>
        <v>#VALUE!</v>
      </c>
    </row>
    <row r="4017" spans="1:19" x14ac:dyDescent="0.35">
      <c r="A4017" s="5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6"/>
      <c r="P4017" s="23" t="e">
        <f>TRIM(Tabla1[[#This Row],[Articulo]])</f>
        <v>#VALUE!</v>
      </c>
      <c r="Q4017" s="23" t="e">
        <f>_xlfn.XLOOKUP(Tabla1[[#This Row],[Ean Normalizado]],Consumos!A:A,Consumos!E:E)</f>
        <v>#VALUE!</v>
      </c>
      <c r="R4017" s="38" t="e">
        <f>_xlfn.XLOOKUP(Tabla1[[#This Row],[Ean Normalizado]],tabla_consumos[EAN],tabla_consumos[UM])</f>
        <v>#VALUE!</v>
      </c>
      <c r="S4017" s="38" t="e">
        <f>Tabla1[[#This Row],[StockDisp]]*Tabla1[[#This Row],[UM producto]]</f>
        <v>#VALUE!</v>
      </c>
    </row>
    <row r="4018" spans="1:19" x14ac:dyDescent="0.35">
      <c r="A4018" s="5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6"/>
      <c r="P4018" s="23" t="e">
        <f>TRIM(Tabla1[[#This Row],[Articulo]])</f>
        <v>#VALUE!</v>
      </c>
      <c r="Q4018" s="23" t="e">
        <f>_xlfn.XLOOKUP(Tabla1[[#This Row],[Ean Normalizado]],Consumos!A:A,Consumos!E:E)</f>
        <v>#VALUE!</v>
      </c>
      <c r="R4018" s="38" t="e">
        <f>_xlfn.XLOOKUP(Tabla1[[#This Row],[Ean Normalizado]],tabla_consumos[EAN],tabla_consumos[UM])</f>
        <v>#VALUE!</v>
      </c>
      <c r="S4018" s="38" t="e">
        <f>Tabla1[[#This Row],[StockDisp]]*Tabla1[[#This Row],[UM producto]]</f>
        <v>#VALUE!</v>
      </c>
    </row>
    <row r="4019" spans="1:19" x14ac:dyDescent="0.35">
      <c r="A4019" s="5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6"/>
      <c r="P4019" s="23" t="e">
        <f>TRIM(Tabla1[[#This Row],[Articulo]])</f>
        <v>#VALUE!</v>
      </c>
      <c r="Q4019" s="23" t="e">
        <f>_xlfn.XLOOKUP(Tabla1[[#This Row],[Ean Normalizado]],Consumos!A:A,Consumos!E:E)</f>
        <v>#VALUE!</v>
      </c>
      <c r="R4019" s="38" t="e">
        <f>_xlfn.XLOOKUP(Tabla1[[#This Row],[Ean Normalizado]],tabla_consumos[EAN],tabla_consumos[UM])</f>
        <v>#VALUE!</v>
      </c>
      <c r="S4019" s="38" t="e">
        <f>Tabla1[[#This Row],[StockDisp]]*Tabla1[[#This Row],[UM producto]]</f>
        <v>#VALUE!</v>
      </c>
    </row>
    <row r="4020" spans="1:19" x14ac:dyDescent="0.35">
      <c r="A4020" s="5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6"/>
      <c r="P4020" s="23" t="e">
        <f>TRIM(Tabla1[[#This Row],[Articulo]])</f>
        <v>#VALUE!</v>
      </c>
      <c r="Q4020" s="23" t="e">
        <f>_xlfn.XLOOKUP(Tabla1[[#This Row],[Ean Normalizado]],Consumos!A:A,Consumos!E:E)</f>
        <v>#VALUE!</v>
      </c>
      <c r="R4020" s="38" t="e">
        <f>_xlfn.XLOOKUP(Tabla1[[#This Row],[Ean Normalizado]],tabla_consumos[EAN],tabla_consumos[UM])</f>
        <v>#VALUE!</v>
      </c>
      <c r="S4020" s="38" t="e">
        <f>Tabla1[[#This Row],[StockDisp]]*Tabla1[[#This Row],[UM producto]]</f>
        <v>#VALUE!</v>
      </c>
    </row>
    <row r="4021" spans="1:19" x14ac:dyDescent="0.35">
      <c r="A4021" s="5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6"/>
      <c r="P4021" s="23" t="e">
        <f>TRIM(Tabla1[[#This Row],[Articulo]])</f>
        <v>#VALUE!</v>
      </c>
      <c r="Q4021" s="23" t="e">
        <f>_xlfn.XLOOKUP(Tabla1[[#This Row],[Ean Normalizado]],Consumos!A:A,Consumos!E:E)</f>
        <v>#VALUE!</v>
      </c>
      <c r="R4021" s="38" t="e">
        <f>_xlfn.XLOOKUP(Tabla1[[#This Row],[Ean Normalizado]],tabla_consumos[EAN],tabla_consumos[UM])</f>
        <v>#VALUE!</v>
      </c>
      <c r="S4021" s="38" t="e">
        <f>Tabla1[[#This Row],[StockDisp]]*Tabla1[[#This Row],[UM producto]]</f>
        <v>#VALUE!</v>
      </c>
    </row>
    <row r="4022" spans="1:19" x14ac:dyDescent="0.35">
      <c r="A4022" s="5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6"/>
      <c r="P4022" s="23" t="e">
        <f>TRIM(Tabla1[[#This Row],[Articulo]])</f>
        <v>#VALUE!</v>
      </c>
      <c r="Q4022" s="23" t="e">
        <f>_xlfn.XLOOKUP(Tabla1[[#This Row],[Ean Normalizado]],Consumos!A:A,Consumos!E:E)</f>
        <v>#VALUE!</v>
      </c>
      <c r="R4022" s="38" t="e">
        <f>_xlfn.XLOOKUP(Tabla1[[#This Row],[Ean Normalizado]],tabla_consumos[EAN],tabla_consumos[UM])</f>
        <v>#VALUE!</v>
      </c>
      <c r="S4022" s="38" t="e">
        <f>Tabla1[[#This Row],[StockDisp]]*Tabla1[[#This Row],[UM producto]]</f>
        <v>#VALUE!</v>
      </c>
    </row>
    <row r="4023" spans="1:19" x14ac:dyDescent="0.35">
      <c r="A4023" s="5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6"/>
      <c r="P4023" s="23" t="e">
        <f>TRIM(Tabla1[[#This Row],[Articulo]])</f>
        <v>#VALUE!</v>
      </c>
      <c r="Q4023" s="23" t="e">
        <f>_xlfn.XLOOKUP(Tabla1[[#This Row],[Ean Normalizado]],Consumos!A:A,Consumos!E:E)</f>
        <v>#VALUE!</v>
      </c>
      <c r="R4023" s="38" t="e">
        <f>_xlfn.XLOOKUP(Tabla1[[#This Row],[Ean Normalizado]],tabla_consumos[EAN],tabla_consumos[UM])</f>
        <v>#VALUE!</v>
      </c>
      <c r="S4023" s="38" t="e">
        <f>Tabla1[[#This Row],[StockDisp]]*Tabla1[[#This Row],[UM producto]]</f>
        <v>#VALUE!</v>
      </c>
    </row>
    <row r="4024" spans="1:19" x14ac:dyDescent="0.35">
      <c r="A4024" s="5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6"/>
      <c r="P4024" s="23" t="e">
        <f>TRIM(Tabla1[[#This Row],[Articulo]])</f>
        <v>#VALUE!</v>
      </c>
      <c r="Q4024" s="23" t="e">
        <f>_xlfn.XLOOKUP(Tabla1[[#This Row],[Ean Normalizado]],Consumos!A:A,Consumos!E:E)</f>
        <v>#VALUE!</v>
      </c>
      <c r="R4024" s="38" t="e">
        <f>_xlfn.XLOOKUP(Tabla1[[#This Row],[Ean Normalizado]],tabla_consumos[EAN],tabla_consumos[UM])</f>
        <v>#VALUE!</v>
      </c>
      <c r="S4024" s="38" t="e">
        <f>Tabla1[[#This Row],[StockDisp]]*Tabla1[[#This Row],[UM producto]]</f>
        <v>#VALUE!</v>
      </c>
    </row>
    <row r="4025" spans="1:19" x14ac:dyDescent="0.35">
      <c r="A4025" s="5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6"/>
      <c r="P4025" s="23" t="e">
        <f>TRIM(Tabla1[[#This Row],[Articulo]])</f>
        <v>#VALUE!</v>
      </c>
      <c r="Q4025" s="23" t="e">
        <f>_xlfn.XLOOKUP(Tabla1[[#This Row],[Ean Normalizado]],Consumos!A:A,Consumos!E:E)</f>
        <v>#VALUE!</v>
      </c>
      <c r="R4025" s="38" t="e">
        <f>_xlfn.XLOOKUP(Tabla1[[#This Row],[Ean Normalizado]],tabla_consumos[EAN],tabla_consumos[UM])</f>
        <v>#VALUE!</v>
      </c>
      <c r="S4025" s="38" t="e">
        <f>Tabla1[[#This Row],[StockDisp]]*Tabla1[[#This Row],[UM producto]]</f>
        <v>#VALUE!</v>
      </c>
    </row>
    <row r="4026" spans="1:19" x14ac:dyDescent="0.35">
      <c r="A4026" s="5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6"/>
      <c r="P4026" s="23" t="e">
        <f>TRIM(Tabla1[[#This Row],[Articulo]])</f>
        <v>#VALUE!</v>
      </c>
      <c r="Q4026" s="23" t="e">
        <f>_xlfn.XLOOKUP(Tabla1[[#This Row],[Ean Normalizado]],Consumos!A:A,Consumos!E:E)</f>
        <v>#VALUE!</v>
      </c>
      <c r="R4026" s="38" t="e">
        <f>_xlfn.XLOOKUP(Tabla1[[#This Row],[Ean Normalizado]],tabla_consumos[EAN],tabla_consumos[UM])</f>
        <v>#VALUE!</v>
      </c>
      <c r="S4026" s="38" t="e">
        <f>Tabla1[[#This Row],[StockDisp]]*Tabla1[[#This Row],[UM producto]]</f>
        <v>#VALUE!</v>
      </c>
    </row>
    <row r="4027" spans="1:19" x14ac:dyDescent="0.35">
      <c r="A4027" s="5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6"/>
      <c r="P4027" s="23" t="e">
        <f>TRIM(Tabla1[[#This Row],[Articulo]])</f>
        <v>#VALUE!</v>
      </c>
      <c r="Q4027" s="23" t="e">
        <f>_xlfn.XLOOKUP(Tabla1[[#This Row],[Ean Normalizado]],Consumos!A:A,Consumos!E:E)</f>
        <v>#VALUE!</v>
      </c>
      <c r="R4027" s="38" t="e">
        <f>_xlfn.XLOOKUP(Tabla1[[#This Row],[Ean Normalizado]],tabla_consumos[EAN],tabla_consumos[UM])</f>
        <v>#VALUE!</v>
      </c>
      <c r="S4027" s="38" t="e">
        <f>Tabla1[[#This Row],[StockDisp]]*Tabla1[[#This Row],[UM producto]]</f>
        <v>#VALUE!</v>
      </c>
    </row>
    <row r="4028" spans="1:19" x14ac:dyDescent="0.35">
      <c r="A4028" s="5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6"/>
      <c r="P4028" s="23" t="e">
        <f>TRIM(Tabla1[[#This Row],[Articulo]])</f>
        <v>#VALUE!</v>
      </c>
      <c r="Q4028" s="23" t="e">
        <f>_xlfn.XLOOKUP(Tabla1[[#This Row],[Ean Normalizado]],Consumos!A:A,Consumos!E:E)</f>
        <v>#VALUE!</v>
      </c>
      <c r="R4028" s="38" t="e">
        <f>_xlfn.XLOOKUP(Tabla1[[#This Row],[Ean Normalizado]],tabla_consumos[EAN],tabla_consumos[UM])</f>
        <v>#VALUE!</v>
      </c>
      <c r="S4028" s="38" t="e">
        <f>Tabla1[[#This Row],[StockDisp]]*Tabla1[[#This Row],[UM producto]]</f>
        <v>#VALUE!</v>
      </c>
    </row>
    <row r="4029" spans="1:19" x14ac:dyDescent="0.35">
      <c r="A4029" s="5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6"/>
      <c r="P4029" s="23" t="e">
        <f>TRIM(Tabla1[[#This Row],[Articulo]])</f>
        <v>#VALUE!</v>
      </c>
      <c r="Q4029" s="23" t="e">
        <f>_xlfn.XLOOKUP(Tabla1[[#This Row],[Ean Normalizado]],Consumos!A:A,Consumos!E:E)</f>
        <v>#VALUE!</v>
      </c>
      <c r="R4029" s="38" t="e">
        <f>_xlfn.XLOOKUP(Tabla1[[#This Row],[Ean Normalizado]],tabla_consumos[EAN],tabla_consumos[UM])</f>
        <v>#VALUE!</v>
      </c>
      <c r="S4029" s="38" t="e">
        <f>Tabla1[[#This Row],[StockDisp]]*Tabla1[[#This Row],[UM producto]]</f>
        <v>#VALUE!</v>
      </c>
    </row>
    <row r="4030" spans="1:19" x14ac:dyDescent="0.35">
      <c r="A4030" s="5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6"/>
      <c r="P4030" s="23" t="e">
        <f>TRIM(Tabla1[[#This Row],[Articulo]])</f>
        <v>#VALUE!</v>
      </c>
      <c r="Q4030" s="23" t="e">
        <f>_xlfn.XLOOKUP(Tabla1[[#This Row],[Ean Normalizado]],Consumos!A:A,Consumos!E:E)</f>
        <v>#VALUE!</v>
      </c>
      <c r="R4030" s="38" t="e">
        <f>_xlfn.XLOOKUP(Tabla1[[#This Row],[Ean Normalizado]],tabla_consumos[EAN],tabla_consumos[UM])</f>
        <v>#VALUE!</v>
      </c>
      <c r="S4030" s="38" t="e">
        <f>Tabla1[[#This Row],[StockDisp]]*Tabla1[[#This Row],[UM producto]]</f>
        <v>#VALUE!</v>
      </c>
    </row>
    <row r="4031" spans="1:19" x14ac:dyDescent="0.35">
      <c r="A4031" s="5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6"/>
      <c r="P4031" s="23" t="e">
        <f>TRIM(Tabla1[[#This Row],[Articulo]])</f>
        <v>#VALUE!</v>
      </c>
      <c r="Q4031" s="23" t="e">
        <f>_xlfn.XLOOKUP(Tabla1[[#This Row],[Ean Normalizado]],Consumos!A:A,Consumos!E:E)</f>
        <v>#VALUE!</v>
      </c>
      <c r="R4031" s="38" t="e">
        <f>_xlfn.XLOOKUP(Tabla1[[#This Row],[Ean Normalizado]],tabla_consumos[EAN],tabla_consumos[UM])</f>
        <v>#VALUE!</v>
      </c>
      <c r="S4031" s="38" t="e">
        <f>Tabla1[[#This Row],[StockDisp]]*Tabla1[[#This Row],[UM producto]]</f>
        <v>#VALUE!</v>
      </c>
    </row>
    <row r="4032" spans="1:19" x14ac:dyDescent="0.35">
      <c r="A4032" s="5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6"/>
      <c r="P4032" s="23" t="e">
        <f>TRIM(Tabla1[[#This Row],[Articulo]])</f>
        <v>#VALUE!</v>
      </c>
      <c r="Q4032" s="23" t="e">
        <f>_xlfn.XLOOKUP(Tabla1[[#This Row],[Ean Normalizado]],Consumos!A:A,Consumos!E:E)</f>
        <v>#VALUE!</v>
      </c>
      <c r="R4032" s="38" t="e">
        <f>_xlfn.XLOOKUP(Tabla1[[#This Row],[Ean Normalizado]],tabla_consumos[EAN],tabla_consumos[UM])</f>
        <v>#VALUE!</v>
      </c>
      <c r="S4032" s="38" t="e">
        <f>Tabla1[[#This Row],[StockDisp]]*Tabla1[[#This Row],[UM producto]]</f>
        <v>#VALUE!</v>
      </c>
    </row>
    <row r="4033" spans="1:19" x14ac:dyDescent="0.35">
      <c r="A4033" s="5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6"/>
      <c r="P4033" s="23" t="e">
        <f>TRIM(Tabla1[[#This Row],[Articulo]])</f>
        <v>#VALUE!</v>
      </c>
      <c r="Q4033" s="23" t="e">
        <f>_xlfn.XLOOKUP(Tabla1[[#This Row],[Ean Normalizado]],Consumos!A:A,Consumos!E:E)</f>
        <v>#VALUE!</v>
      </c>
      <c r="R4033" s="38" t="e">
        <f>_xlfn.XLOOKUP(Tabla1[[#This Row],[Ean Normalizado]],tabla_consumos[EAN],tabla_consumos[UM])</f>
        <v>#VALUE!</v>
      </c>
      <c r="S4033" s="38" t="e">
        <f>Tabla1[[#This Row],[StockDisp]]*Tabla1[[#This Row],[UM producto]]</f>
        <v>#VALUE!</v>
      </c>
    </row>
    <row r="4034" spans="1:19" x14ac:dyDescent="0.35">
      <c r="A4034" s="5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6"/>
      <c r="P4034" s="23" t="e">
        <f>TRIM(Tabla1[[#This Row],[Articulo]])</f>
        <v>#VALUE!</v>
      </c>
      <c r="Q4034" s="23" t="e">
        <f>_xlfn.XLOOKUP(Tabla1[[#This Row],[Ean Normalizado]],Consumos!A:A,Consumos!E:E)</f>
        <v>#VALUE!</v>
      </c>
      <c r="R4034" s="38" t="e">
        <f>_xlfn.XLOOKUP(Tabla1[[#This Row],[Ean Normalizado]],tabla_consumos[EAN],tabla_consumos[UM])</f>
        <v>#VALUE!</v>
      </c>
      <c r="S4034" s="38" t="e">
        <f>Tabla1[[#This Row],[StockDisp]]*Tabla1[[#This Row],[UM producto]]</f>
        <v>#VALUE!</v>
      </c>
    </row>
    <row r="4035" spans="1:19" x14ac:dyDescent="0.35">
      <c r="A4035" s="5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6"/>
      <c r="P4035" s="23" t="e">
        <f>TRIM(Tabla1[[#This Row],[Articulo]])</f>
        <v>#VALUE!</v>
      </c>
      <c r="Q4035" s="23" t="e">
        <f>_xlfn.XLOOKUP(Tabla1[[#This Row],[Ean Normalizado]],Consumos!A:A,Consumos!E:E)</f>
        <v>#VALUE!</v>
      </c>
      <c r="R4035" s="38" t="e">
        <f>_xlfn.XLOOKUP(Tabla1[[#This Row],[Ean Normalizado]],tabla_consumos[EAN],tabla_consumos[UM])</f>
        <v>#VALUE!</v>
      </c>
      <c r="S4035" s="38" t="e">
        <f>Tabla1[[#This Row],[StockDisp]]*Tabla1[[#This Row],[UM producto]]</f>
        <v>#VALUE!</v>
      </c>
    </row>
    <row r="4036" spans="1:19" x14ac:dyDescent="0.35">
      <c r="A4036" s="5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6"/>
      <c r="P4036" s="23" t="e">
        <f>TRIM(Tabla1[[#This Row],[Articulo]])</f>
        <v>#VALUE!</v>
      </c>
      <c r="Q4036" s="23" t="e">
        <f>_xlfn.XLOOKUP(Tabla1[[#This Row],[Ean Normalizado]],Consumos!A:A,Consumos!E:E)</f>
        <v>#VALUE!</v>
      </c>
      <c r="R4036" s="38" t="e">
        <f>_xlfn.XLOOKUP(Tabla1[[#This Row],[Ean Normalizado]],tabla_consumos[EAN],tabla_consumos[UM])</f>
        <v>#VALUE!</v>
      </c>
      <c r="S4036" s="38" t="e">
        <f>Tabla1[[#This Row],[StockDisp]]*Tabla1[[#This Row],[UM producto]]</f>
        <v>#VALUE!</v>
      </c>
    </row>
    <row r="4037" spans="1:19" x14ac:dyDescent="0.35">
      <c r="A4037" s="5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6"/>
      <c r="P4037" s="23" t="e">
        <f>TRIM(Tabla1[[#This Row],[Articulo]])</f>
        <v>#VALUE!</v>
      </c>
      <c r="Q4037" s="23" t="e">
        <f>_xlfn.XLOOKUP(Tabla1[[#This Row],[Ean Normalizado]],Consumos!A:A,Consumos!E:E)</f>
        <v>#VALUE!</v>
      </c>
      <c r="R4037" s="38" t="e">
        <f>_xlfn.XLOOKUP(Tabla1[[#This Row],[Ean Normalizado]],tabla_consumos[EAN],tabla_consumos[UM])</f>
        <v>#VALUE!</v>
      </c>
      <c r="S4037" s="38" t="e">
        <f>Tabla1[[#This Row],[StockDisp]]*Tabla1[[#This Row],[UM producto]]</f>
        <v>#VALUE!</v>
      </c>
    </row>
    <row r="4038" spans="1:19" x14ac:dyDescent="0.35">
      <c r="A4038" s="5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6"/>
      <c r="P4038" s="23" t="e">
        <f>TRIM(Tabla1[[#This Row],[Articulo]])</f>
        <v>#VALUE!</v>
      </c>
      <c r="Q4038" s="23" t="e">
        <f>_xlfn.XLOOKUP(Tabla1[[#This Row],[Ean Normalizado]],Consumos!A:A,Consumos!E:E)</f>
        <v>#VALUE!</v>
      </c>
      <c r="R4038" s="38" t="e">
        <f>_xlfn.XLOOKUP(Tabla1[[#This Row],[Ean Normalizado]],tabla_consumos[EAN],tabla_consumos[UM])</f>
        <v>#VALUE!</v>
      </c>
      <c r="S4038" s="38" t="e">
        <f>Tabla1[[#This Row],[StockDisp]]*Tabla1[[#This Row],[UM producto]]</f>
        <v>#VALUE!</v>
      </c>
    </row>
    <row r="4039" spans="1:19" x14ac:dyDescent="0.35">
      <c r="A4039" s="5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6"/>
      <c r="P4039" s="23" t="e">
        <f>TRIM(Tabla1[[#This Row],[Articulo]])</f>
        <v>#VALUE!</v>
      </c>
      <c r="Q4039" s="23" t="e">
        <f>_xlfn.XLOOKUP(Tabla1[[#This Row],[Ean Normalizado]],Consumos!A:A,Consumos!E:E)</f>
        <v>#VALUE!</v>
      </c>
      <c r="R4039" s="38" t="e">
        <f>_xlfn.XLOOKUP(Tabla1[[#This Row],[Ean Normalizado]],tabla_consumos[EAN],tabla_consumos[UM])</f>
        <v>#VALUE!</v>
      </c>
      <c r="S4039" s="38" t="e">
        <f>Tabla1[[#This Row],[StockDisp]]*Tabla1[[#This Row],[UM producto]]</f>
        <v>#VALUE!</v>
      </c>
    </row>
    <row r="4040" spans="1:19" x14ac:dyDescent="0.35">
      <c r="A4040" s="5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6"/>
      <c r="P4040" s="23" t="e">
        <f>TRIM(Tabla1[[#This Row],[Articulo]])</f>
        <v>#VALUE!</v>
      </c>
      <c r="Q4040" s="23" t="e">
        <f>_xlfn.XLOOKUP(Tabla1[[#This Row],[Ean Normalizado]],Consumos!A:A,Consumos!E:E)</f>
        <v>#VALUE!</v>
      </c>
      <c r="R4040" s="38" t="e">
        <f>_xlfn.XLOOKUP(Tabla1[[#This Row],[Ean Normalizado]],tabla_consumos[EAN],tabla_consumos[UM])</f>
        <v>#VALUE!</v>
      </c>
      <c r="S4040" s="38" t="e">
        <f>Tabla1[[#This Row],[StockDisp]]*Tabla1[[#This Row],[UM producto]]</f>
        <v>#VALUE!</v>
      </c>
    </row>
    <row r="4041" spans="1:19" x14ac:dyDescent="0.35">
      <c r="A4041" s="5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6"/>
      <c r="P4041" s="23" t="e">
        <f>TRIM(Tabla1[[#This Row],[Articulo]])</f>
        <v>#VALUE!</v>
      </c>
      <c r="Q4041" s="23" t="e">
        <f>_xlfn.XLOOKUP(Tabla1[[#This Row],[Ean Normalizado]],Consumos!A:A,Consumos!E:E)</f>
        <v>#VALUE!</v>
      </c>
      <c r="R4041" s="38" t="e">
        <f>_xlfn.XLOOKUP(Tabla1[[#This Row],[Ean Normalizado]],tabla_consumos[EAN],tabla_consumos[UM])</f>
        <v>#VALUE!</v>
      </c>
      <c r="S4041" s="38" t="e">
        <f>Tabla1[[#This Row],[StockDisp]]*Tabla1[[#This Row],[UM producto]]</f>
        <v>#VALUE!</v>
      </c>
    </row>
    <row r="4042" spans="1:19" x14ac:dyDescent="0.35">
      <c r="A4042" s="5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6"/>
      <c r="P4042" s="23" t="e">
        <f>TRIM(Tabla1[[#This Row],[Articulo]])</f>
        <v>#VALUE!</v>
      </c>
      <c r="Q4042" s="23" t="e">
        <f>_xlfn.XLOOKUP(Tabla1[[#This Row],[Ean Normalizado]],Consumos!A:A,Consumos!E:E)</f>
        <v>#VALUE!</v>
      </c>
      <c r="R4042" s="38" t="e">
        <f>_xlfn.XLOOKUP(Tabla1[[#This Row],[Ean Normalizado]],tabla_consumos[EAN],tabla_consumos[UM])</f>
        <v>#VALUE!</v>
      </c>
      <c r="S4042" s="38" t="e">
        <f>Tabla1[[#This Row],[StockDisp]]*Tabla1[[#This Row],[UM producto]]</f>
        <v>#VALUE!</v>
      </c>
    </row>
    <row r="4043" spans="1:19" x14ac:dyDescent="0.35">
      <c r="A4043" s="5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6"/>
      <c r="P4043" s="23" t="e">
        <f>TRIM(Tabla1[[#This Row],[Articulo]])</f>
        <v>#VALUE!</v>
      </c>
      <c r="Q4043" s="23" t="e">
        <f>_xlfn.XLOOKUP(Tabla1[[#This Row],[Ean Normalizado]],Consumos!A:A,Consumos!E:E)</f>
        <v>#VALUE!</v>
      </c>
      <c r="R4043" s="38" t="e">
        <f>_xlfn.XLOOKUP(Tabla1[[#This Row],[Ean Normalizado]],tabla_consumos[EAN],tabla_consumos[UM])</f>
        <v>#VALUE!</v>
      </c>
      <c r="S4043" s="38" t="e">
        <f>Tabla1[[#This Row],[StockDisp]]*Tabla1[[#This Row],[UM producto]]</f>
        <v>#VALUE!</v>
      </c>
    </row>
    <row r="4044" spans="1:19" x14ac:dyDescent="0.35">
      <c r="A4044" s="5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6"/>
      <c r="P4044" s="23" t="e">
        <f>TRIM(Tabla1[[#This Row],[Articulo]])</f>
        <v>#VALUE!</v>
      </c>
      <c r="Q4044" s="23" t="e">
        <f>_xlfn.XLOOKUP(Tabla1[[#This Row],[Ean Normalizado]],Consumos!A:A,Consumos!E:E)</f>
        <v>#VALUE!</v>
      </c>
      <c r="R4044" s="38" t="e">
        <f>_xlfn.XLOOKUP(Tabla1[[#This Row],[Ean Normalizado]],tabla_consumos[EAN],tabla_consumos[UM])</f>
        <v>#VALUE!</v>
      </c>
      <c r="S4044" s="38" t="e">
        <f>Tabla1[[#This Row],[StockDisp]]*Tabla1[[#This Row],[UM producto]]</f>
        <v>#VALUE!</v>
      </c>
    </row>
    <row r="4045" spans="1:19" x14ac:dyDescent="0.35">
      <c r="A4045" s="5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6"/>
      <c r="P4045" s="23" t="e">
        <f>TRIM(Tabla1[[#This Row],[Articulo]])</f>
        <v>#VALUE!</v>
      </c>
      <c r="Q4045" s="23" t="e">
        <f>_xlfn.XLOOKUP(Tabla1[[#This Row],[Ean Normalizado]],Consumos!A:A,Consumos!E:E)</f>
        <v>#VALUE!</v>
      </c>
      <c r="R4045" s="38" t="e">
        <f>_xlfn.XLOOKUP(Tabla1[[#This Row],[Ean Normalizado]],tabla_consumos[EAN],tabla_consumos[UM])</f>
        <v>#VALUE!</v>
      </c>
      <c r="S4045" s="38" t="e">
        <f>Tabla1[[#This Row],[StockDisp]]*Tabla1[[#This Row],[UM producto]]</f>
        <v>#VALUE!</v>
      </c>
    </row>
    <row r="4046" spans="1:19" x14ac:dyDescent="0.35">
      <c r="A4046" s="5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6"/>
      <c r="P4046" s="23" t="e">
        <f>TRIM(Tabla1[[#This Row],[Articulo]])</f>
        <v>#VALUE!</v>
      </c>
      <c r="Q4046" s="23" t="e">
        <f>_xlfn.XLOOKUP(Tabla1[[#This Row],[Ean Normalizado]],Consumos!A:A,Consumos!E:E)</f>
        <v>#VALUE!</v>
      </c>
      <c r="R4046" s="38" t="e">
        <f>_xlfn.XLOOKUP(Tabla1[[#This Row],[Ean Normalizado]],tabla_consumos[EAN],tabla_consumos[UM])</f>
        <v>#VALUE!</v>
      </c>
      <c r="S4046" s="38" t="e">
        <f>Tabla1[[#This Row],[StockDisp]]*Tabla1[[#This Row],[UM producto]]</f>
        <v>#VALUE!</v>
      </c>
    </row>
    <row r="4047" spans="1:19" x14ac:dyDescent="0.35">
      <c r="A4047" s="5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6"/>
      <c r="P4047" s="23" t="e">
        <f>TRIM(Tabla1[[#This Row],[Articulo]])</f>
        <v>#VALUE!</v>
      </c>
      <c r="Q4047" s="23" t="e">
        <f>_xlfn.XLOOKUP(Tabla1[[#This Row],[Ean Normalizado]],Consumos!A:A,Consumos!E:E)</f>
        <v>#VALUE!</v>
      </c>
      <c r="R4047" s="38" t="e">
        <f>_xlfn.XLOOKUP(Tabla1[[#This Row],[Ean Normalizado]],tabla_consumos[EAN],tabla_consumos[UM])</f>
        <v>#VALUE!</v>
      </c>
      <c r="S4047" s="38" t="e">
        <f>Tabla1[[#This Row],[StockDisp]]*Tabla1[[#This Row],[UM producto]]</f>
        <v>#VALUE!</v>
      </c>
    </row>
    <row r="4048" spans="1:19" x14ac:dyDescent="0.35">
      <c r="A4048" s="5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6"/>
      <c r="P4048" s="23" t="e">
        <f>TRIM(Tabla1[[#This Row],[Articulo]])</f>
        <v>#VALUE!</v>
      </c>
      <c r="Q4048" s="23" t="e">
        <f>_xlfn.XLOOKUP(Tabla1[[#This Row],[Ean Normalizado]],Consumos!A:A,Consumos!E:E)</f>
        <v>#VALUE!</v>
      </c>
      <c r="R4048" s="38" t="e">
        <f>_xlfn.XLOOKUP(Tabla1[[#This Row],[Ean Normalizado]],tabla_consumos[EAN],tabla_consumos[UM])</f>
        <v>#VALUE!</v>
      </c>
      <c r="S4048" s="38" t="e">
        <f>Tabla1[[#This Row],[StockDisp]]*Tabla1[[#This Row],[UM producto]]</f>
        <v>#VALUE!</v>
      </c>
    </row>
    <row r="4049" spans="1:19" x14ac:dyDescent="0.35">
      <c r="A4049" s="5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6"/>
      <c r="P4049" s="23" t="e">
        <f>TRIM(Tabla1[[#This Row],[Articulo]])</f>
        <v>#VALUE!</v>
      </c>
      <c r="Q4049" s="23" t="e">
        <f>_xlfn.XLOOKUP(Tabla1[[#This Row],[Ean Normalizado]],Consumos!A:A,Consumos!E:E)</f>
        <v>#VALUE!</v>
      </c>
      <c r="R4049" s="38" t="e">
        <f>_xlfn.XLOOKUP(Tabla1[[#This Row],[Ean Normalizado]],tabla_consumos[EAN],tabla_consumos[UM])</f>
        <v>#VALUE!</v>
      </c>
      <c r="S4049" s="38" t="e">
        <f>Tabla1[[#This Row],[StockDisp]]*Tabla1[[#This Row],[UM producto]]</f>
        <v>#VALUE!</v>
      </c>
    </row>
    <row r="4050" spans="1:19" x14ac:dyDescent="0.35">
      <c r="A4050" s="5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6"/>
      <c r="P4050" s="23" t="e">
        <f>TRIM(Tabla1[[#This Row],[Articulo]])</f>
        <v>#VALUE!</v>
      </c>
      <c r="Q4050" s="23" t="e">
        <f>_xlfn.XLOOKUP(Tabla1[[#This Row],[Ean Normalizado]],Consumos!A:A,Consumos!E:E)</f>
        <v>#VALUE!</v>
      </c>
      <c r="R4050" s="38" t="e">
        <f>_xlfn.XLOOKUP(Tabla1[[#This Row],[Ean Normalizado]],tabla_consumos[EAN],tabla_consumos[UM])</f>
        <v>#VALUE!</v>
      </c>
      <c r="S4050" s="38" t="e">
        <f>Tabla1[[#This Row],[StockDisp]]*Tabla1[[#This Row],[UM producto]]</f>
        <v>#VALUE!</v>
      </c>
    </row>
    <row r="4051" spans="1:19" x14ac:dyDescent="0.35">
      <c r="A4051" s="5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6"/>
      <c r="P4051" s="23" t="e">
        <f>TRIM(Tabla1[[#This Row],[Articulo]])</f>
        <v>#VALUE!</v>
      </c>
      <c r="Q4051" s="23" t="e">
        <f>_xlfn.XLOOKUP(Tabla1[[#This Row],[Ean Normalizado]],Consumos!A:A,Consumos!E:E)</f>
        <v>#VALUE!</v>
      </c>
      <c r="R4051" s="38" t="e">
        <f>_xlfn.XLOOKUP(Tabla1[[#This Row],[Ean Normalizado]],tabla_consumos[EAN],tabla_consumos[UM])</f>
        <v>#VALUE!</v>
      </c>
      <c r="S4051" s="38" t="e">
        <f>Tabla1[[#This Row],[StockDisp]]*Tabla1[[#This Row],[UM producto]]</f>
        <v>#VALUE!</v>
      </c>
    </row>
    <row r="4052" spans="1:19" x14ac:dyDescent="0.35">
      <c r="A4052" s="5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6"/>
      <c r="P4052" s="23" t="e">
        <f>TRIM(Tabla1[[#This Row],[Articulo]])</f>
        <v>#VALUE!</v>
      </c>
      <c r="Q4052" s="23" t="e">
        <f>_xlfn.XLOOKUP(Tabla1[[#This Row],[Ean Normalizado]],Consumos!A:A,Consumos!E:E)</f>
        <v>#VALUE!</v>
      </c>
      <c r="R4052" s="38" t="e">
        <f>_xlfn.XLOOKUP(Tabla1[[#This Row],[Ean Normalizado]],tabla_consumos[EAN],tabla_consumos[UM])</f>
        <v>#VALUE!</v>
      </c>
      <c r="S4052" s="38" t="e">
        <f>Tabla1[[#This Row],[StockDisp]]*Tabla1[[#This Row],[UM producto]]</f>
        <v>#VALUE!</v>
      </c>
    </row>
    <row r="4053" spans="1:19" x14ac:dyDescent="0.35">
      <c r="A4053" s="5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6"/>
      <c r="P4053" s="23" t="e">
        <f>TRIM(Tabla1[[#This Row],[Articulo]])</f>
        <v>#VALUE!</v>
      </c>
      <c r="Q4053" s="23" t="e">
        <f>_xlfn.XLOOKUP(Tabla1[[#This Row],[Ean Normalizado]],Consumos!A:A,Consumos!E:E)</f>
        <v>#VALUE!</v>
      </c>
      <c r="R4053" s="38" t="e">
        <f>_xlfn.XLOOKUP(Tabla1[[#This Row],[Ean Normalizado]],tabla_consumos[EAN],tabla_consumos[UM])</f>
        <v>#VALUE!</v>
      </c>
      <c r="S4053" s="38" t="e">
        <f>Tabla1[[#This Row],[StockDisp]]*Tabla1[[#This Row],[UM producto]]</f>
        <v>#VALUE!</v>
      </c>
    </row>
    <row r="4054" spans="1:19" x14ac:dyDescent="0.35">
      <c r="A4054" s="5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6"/>
      <c r="P4054" s="23" t="e">
        <f>TRIM(Tabla1[[#This Row],[Articulo]])</f>
        <v>#VALUE!</v>
      </c>
      <c r="Q4054" s="23" t="e">
        <f>_xlfn.XLOOKUP(Tabla1[[#This Row],[Ean Normalizado]],Consumos!A:A,Consumos!E:E)</f>
        <v>#VALUE!</v>
      </c>
      <c r="R4054" s="38" t="e">
        <f>_xlfn.XLOOKUP(Tabla1[[#This Row],[Ean Normalizado]],tabla_consumos[EAN],tabla_consumos[UM])</f>
        <v>#VALUE!</v>
      </c>
      <c r="S4054" s="38" t="e">
        <f>Tabla1[[#This Row],[StockDisp]]*Tabla1[[#This Row],[UM producto]]</f>
        <v>#VALUE!</v>
      </c>
    </row>
    <row r="4055" spans="1:19" x14ac:dyDescent="0.35">
      <c r="A4055" s="5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6"/>
      <c r="P4055" s="23" t="e">
        <f>TRIM(Tabla1[[#This Row],[Articulo]])</f>
        <v>#VALUE!</v>
      </c>
      <c r="Q4055" s="23" t="e">
        <f>_xlfn.XLOOKUP(Tabla1[[#This Row],[Ean Normalizado]],Consumos!A:A,Consumos!E:E)</f>
        <v>#VALUE!</v>
      </c>
      <c r="R4055" s="38" t="e">
        <f>_xlfn.XLOOKUP(Tabla1[[#This Row],[Ean Normalizado]],tabla_consumos[EAN],tabla_consumos[UM])</f>
        <v>#VALUE!</v>
      </c>
      <c r="S4055" s="38" t="e">
        <f>Tabla1[[#This Row],[StockDisp]]*Tabla1[[#This Row],[UM producto]]</f>
        <v>#VALUE!</v>
      </c>
    </row>
    <row r="4056" spans="1:19" x14ac:dyDescent="0.35">
      <c r="A4056" s="5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6"/>
      <c r="P4056" s="23" t="e">
        <f>TRIM(Tabla1[[#This Row],[Articulo]])</f>
        <v>#VALUE!</v>
      </c>
      <c r="Q4056" s="23" t="e">
        <f>_xlfn.XLOOKUP(Tabla1[[#This Row],[Ean Normalizado]],Consumos!A:A,Consumos!E:E)</f>
        <v>#VALUE!</v>
      </c>
      <c r="R4056" s="38" t="e">
        <f>_xlfn.XLOOKUP(Tabla1[[#This Row],[Ean Normalizado]],tabla_consumos[EAN],tabla_consumos[UM])</f>
        <v>#VALUE!</v>
      </c>
      <c r="S4056" s="38" t="e">
        <f>Tabla1[[#This Row],[StockDisp]]*Tabla1[[#This Row],[UM producto]]</f>
        <v>#VALUE!</v>
      </c>
    </row>
    <row r="4057" spans="1:19" x14ac:dyDescent="0.35">
      <c r="A4057" s="5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6"/>
      <c r="P4057" s="23" t="e">
        <f>TRIM(Tabla1[[#This Row],[Articulo]])</f>
        <v>#VALUE!</v>
      </c>
      <c r="Q4057" s="23" t="e">
        <f>_xlfn.XLOOKUP(Tabla1[[#This Row],[Ean Normalizado]],Consumos!A:A,Consumos!E:E)</f>
        <v>#VALUE!</v>
      </c>
      <c r="R4057" s="38" t="e">
        <f>_xlfn.XLOOKUP(Tabla1[[#This Row],[Ean Normalizado]],tabla_consumos[EAN],tabla_consumos[UM])</f>
        <v>#VALUE!</v>
      </c>
      <c r="S4057" s="38" t="e">
        <f>Tabla1[[#This Row],[StockDisp]]*Tabla1[[#This Row],[UM producto]]</f>
        <v>#VALUE!</v>
      </c>
    </row>
    <row r="4058" spans="1:19" x14ac:dyDescent="0.35">
      <c r="A4058" s="5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6"/>
      <c r="P4058" s="23" t="e">
        <f>TRIM(Tabla1[[#This Row],[Articulo]])</f>
        <v>#VALUE!</v>
      </c>
      <c r="Q4058" s="23" t="e">
        <f>_xlfn.XLOOKUP(Tabla1[[#This Row],[Ean Normalizado]],Consumos!A:A,Consumos!E:E)</f>
        <v>#VALUE!</v>
      </c>
      <c r="R4058" s="38" t="e">
        <f>_xlfn.XLOOKUP(Tabla1[[#This Row],[Ean Normalizado]],tabla_consumos[EAN],tabla_consumos[UM])</f>
        <v>#VALUE!</v>
      </c>
      <c r="S4058" s="38" t="e">
        <f>Tabla1[[#This Row],[StockDisp]]*Tabla1[[#This Row],[UM producto]]</f>
        <v>#VALUE!</v>
      </c>
    </row>
    <row r="4059" spans="1:19" x14ac:dyDescent="0.35">
      <c r="A4059" s="5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6"/>
      <c r="P4059" s="23" t="e">
        <f>TRIM(Tabla1[[#This Row],[Articulo]])</f>
        <v>#VALUE!</v>
      </c>
      <c r="Q4059" s="23" t="e">
        <f>_xlfn.XLOOKUP(Tabla1[[#This Row],[Ean Normalizado]],Consumos!A:A,Consumos!E:E)</f>
        <v>#VALUE!</v>
      </c>
      <c r="R4059" s="38" t="e">
        <f>_xlfn.XLOOKUP(Tabla1[[#This Row],[Ean Normalizado]],tabla_consumos[EAN],tabla_consumos[UM])</f>
        <v>#VALUE!</v>
      </c>
      <c r="S4059" s="38" t="e">
        <f>Tabla1[[#This Row],[StockDisp]]*Tabla1[[#This Row],[UM producto]]</f>
        <v>#VALUE!</v>
      </c>
    </row>
    <row r="4060" spans="1:19" x14ac:dyDescent="0.35">
      <c r="A4060" s="5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6"/>
      <c r="P4060" s="23" t="e">
        <f>TRIM(Tabla1[[#This Row],[Articulo]])</f>
        <v>#VALUE!</v>
      </c>
      <c r="Q4060" s="23" t="e">
        <f>_xlfn.XLOOKUP(Tabla1[[#This Row],[Ean Normalizado]],Consumos!A:A,Consumos!E:E)</f>
        <v>#VALUE!</v>
      </c>
      <c r="R4060" s="38" t="e">
        <f>_xlfn.XLOOKUP(Tabla1[[#This Row],[Ean Normalizado]],tabla_consumos[EAN],tabla_consumos[UM])</f>
        <v>#VALUE!</v>
      </c>
      <c r="S4060" s="38" t="e">
        <f>Tabla1[[#This Row],[StockDisp]]*Tabla1[[#This Row],[UM producto]]</f>
        <v>#VALUE!</v>
      </c>
    </row>
    <row r="4061" spans="1:19" x14ac:dyDescent="0.35">
      <c r="A4061" s="5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6"/>
      <c r="P4061" s="23" t="e">
        <f>TRIM(Tabla1[[#This Row],[Articulo]])</f>
        <v>#VALUE!</v>
      </c>
      <c r="Q4061" s="23" t="e">
        <f>_xlfn.XLOOKUP(Tabla1[[#This Row],[Ean Normalizado]],Consumos!A:A,Consumos!E:E)</f>
        <v>#VALUE!</v>
      </c>
      <c r="R4061" s="38" t="e">
        <f>_xlfn.XLOOKUP(Tabla1[[#This Row],[Ean Normalizado]],tabla_consumos[EAN],tabla_consumos[UM])</f>
        <v>#VALUE!</v>
      </c>
      <c r="S4061" s="38" t="e">
        <f>Tabla1[[#This Row],[StockDisp]]*Tabla1[[#This Row],[UM producto]]</f>
        <v>#VALUE!</v>
      </c>
    </row>
    <row r="4062" spans="1:19" x14ac:dyDescent="0.35">
      <c r="A4062" s="5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6"/>
      <c r="P4062" s="23" t="e">
        <f>TRIM(Tabla1[[#This Row],[Articulo]])</f>
        <v>#VALUE!</v>
      </c>
      <c r="Q4062" s="23" t="e">
        <f>_xlfn.XLOOKUP(Tabla1[[#This Row],[Ean Normalizado]],Consumos!A:A,Consumos!E:E)</f>
        <v>#VALUE!</v>
      </c>
      <c r="R4062" s="38" t="e">
        <f>_xlfn.XLOOKUP(Tabla1[[#This Row],[Ean Normalizado]],tabla_consumos[EAN],tabla_consumos[UM])</f>
        <v>#VALUE!</v>
      </c>
      <c r="S4062" s="38" t="e">
        <f>Tabla1[[#This Row],[StockDisp]]*Tabla1[[#This Row],[UM producto]]</f>
        <v>#VALUE!</v>
      </c>
    </row>
    <row r="4063" spans="1:19" x14ac:dyDescent="0.35">
      <c r="A4063" s="5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6"/>
      <c r="P4063" s="23" t="e">
        <f>TRIM(Tabla1[[#This Row],[Articulo]])</f>
        <v>#VALUE!</v>
      </c>
      <c r="Q4063" s="23" t="e">
        <f>_xlfn.XLOOKUP(Tabla1[[#This Row],[Ean Normalizado]],Consumos!A:A,Consumos!E:E)</f>
        <v>#VALUE!</v>
      </c>
      <c r="R4063" s="38" t="e">
        <f>_xlfn.XLOOKUP(Tabla1[[#This Row],[Ean Normalizado]],tabla_consumos[EAN],tabla_consumos[UM])</f>
        <v>#VALUE!</v>
      </c>
      <c r="S4063" s="38" t="e">
        <f>Tabla1[[#This Row],[StockDisp]]*Tabla1[[#This Row],[UM producto]]</f>
        <v>#VALUE!</v>
      </c>
    </row>
    <row r="4064" spans="1:19" x14ac:dyDescent="0.35">
      <c r="A4064" s="5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6"/>
      <c r="P4064" s="23" t="e">
        <f>TRIM(Tabla1[[#This Row],[Articulo]])</f>
        <v>#VALUE!</v>
      </c>
      <c r="Q4064" s="23" t="e">
        <f>_xlfn.XLOOKUP(Tabla1[[#This Row],[Ean Normalizado]],Consumos!A:A,Consumos!E:E)</f>
        <v>#VALUE!</v>
      </c>
      <c r="R4064" s="38" t="e">
        <f>_xlfn.XLOOKUP(Tabla1[[#This Row],[Ean Normalizado]],tabla_consumos[EAN],tabla_consumos[UM])</f>
        <v>#VALUE!</v>
      </c>
      <c r="S4064" s="38" t="e">
        <f>Tabla1[[#This Row],[StockDisp]]*Tabla1[[#This Row],[UM producto]]</f>
        <v>#VALUE!</v>
      </c>
    </row>
    <row r="4065" spans="1:19" x14ac:dyDescent="0.35">
      <c r="A4065" s="5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6"/>
      <c r="P4065" s="23" t="e">
        <f>TRIM(Tabla1[[#This Row],[Articulo]])</f>
        <v>#VALUE!</v>
      </c>
      <c r="Q4065" s="23" t="e">
        <f>_xlfn.XLOOKUP(Tabla1[[#This Row],[Ean Normalizado]],Consumos!A:A,Consumos!E:E)</f>
        <v>#VALUE!</v>
      </c>
      <c r="R4065" s="38" t="e">
        <f>_xlfn.XLOOKUP(Tabla1[[#This Row],[Ean Normalizado]],tabla_consumos[EAN],tabla_consumos[UM])</f>
        <v>#VALUE!</v>
      </c>
      <c r="S4065" s="38" t="e">
        <f>Tabla1[[#This Row],[StockDisp]]*Tabla1[[#This Row],[UM producto]]</f>
        <v>#VALUE!</v>
      </c>
    </row>
    <row r="4066" spans="1:19" x14ac:dyDescent="0.35">
      <c r="A4066" s="5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6"/>
      <c r="P4066" s="23" t="e">
        <f>TRIM(Tabla1[[#This Row],[Articulo]])</f>
        <v>#VALUE!</v>
      </c>
      <c r="Q4066" s="23" t="e">
        <f>_xlfn.XLOOKUP(Tabla1[[#This Row],[Ean Normalizado]],Consumos!A:A,Consumos!E:E)</f>
        <v>#VALUE!</v>
      </c>
      <c r="R4066" s="38" t="e">
        <f>_xlfn.XLOOKUP(Tabla1[[#This Row],[Ean Normalizado]],tabla_consumos[EAN],tabla_consumos[UM])</f>
        <v>#VALUE!</v>
      </c>
      <c r="S4066" s="38" t="e">
        <f>Tabla1[[#This Row],[StockDisp]]*Tabla1[[#This Row],[UM producto]]</f>
        <v>#VALUE!</v>
      </c>
    </row>
    <row r="4067" spans="1:19" x14ac:dyDescent="0.35">
      <c r="A4067" s="5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6"/>
      <c r="P4067" s="23" t="e">
        <f>TRIM(Tabla1[[#This Row],[Articulo]])</f>
        <v>#VALUE!</v>
      </c>
      <c r="Q4067" s="23" t="e">
        <f>_xlfn.XLOOKUP(Tabla1[[#This Row],[Ean Normalizado]],Consumos!A:A,Consumos!E:E)</f>
        <v>#VALUE!</v>
      </c>
      <c r="R4067" s="38" t="e">
        <f>_xlfn.XLOOKUP(Tabla1[[#This Row],[Ean Normalizado]],tabla_consumos[EAN],tabla_consumos[UM])</f>
        <v>#VALUE!</v>
      </c>
      <c r="S4067" s="38" t="e">
        <f>Tabla1[[#This Row],[StockDisp]]*Tabla1[[#This Row],[UM producto]]</f>
        <v>#VALUE!</v>
      </c>
    </row>
    <row r="4068" spans="1:19" x14ac:dyDescent="0.35">
      <c r="A4068" s="5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6"/>
      <c r="P4068" s="23" t="e">
        <f>TRIM(Tabla1[[#This Row],[Articulo]])</f>
        <v>#VALUE!</v>
      </c>
      <c r="Q4068" s="23" t="e">
        <f>_xlfn.XLOOKUP(Tabla1[[#This Row],[Ean Normalizado]],Consumos!A:A,Consumos!E:E)</f>
        <v>#VALUE!</v>
      </c>
      <c r="R4068" s="38" t="e">
        <f>_xlfn.XLOOKUP(Tabla1[[#This Row],[Ean Normalizado]],tabla_consumos[EAN],tabla_consumos[UM])</f>
        <v>#VALUE!</v>
      </c>
      <c r="S4068" s="38" t="e">
        <f>Tabla1[[#This Row],[StockDisp]]*Tabla1[[#This Row],[UM producto]]</f>
        <v>#VALUE!</v>
      </c>
    </row>
    <row r="4069" spans="1:19" x14ac:dyDescent="0.35">
      <c r="A4069" s="5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6"/>
      <c r="P4069" s="23" t="e">
        <f>TRIM(Tabla1[[#This Row],[Articulo]])</f>
        <v>#VALUE!</v>
      </c>
      <c r="Q4069" s="23" t="e">
        <f>_xlfn.XLOOKUP(Tabla1[[#This Row],[Ean Normalizado]],Consumos!A:A,Consumos!E:E)</f>
        <v>#VALUE!</v>
      </c>
      <c r="R4069" s="38" t="e">
        <f>_xlfn.XLOOKUP(Tabla1[[#This Row],[Ean Normalizado]],tabla_consumos[EAN],tabla_consumos[UM])</f>
        <v>#VALUE!</v>
      </c>
      <c r="S4069" s="38" t="e">
        <f>Tabla1[[#This Row],[StockDisp]]*Tabla1[[#This Row],[UM producto]]</f>
        <v>#VALUE!</v>
      </c>
    </row>
    <row r="4070" spans="1:19" x14ac:dyDescent="0.35">
      <c r="A4070" s="5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6"/>
      <c r="P4070" s="23" t="e">
        <f>TRIM(Tabla1[[#This Row],[Articulo]])</f>
        <v>#VALUE!</v>
      </c>
      <c r="Q4070" s="23" t="e">
        <f>_xlfn.XLOOKUP(Tabla1[[#This Row],[Ean Normalizado]],Consumos!A:A,Consumos!E:E)</f>
        <v>#VALUE!</v>
      </c>
      <c r="R4070" s="38" t="e">
        <f>_xlfn.XLOOKUP(Tabla1[[#This Row],[Ean Normalizado]],tabla_consumos[EAN],tabla_consumos[UM])</f>
        <v>#VALUE!</v>
      </c>
      <c r="S4070" s="38" t="e">
        <f>Tabla1[[#This Row],[StockDisp]]*Tabla1[[#This Row],[UM producto]]</f>
        <v>#VALUE!</v>
      </c>
    </row>
    <row r="4071" spans="1:19" x14ac:dyDescent="0.35">
      <c r="A4071" s="5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6"/>
      <c r="P4071" s="23" t="e">
        <f>TRIM(Tabla1[[#This Row],[Articulo]])</f>
        <v>#VALUE!</v>
      </c>
      <c r="Q4071" s="23" t="e">
        <f>_xlfn.XLOOKUP(Tabla1[[#This Row],[Ean Normalizado]],Consumos!A:A,Consumos!E:E)</f>
        <v>#VALUE!</v>
      </c>
      <c r="R4071" s="38" t="e">
        <f>_xlfn.XLOOKUP(Tabla1[[#This Row],[Ean Normalizado]],tabla_consumos[EAN],tabla_consumos[UM])</f>
        <v>#VALUE!</v>
      </c>
      <c r="S4071" s="38" t="e">
        <f>Tabla1[[#This Row],[StockDisp]]*Tabla1[[#This Row],[UM producto]]</f>
        <v>#VALUE!</v>
      </c>
    </row>
    <row r="4072" spans="1:19" x14ac:dyDescent="0.35">
      <c r="A4072" s="5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6"/>
      <c r="P4072" s="23" t="e">
        <f>TRIM(Tabla1[[#This Row],[Articulo]])</f>
        <v>#VALUE!</v>
      </c>
      <c r="Q4072" s="23" t="e">
        <f>_xlfn.XLOOKUP(Tabla1[[#This Row],[Ean Normalizado]],Consumos!A:A,Consumos!E:E)</f>
        <v>#VALUE!</v>
      </c>
      <c r="R4072" s="22" t="e">
        <f>_xlfn.XLOOKUP(Tabla1[[#This Row],[Ean Normalizado]],tabla_consumos[EAN],tabla_consumos[UM])</f>
        <v>#VALUE!</v>
      </c>
      <c r="S4072" s="22" t="e">
        <f>Tabla1[[#This Row],[StockDisp]]*Tabla1[[#This Row],[UM producto]]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rgb="FFFFFF00"/>
  </sheetPr>
  <dimension ref="A1:I64"/>
  <sheetViews>
    <sheetView tabSelected="1" workbookViewId="0">
      <selection activeCell="H8" sqref="H8"/>
    </sheetView>
  </sheetViews>
  <sheetFormatPr baseColWidth="10" defaultColWidth="11.453125" defaultRowHeight="14.5" x14ac:dyDescent="0.35"/>
  <cols>
    <col min="1" max="1" width="40.36328125" style="3" bestFit="1" customWidth="1"/>
    <col min="2" max="2" width="16.1796875" customWidth="1"/>
    <col min="3" max="3" width="5.54296875" customWidth="1"/>
    <col min="4" max="4" width="8.81640625" style="19" customWidth="1"/>
    <col min="5" max="5" width="9.54296875" style="19" customWidth="1"/>
    <col min="6" max="6" width="11.08984375" style="19" customWidth="1"/>
    <col min="7" max="7" width="24.26953125" customWidth="1"/>
    <col min="8" max="8" width="49.26953125" bestFit="1" customWidth="1"/>
    <col min="9" max="9" width="13.7265625" bestFit="1" customWidth="1"/>
  </cols>
  <sheetData>
    <row r="1" spans="1:9" x14ac:dyDescent="0.35">
      <c r="A1" s="16" t="s">
        <v>0</v>
      </c>
      <c r="B1" s="16" t="s">
        <v>1</v>
      </c>
      <c r="C1" s="25" t="s">
        <v>2</v>
      </c>
      <c r="D1" s="26" t="s">
        <v>3</v>
      </c>
      <c r="E1" s="16" t="s">
        <v>4</v>
      </c>
      <c r="F1" s="16" t="s">
        <v>5</v>
      </c>
      <c r="G1" s="13" t="s">
        <v>6</v>
      </c>
      <c r="H1" s="43" t="s">
        <v>7</v>
      </c>
      <c r="I1" s="13" t="s">
        <v>8</v>
      </c>
    </row>
    <row r="2" spans="1:9" hidden="1" x14ac:dyDescent="0.35">
      <c r="A2" s="20" t="s">
        <v>9</v>
      </c>
      <c r="B2" s="20">
        <v>100</v>
      </c>
      <c r="C2" s="27">
        <f>SUMIF(Tabla1[Familia],Tabla2[[#This Row],[Familia]],Tabla1[Total])/Tabla2[[#This Row],[UM ultima compra]]</f>
        <v>149</v>
      </c>
      <c r="D2" s="28">
        <f>SUMIF(tabla_consumos[Familia],Tabla2[[#This Row],[Familia]],tabla_consumos[Consumo total])/Tabla2[[#This Row],[UM ultima compra]]</f>
        <v>216</v>
      </c>
      <c r="E2" s="20">
        <f>Tabla2[[#This Row],[Stock]]-Tabla2[[#This Row],[Consumo]]</f>
        <v>-67</v>
      </c>
      <c r="F2" s="34">
        <f>IFERROR(Tabla2[[#This Row],[Stock]]/Tabla2[[#This Row],[Consumo]],"Sin consumo")</f>
        <v>0.68981481481481477</v>
      </c>
      <c r="G2" s="20"/>
      <c r="H2" s="1">
        <v>4600122109</v>
      </c>
      <c r="I2" s="1" t="s">
        <v>10</v>
      </c>
    </row>
    <row r="3" spans="1:9" hidden="1" x14ac:dyDescent="0.35">
      <c r="A3" s="4" t="s">
        <v>11</v>
      </c>
      <c r="B3" s="4">
        <v>1000</v>
      </c>
      <c r="C3" s="27">
        <f>SUMIF(Tabla1[Familia],Tabla2[[#This Row],[Familia]],Tabla1[Total])/Tabla2[[#This Row],[UM ultima compra]]</f>
        <v>40</v>
      </c>
      <c r="D3" s="30">
        <v>23</v>
      </c>
      <c r="E3" s="4">
        <f>Tabla2[[#This Row],[Stock]]-Tabla2[[#This Row],[Consumo]]</f>
        <v>17</v>
      </c>
      <c r="F3" s="34">
        <f>IFERROR(Tabla2[[#This Row],[Stock]]/Tabla2[[#This Row],[Consumo]],"Sin consumo")</f>
        <v>1.7391304347826086</v>
      </c>
      <c r="G3" s="35"/>
      <c r="H3" s="1"/>
      <c r="I3" s="1" t="s">
        <v>12</v>
      </c>
    </row>
    <row r="4" spans="1:9" hidden="1" x14ac:dyDescent="0.35">
      <c r="A4" s="4" t="s">
        <v>13</v>
      </c>
      <c r="B4" s="4">
        <v>100</v>
      </c>
      <c r="C4" s="29">
        <f>SUMIF(Tabla1[Familia],Tabla2[[#This Row],[Familia]],Tabla1[Total])/Tabla2[[#This Row],[UM ultima compra]]</f>
        <v>1816</v>
      </c>
      <c r="D4" s="30">
        <f>SUMIF(tabla_consumos[Familia],Tabla2[[#This Row],[Familia]],tabla_consumos[Consumo total])/Tabla2[[#This Row],[UM ultima compra]]</f>
        <v>1651</v>
      </c>
      <c r="E4" s="4">
        <f>Tabla2[[#This Row],[Stock]]-Tabla2[[#This Row],[Consumo]]</f>
        <v>165</v>
      </c>
      <c r="F4" s="34">
        <f>IFERROR(Tabla2[[#This Row],[Stock]]/Tabla2[[#This Row],[Consumo]],"Sin consumo")</f>
        <v>1.0999394306480921</v>
      </c>
      <c r="G4" s="4"/>
      <c r="H4" s="1"/>
      <c r="I4" s="1" t="s">
        <v>15</v>
      </c>
    </row>
    <row r="5" spans="1:9" hidden="1" x14ac:dyDescent="0.35">
      <c r="A5" s="4" t="s">
        <v>16</v>
      </c>
      <c r="B5" s="4">
        <v>1000</v>
      </c>
      <c r="C5" s="29">
        <f>SUMIF(Tabla1[Familia],Tabla2[[#This Row],[Familia]],Tabla1[Total])/Tabla2[[#This Row],[UM ultima compra]]</f>
        <v>50</v>
      </c>
      <c r="D5" s="30">
        <v>25</v>
      </c>
      <c r="E5" s="4">
        <f>Tabla2[[#This Row],[Stock]]-Tabla2[[#This Row],[Consumo]]</f>
        <v>25</v>
      </c>
      <c r="F5" s="34">
        <f>IFERROR(Tabla2[[#This Row],[Stock]]/Tabla2[[#This Row],[Consumo]],"Sin consumo")</f>
        <v>2</v>
      </c>
      <c r="G5" s="35"/>
      <c r="H5" s="1"/>
      <c r="I5" s="1" t="s">
        <v>12</v>
      </c>
    </row>
    <row r="6" spans="1:9" hidden="1" x14ac:dyDescent="0.35">
      <c r="A6" s="4" t="s">
        <v>17</v>
      </c>
      <c r="B6" s="4">
        <v>1000</v>
      </c>
      <c r="C6" s="29">
        <f>SUMIF(Tabla1[Familia],Tabla2[[#This Row],[Familia]],Tabla1[Total])/Tabla2[[#This Row],[UM ultima compra]]</f>
        <v>50</v>
      </c>
      <c r="D6" s="30">
        <v>25</v>
      </c>
      <c r="E6" s="4">
        <f>Tabla2[[#This Row],[Stock]]-Tabla2[[#This Row],[Consumo]]</f>
        <v>25</v>
      </c>
      <c r="F6" s="34">
        <f>IFERROR(Tabla2[[#This Row],[Stock]]/Tabla2[[#This Row],[Consumo]],"Sin consumo")</f>
        <v>2</v>
      </c>
      <c r="G6" s="35"/>
      <c r="H6" s="1"/>
      <c r="I6" s="1" t="s">
        <v>12</v>
      </c>
    </row>
    <row r="7" spans="1:9" x14ac:dyDescent="0.35">
      <c r="A7" s="4" t="s">
        <v>18</v>
      </c>
      <c r="B7" s="4">
        <v>1000</v>
      </c>
      <c r="C7" s="29">
        <f>SUMIF(Tabla1[Familia],Tabla2[[#This Row],[Familia]],Tabla1[Total])/Tabla2[[#This Row],[UM ultima compra]]</f>
        <v>0</v>
      </c>
      <c r="D7" s="30">
        <f>SUMIF(tabla_consumos[Familia],Tabla2[[#This Row],[Familia]],tabla_consumos[Consumo total])/Tabla2[[#This Row],[UM ultima compra]]</f>
        <v>42</v>
      </c>
      <c r="E7" s="4">
        <f>Tabla2[[#This Row],[Stock]]-Tabla2[[#This Row],[Consumo]]</f>
        <v>-42</v>
      </c>
      <c r="F7" s="34">
        <f>IFERROR(Tabla2[[#This Row],[Stock]]/Tabla2[[#This Row],[Consumo]],"Sin consumo")</f>
        <v>0</v>
      </c>
      <c r="G7" s="35" t="s">
        <v>19</v>
      </c>
      <c r="H7" s="1"/>
      <c r="I7" s="1" t="s">
        <v>12</v>
      </c>
    </row>
    <row r="8" spans="1:9" ht="15" customHeight="1" x14ac:dyDescent="0.35">
      <c r="A8" s="4" t="s">
        <v>20</v>
      </c>
      <c r="B8" s="4">
        <v>1000</v>
      </c>
      <c r="C8" s="29">
        <f>SUMIF(Tabla1[Familia],Tabla2[[#This Row],[Familia]],Tabla1[Total])/Tabla2[[#This Row],[UM ultima compra]]</f>
        <v>0</v>
      </c>
      <c r="D8" s="30">
        <f>SUMIF(tabla_consumos[Familia],Tabla2[[#This Row],[Familia]],tabla_consumos[Consumo total])/Tabla2[[#This Row],[UM ultima compra]]</f>
        <v>35</v>
      </c>
      <c r="E8" s="4">
        <f>Tabla2[[#This Row],[Stock]]-Tabla2[[#This Row],[Consumo]]</f>
        <v>-35</v>
      </c>
      <c r="F8" s="34">
        <f>IFERROR(Tabla2[[#This Row],[Stock]]/Tabla2[[#This Row],[Consumo]],"Sin consumo")</f>
        <v>0</v>
      </c>
      <c r="G8" s="4" t="s">
        <v>21</v>
      </c>
      <c r="H8" s="1"/>
      <c r="I8" s="1"/>
    </row>
    <row r="9" spans="1:9" hidden="1" x14ac:dyDescent="0.35">
      <c r="A9" s="4" t="s">
        <v>22</v>
      </c>
      <c r="B9" s="4">
        <v>1000</v>
      </c>
      <c r="C9" s="29">
        <f>SUMIF(Tabla1[Familia],Tabla2[[#This Row],[Familia]],Tabla1[Total])/Tabla2[[#This Row],[UM ultima compra]]</f>
        <v>445</v>
      </c>
      <c r="D9" s="30">
        <f>SUMIF(tabla_consumos[Familia],Tabla2[[#This Row],[Familia]],tabla_consumos[Consumo total])/Tabla2[[#This Row],[UM ultima compra]]</f>
        <v>300</v>
      </c>
      <c r="E9" s="4">
        <f>Tabla2[[#This Row],[Stock]]-Tabla2[[#This Row],[Consumo]]</f>
        <v>145</v>
      </c>
      <c r="F9" s="34">
        <f>IFERROR(Tabla2[[#This Row],[Stock]]/Tabla2[[#This Row],[Consumo]],"Sin consumo")</f>
        <v>1.4833333333333334</v>
      </c>
      <c r="G9" s="4"/>
      <c r="H9" s="1">
        <v>4600122542</v>
      </c>
      <c r="I9" s="1" t="s">
        <v>15</v>
      </c>
    </row>
    <row r="10" spans="1:9" hidden="1" x14ac:dyDescent="0.35">
      <c r="A10" s="4" t="s">
        <v>23</v>
      </c>
      <c r="B10" s="4">
        <v>1000</v>
      </c>
      <c r="C10" s="29">
        <f>SUMIF(Tabla1[Familia],Tabla2[[#This Row],[Familia]],Tabla1[Total])/Tabla2[[#This Row],[UM ultima compra]]</f>
        <v>75.2</v>
      </c>
      <c r="D10" s="30">
        <f>SUMIF(tabla_consumos[Familia],Tabla2[[#This Row],[Familia]],tabla_consumos[Consumo total])/Tabla2[[#This Row],[UM ultima compra]]</f>
        <v>16</v>
      </c>
      <c r="E10" s="4">
        <f>Tabla2[[#This Row],[Stock]]-Tabla2[[#This Row],[Consumo]]</f>
        <v>59.2</v>
      </c>
      <c r="F10" s="34">
        <f>IFERROR(Tabla2[[#This Row],[Stock]]/Tabla2[[#This Row],[Consumo]],"Sin consumo")</f>
        <v>4.7</v>
      </c>
      <c r="G10" s="4"/>
      <c r="H10" s="1">
        <v>4600122094</v>
      </c>
      <c r="I10" s="52" t="s">
        <v>24</v>
      </c>
    </row>
    <row r="11" spans="1:9" hidden="1" x14ac:dyDescent="0.35">
      <c r="A11" s="4" t="s">
        <v>25</v>
      </c>
      <c r="B11" s="4">
        <v>1000</v>
      </c>
      <c r="C11" s="29">
        <f>SUMIF(Tabla1[Familia],Tabla2[[#This Row],[Familia]],Tabla1[Total])/Tabla2[[#This Row],[UM ultima compra]]</f>
        <v>124</v>
      </c>
      <c r="D11" s="30">
        <f>SUMIF(tabla_consumos[Familia],Tabla2[[#This Row],[Familia]],tabla_consumos[Consumo total])/Tabla2[[#This Row],[UM ultima compra]]</f>
        <v>161</v>
      </c>
      <c r="E11" s="4">
        <f>Tabla2[[#This Row],[Stock]]-Tabla2[[#This Row],[Consumo]]</f>
        <v>-37</v>
      </c>
      <c r="F11" s="34">
        <f>IFERROR(Tabla2[[#This Row],[Stock]]/Tabla2[[#This Row],[Consumo]],"Sin consumo")</f>
        <v>0.77018633540372672</v>
      </c>
      <c r="G11" s="4"/>
      <c r="H11" s="1">
        <v>4600122237</v>
      </c>
      <c r="I11" s="1" t="s">
        <v>26</v>
      </c>
    </row>
    <row r="12" spans="1:9" hidden="1" x14ac:dyDescent="0.35">
      <c r="A12" s="4" t="s">
        <v>27</v>
      </c>
      <c r="B12" s="4">
        <v>1000</v>
      </c>
      <c r="C12" s="29">
        <f>SUMIF(Tabla1[Familia],Tabla2[[#This Row],[Familia]],Tabla1[Total])/Tabla2[[#This Row],[UM ultima compra]]</f>
        <v>62</v>
      </c>
      <c r="D12" s="30">
        <f>SUMIF(tabla_consumos[Familia],Tabla2[[#This Row],[Familia]],tabla_consumos[Consumo total])/Tabla2[[#This Row],[UM ultima compra]]</f>
        <v>12</v>
      </c>
      <c r="E12" s="4">
        <f>Tabla2[[#This Row],[Stock]]-Tabla2[[#This Row],[Consumo]]</f>
        <v>50</v>
      </c>
      <c r="F12" s="34">
        <f>IFERROR(Tabla2[[#This Row],[Stock]]/Tabla2[[#This Row],[Consumo]],"Sin consumo")</f>
        <v>5.166666666666667</v>
      </c>
      <c r="G12" s="4"/>
      <c r="H12" s="1"/>
      <c r="I12" s="1"/>
    </row>
    <row r="13" spans="1:9" x14ac:dyDescent="0.35">
      <c r="A13" s="4" t="s">
        <v>28</v>
      </c>
      <c r="B13" s="4">
        <v>1</v>
      </c>
      <c r="C13" s="29">
        <f>SUMIF(Tabla1[Familia],Tabla2[[#This Row],[Familia]],Tabla1[Total])/Tabla2[[#This Row],[UM ultima compra]]</f>
        <v>0</v>
      </c>
      <c r="D13" s="30">
        <f>SUMIF(tabla_consumos[Familia],Tabla2[[#This Row],[Familia]],tabla_consumos[Consumo total])/Tabla2[[#This Row],[UM ultima compra]]</f>
        <v>354</v>
      </c>
      <c r="E13" s="4">
        <f>Tabla2[[#This Row],[Stock]]-Tabla2[[#This Row],[Consumo]]</f>
        <v>-354</v>
      </c>
      <c r="F13" s="34">
        <f>IFERROR(Tabla2[[#This Row],[Stock]]/Tabla2[[#This Row],[Consumo]],"Sin consumo")</f>
        <v>0</v>
      </c>
      <c r="G13" s="4" t="s">
        <v>29</v>
      </c>
      <c r="H13" s="52"/>
      <c r="I13" s="52"/>
    </row>
    <row r="14" spans="1:9" hidden="1" x14ac:dyDescent="0.35">
      <c r="A14" s="4" t="s">
        <v>30</v>
      </c>
      <c r="B14" s="4">
        <v>1000</v>
      </c>
      <c r="C14" s="29">
        <f>SUMIF(Tabla1[Familia],Tabla2[[#This Row],[Familia]],Tabla1[Total])/Tabla2[[#This Row],[UM ultima compra]]</f>
        <v>251</v>
      </c>
      <c r="D14" s="30">
        <f>SUMIF(tabla_consumos[Familia],Tabla2[[#This Row],[Familia]],tabla_consumos[Consumo total])/Tabla2[[#This Row],[UM ultima compra]]</f>
        <v>55</v>
      </c>
      <c r="E14" s="4">
        <f>Tabla2[[#This Row],[Stock]]-Tabla2[[#This Row],[Consumo]]</f>
        <v>196</v>
      </c>
      <c r="F14" s="34">
        <f>IFERROR(Tabla2[[#This Row],[Stock]]/Tabla2[[#This Row],[Consumo]],"Sin consumo")</f>
        <v>4.5636363636363635</v>
      </c>
      <c r="G14" s="4"/>
      <c r="H14" s="1">
        <v>4600122001</v>
      </c>
      <c r="I14" s="52" t="s">
        <v>26</v>
      </c>
    </row>
    <row r="15" spans="1:9" hidden="1" x14ac:dyDescent="0.35">
      <c r="A15" s="4" t="s">
        <v>31</v>
      </c>
      <c r="B15" s="4">
        <v>1000</v>
      </c>
      <c r="C15" s="29">
        <f>SUMIF(Tabla1[Familia],Tabla2[[#This Row],[Familia]],Tabla1[Total])/Tabla2[[#This Row],[UM ultima compra]]</f>
        <v>0</v>
      </c>
      <c r="D15" s="30">
        <f>SUMIF(tabla_consumos[Familia],Tabla2[[#This Row],[Familia]],tabla_consumos[Consumo total])/Tabla2[[#This Row],[UM ultima compra]]</f>
        <v>0</v>
      </c>
      <c r="E15" s="4">
        <f>Tabla2[[#This Row],[Stock]]-Tabla2[[#This Row],[Consumo]]</f>
        <v>0</v>
      </c>
      <c r="F15" s="34" t="str">
        <f>IFERROR(Tabla2[[#This Row],[Stock]]/Tabla2[[#This Row],[Consumo]],"Sin consumo")</f>
        <v>Sin consumo</v>
      </c>
      <c r="G15" s="4"/>
      <c r="H15" s="1"/>
      <c r="I15" s="1"/>
    </row>
    <row r="16" spans="1:9" hidden="1" x14ac:dyDescent="0.35">
      <c r="A16" s="4" t="s">
        <v>32</v>
      </c>
      <c r="B16" s="4">
        <v>50</v>
      </c>
      <c r="C16" s="29">
        <f>SUMIF(Tabla1[Familia],Tabla2[[#This Row],[Familia]],Tabla1[Total])/Tabla2[[#This Row],[UM ultima compra]]</f>
        <v>610</v>
      </c>
      <c r="D16" s="30">
        <f>SUMIF(tabla_consumos[Familia],Tabla2[[#This Row],[Familia]],tabla_consumos[Consumo total])/Tabla2[[#This Row],[UM ultima compra]]</f>
        <v>152</v>
      </c>
      <c r="E16" s="4">
        <f>Tabla2[[#This Row],[Stock]]-Tabla2[[#This Row],[Consumo]]</f>
        <v>458</v>
      </c>
      <c r="F16" s="34">
        <f>IFERROR(Tabla2[[#This Row],[Stock]]/Tabla2[[#This Row],[Consumo]],"Sin consumo")</f>
        <v>4.0131578947368425</v>
      </c>
      <c r="G16" s="4"/>
      <c r="H16" s="1">
        <v>4600122676</v>
      </c>
      <c r="I16" s="1" t="s">
        <v>33</v>
      </c>
    </row>
    <row r="17" spans="1:9" hidden="1" x14ac:dyDescent="0.35">
      <c r="A17" s="4" t="s">
        <v>34</v>
      </c>
      <c r="B17" s="4">
        <v>600</v>
      </c>
      <c r="C17" s="29">
        <f>SUMIF(Tabla1[Familia],Tabla2[[#This Row],[Familia]],Tabla1[Total])/Tabla2[[#This Row],[UM ultima compra]]</f>
        <v>27</v>
      </c>
      <c r="D17" s="30">
        <f>SUMIF(tabla_consumos[Familia],Tabla2[[#This Row],[Familia]],tabla_consumos[Consumo total])/Tabla2[[#This Row],[UM ultima compra]]</f>
        <v>12</v>
      </c>
      <c r="E17" s="4">
        <f>Tabla2[[#This Row],[Stock]]-Tabla2[[#This Row],[Consumo]]</f>
        <v>15</v>
      </c>
      <c r="F17" s="34">
        <f>IFERROR(Tabla2[[#This Row],[Stock]]/Tabla2[[#This Row],[Consumo]],"Sin consumo")</f>
        <v>2.25</v>
      </c>
      <c r="G17" s="4"/>
      <c r="H17" s="1">
        <v>4600121603</v>
      </c>
      <c r="I17" s="1" t="s">
        <v>35</v>
      </c>
    </row>
    <row r="18" spans="1:9" hidden="1" x14ac:dyDescent="0.35">
      <c r="A18" s="4" t="s">
        <v>36</v>
      </c>
      <c r="B18" s="4">
        <v>1000</v>
      </c>
      <c r="C18" s="29">
        <f>SUMIF(Tabla1[Familia],Tabla2[[#This Row],[Familia]],Tabla1[Total])/Tabla2[[#This Row],[UM ultima compra]]</f>
        <v>369</v>
      </c>
      <c r="D18" s="30">
        <f>SUMIF(tabla_consumos[Familia],Tabla2[[#This Row],[Familia]],tabla_consumos[Consumo total])/Tabla2[[#This Row],[UM ultima compra]]</f>
        <v>415</v>
      </c>
      <c r="E18" s="4">
        <f>Tabla2[[#This Row],[Stock]]-Tabla2[[#This Row],[Consumo]]</f>
        <v>-46</v>
      </c>
      <c r="F18" s="34">
        <f>IFERROR(Tabla2[[#This Row],[Stock]]/Tabla2[[#This Row],[Consumo]],"Sin consumo")</f>
        <v>0.88915662650602412</v>
      </c>
      <c r="G18" s="4"/>
      <c r="H18" s="1">
        <v>4600121883</v>
      </c>
      <c r="I18" s="52" t="s">
        <v>10</v>
      </c>
    </row>
    <row r="19" spans="1:9" ht="12" hidden="1" customHeight="1" x14ac:dyDescent="0.35">
      <c r="A19" s="4" t="s">
        <v>37</v>
      </c>
      <c r="B19" s="4">
        <v>100</v>
      </c>
      <c r="C19" s="29">
        <f>SUMIF(Tabla1[Familia],Tabla2[[#This Row],[Familia]],Tabla1[Total])/Tabla2[[#This Row],[UM ultima compra]]</f>
        <v>417</v>
      </c>
      <c r="D19" s="30">
        <f>SUMIF(tabla_consumos[Familia],Tabla2[[#This Row],[Familia]],tabla_consumos[Consumo total])/Tabla2[[#This Row],[UM ultima compra]]</f>
        <v>225</v>
      </c>
      <c r="E19" s="4">
        <f>Tabla2[[#This Row],[Stock]]-Tabla2[[#This Row],[Consumo]]</f>
        <v>192</v>
      </c>
      <c r="F19" s="34">
        <f>IFERROR(Tabla2[[#This Row],[Stock]]/Tabla2[[#This Row],[Consumo]],"Sin consumo")</f>
        <v>1.8533333333333333</v>
      </c>
      <c r="G19" s="4"/>
      <c r="H19" s="1">
        <v>4600122427</v>
      </c>
      <c r="I19" s="1" t="s">
        <v>38</v>
      </c>
    </row>
    <row r="20" spans="1:9" x14ac:dyDescent="0.35">
      <c r="A20" s="4" t="s">
        <v>39</v>
      </c>
      <c r="B20" s="4">
        <v>600</v>
      </c>
      <c r="C20" s="29">
        <f>SUMIF(Tabla1[Familia],Tabla2[[#This Row],[Familia]],Tabla1[Total])/Tabla2[[#This Row],[UM ultima compra]]</f>
        <v>0</v>
      </c>
      <c r="D20" s="30">
        <f>SUMIF(tabla_consumos[Familia],Tabla2[[#This Row],[Familia]],tabla_consumos[Consumo total])/Tabla2[[#This Row],[UM ultima compra]]</f>
        <v>20</v>
      </c>
      <c r="E20" s="4">
        <f>Tabla2[[#This Row],[Stock]]-Tabla2[[#This Row],[Consumo]]</f>
        <v>-20</v>
      </c>
      <c r="F20" s="34">
        <f>IFERROR(Tabla2[[#This Row],[Stock]]/Tabla2[[#This Row],[Consumo]],"Sin consumo")</f>
        <v>0</v>
      </c>
      <c r="G20" s="4" t="s">
        <v>14</v>
      </c>
      <c r="H20" s="1">
        <v>4200295502</v>
      </c>
      <c r="I20" s="1" t="s">
        <v>35</v>
      </c>
    </row>
    <row r="21" spans="1:9" x14ac:dyDescent="0.35">
      <c r="A21" s="4" t="s">
        <v>40</v>
      </c>
      <c r="B21" s="4">
        <v>6</v>
      </c>
      <c r="C21" s="29">
        <f>SUMIF(Tabla1[Familia],Tabla2[[#This Row],[Familia]],Tabla1[Total])/Tabla2[[#This Row],[UM ultima compra]]</f>
        <v>14</v>
      </c>
      <c r="D21" s="30">
        <f>SUMIF(tabla_consumos[Familia],Tabla2[[#This Row],[Familia]],tabla_consumos[Consumo total])/Tabla2[[#This Row],[UM ultima compra]]</f>
        <v>35</v>
      </c>
      <c r="E21" s="4">
        <f>Tabla2[[#This Row],[Stock]]-Tabla2[[#This Row],[Consumo]]</f>
        <v>-21</v>
      </c>
      <c r="F21" s="34">
        <f>IFERROR(Tabla2[[#This Row],[Stock]]/Tabla2[[#This Row],[Consumo]],"Sin consumo")</f>
        <v>0.4</v>
      </c>
      <c r="G21" s="4" t="s">
        <v>14</v>
      </c>
      <c r="H21" s="1">
        <v>4600122805</v>
      </c>
      <c r="I21" s="1" t="s">
        <v>41</v>
      </c>
    </row>
    <row r="22" spans="1:9" hidden="1" x14ac:dyDescent="0.35">
      <c r="A22" s="4" t="s">
        <v>42</v>
      </c>
      <c r="B22" s="4">
        <v>500</v>
      </c>
      <c r="C22" s="29">
        <f>SUMIF(Tabla1[Familia],Tabla2[[#This Row],[Familia]],Tabla1[Total])/Tabla2[[#This Row],[UM ultima compra]]</f>
        <v>2517</v>
      </c>
      <c r="D22" s="30">
        <f>SUMIF(tabla_consumos[Familia],Tabla2[[#This Row],[Familia]],tabla_consumos[Consumo total])/Tabla2[[#This Row],[UM ultima compra]]</f>
        <v>885</v>
      </c>
      <c r="E22" s="4">
        <f>Tabla2[[#This Row],[Stock]]-Tabla2[[#This Row],[Consumo]]</f>
        <v>1632</v>
      </c>
      <c r="F22" s="34">
        <f>IFERROR(Tabla2[[#This Row],[Stock]]/Tabla2[[#This Row],[Consumo]],"Sin consumo")</f>
        <v>2.8440677966101693</v>
      </c>
      <c r="G22" s="4"/>
      <c r="H22" s="1">
        <v>4600122321</v>
      </c>
      <c r="I22" s="1" t="s">
        <v>43</v>
      </c>
    </row>
    <row r="23" spans="1:9" hidden="1" x14ac:dyDescent="0.35">
      <c r="A23" s="4" t="s">
        <v>44</v>
      </c>
      <c r="B23" s="4">
        <v>1000</v>
      </c>
      <c r="C23" s="29">
        <f>SUMIF(Tabla1[Familia],Tabla2[[#This Row],[Familia]],Tabla1[Total])/Tabla2[[#This Row],[UM ultima compra]]</f>
        <v>187</v>
      </c>
      <c r="D23" s="30">
        <f>SUMIF(tabla_consumos[Familia],Tabla2[[#This Row],[Familia]],tabla_consumos[Consumo total])/Tabla2[[#This Row],[UM ultima compra]]</f>
        <v>146</v>
      </c>
      <c r="E23" s="4">
        <f>Tabla2[[#This Row],[Stock]]-Tabla2[[#This Row],[Consumo]]</f>
        <v>41</v>
      </c>
      <c r="F23" s="34">
        <f>IFERROR(Tabla2[[#This Row],[Stock]]/Tabla2[[#This Row],[Consumo]],"Sin consumo")</f>
        <v>1.2808219178082192</v>
      </c>
      <c r="G23" s="4"/>
      <c r="H23" s="1">
        <v>4600122427</v>
      </c>
      <c r="I23" s="1" t="s">
        <v>38</v>
      </c>
    </row>
    <row r="24" spans="1:9" hidden="1" x14ac:dyDescent="0.35">
      <c r="A24" s="4" t="s">
        <v>45</v>
      </c>
      <c r="B24" s="4">
        <v>12</v>
      </c>
      <c r="C24" s="29">
        <f>SUMIF(Tabla1[Familia],Tabla2[[#This Row],[Familia]],Tabla1[Total])/Tabla2[[#This Row],[UM ultima compra]]</f>
        <v>38</v>
      </c>
      <c r="D24" s="30">
        <f>SUMIF(tabla_consumos[Familia],Tabla2[[#This Row],[Familia]],tabla_consumos[Consumo total])/Tabla2[[#This Row],[UM ultima compra]]</f>
        <v>17</v>
      </c>
      <c r="E24" s="4">
        <f>Tabla2[[#This Row],[Stock]]-Tabla2[[#This Row],[Consumo]]</f>
        <v>21</v>
      </c>
      <c r="F24" s="34">
        <f>IFERROR(Tabla2[[#This Row],[Stock]]/Tabla2[[#This Row],[Consumo]],"Sin consumo")</f>
        <v>2.2352941176470589</v>
      </c>
      <c r="G24" s="4"/>
      <c r="H24" s="1"/>
      <c r="I24" s="1"/>
    </row>
    <row r="25" spans="1:9" hidden="1" x14ac:dyDescent="0.35">
      <c r="A25" s="4" t="s">
        <v>46</v>
      </c>
      <c r="B25" s="4">
        <v>1</v>
      </c>
      <c r="C25" s="29">
        <f>SUMIF(Tabla1[Familia],Tabla2[[#This Row],[Familia]],Tabla1[Total])/Tabla2[[#This Row],[UM ultima compra]]</f>
        <v>72</v>
      </c>
      <c r="D25" s="30">
        <f>SUMIF(tabla_consumos[Familia],Tabla2[[#This Row],[Familia]],tabla_consumos[Consumo total])/Tabla2[[#This Row],[UM ultima compra]]</f>
        <v>100</v>
      </c>
      <c r="E25" s="4">
        <f>Tabla2[[#This Row],[Stock]]-Tabla2[[#This Row],[Consumo]]</f>
        <v>-28</v>
      </c>
      <c r="F25" s="34">
        <f>IFERROR(Tabla2[[#This Row],[Stock]]/Tabla2[[#This Row],[Consumo]],"Sin consumo")</f>
        <v>0.72</v>
      </c>
      <c r="G25" s="4"/>
      <c r="H25" s="1"/>
      <c r="I25" s="1"/>
    </row>
    <row r="26" spans="1:9" hidden="1" x14ac:dyDescent="0.35">
      <c r="A26" s="4" t="s">
        <v>47</v>
      </c>
      <c r="B26" s="4">
        <v>100</v>
      </c>
      <c r="C26" s="29">
        <f>SUMIF(Tabla1[Familia],Tabla2[[#This Row],[Familia]],Tabla1[Total])/Tabla2[[#This Row],[UM ultima compra]]</f>
        <v>293</v>
      </c>
      <c r="D26" s="30">
        <f>SUMIF(tabla_consumos[Familia],Tabla2[[#This Row],[Familia]],tabla_consumos[Consumo total])/Tabla2[[#This Row],[UM ultima compra]]</f>
        <v>234</v>
      </c>
      <c r="E26" s="4">
        <f>Tabla2[[#This Row],[Stock]]-Tabla2[[#This Row],[Consumo]]</f>
        <v>59</v>
      </c>
      <c r="F26" s="34">
        <f>IFERROR(Tabla2[[#This Row],[Stock]]/Tabla2[[#This Row],[Consumo]],"Sin consumo")</f>
        <v>1.2521367521367521</v>
      </c>
      <c r="G26" s="4"/>
      <c r="H26" s="1">
        <v>4600121818</v>
      </c>
      <c r="I26" s="1" t="s">
        <v>48</v>
      </c>
    </row>
    <row r="27" spans="1:9" x14ac:dyDescent="0.35">
      <c r="A27" s="4" t="s">
        <v>49</v>
      </c>
      <c r="B27" s="4">
        <v>1000</v>
      </c>
      <c r="C27" s="29">
        <f>SUMIF(Tabla1[Familia],Tabla2[[#This Row],[Familia]],Tabla1[Total])/Tabla2[[#This Row],[UM ultima compra]]</f>
        <v>88</v>
      </c>
      <c r="D27" s="30">
        <f>SUMIF(tabla_consumos[Familia],Tabla2[[#This Row],[Familia]],tabla_consumos[Consumo total])/Tabla2[[#This Row],[UM ultima compra]]</f>
        <v>204</v>
      </c>
      <c r="E27" s="4">
        <f>Tabla2[[#This Row],[Stock]]-Tabla2[[#This Row],[Consumo]]</f>
        <v>-116</v>
      </c>
      <c r="F27" s="34">
        <f>IFERROR(Tabla2[[#This Row],[Stock]]/Tabla2[[#This Row],[Consumo]],"Sin consumo")</f>
        <v>0.43137254901960786</v>
      </c>
      <c r="G27" s="4" t="s">
        <v>50</v>
      </c>
      <c r="H27" s="1">
        <v>5501511547</v>
      </c>
      <c r="I27" s="1" t="s">
        <v>51</v>
      </c>
    </row>
    <row r="28" spans="1:9" x14ac:dyDescent="0.35">
      <c r="A28" s="4" t="s">
        <v>52</v>
      </c>
      <c r="B28" s="4">
        <v>1000</v>
      </c>
      <c r="C28" s="29">
        <f>SUMIF(Tabla1[Familia],Tabla2[[#This Row],[Familia]],Tabla1[Total])/Tabla2[[#This Row],[UM ultima compra]]</f>
        <v>2</v>
      </c>
      <c r="D28" s="30">
        <v>20</v>
      </c>
      <c r="E28" s="4">
        <f>Tabla2[[#This Row],[Stock]]-Tabla2[[#This Row],[Consumo]]</f>
        <v>-18</v>
      </c>
      <c r="F28" s="34">
        <f>IFERROR(Tabla2[[#This Row],[Stock]]/Tabla2[[#This Row],[Consumo]],"Sin consumo")</f>
        <v>0.1</v>
      </c>
      <c r="G28" s="4" t="s">
        <v>14</v>
      </c>
      <c r="H28" s="1">
        <v>4600122806</v>
      </c>
      <c r="I28" s="52" t="s">
        <v>38</v>
      </c>
    </row>
    <row r="29" spans="1:9" hidden="1" x14ac:dyDescent="0.35">
      <c r="A29" s="4" t="s">
        <v>53</v>
      </c>
      <c r="B29" s="4">
        <v>100</v>
      </c>
      <c r="C29" s="29">
        <f>SUMIF(Tabla1[Familia],Tabla2[[#This Row],[Familia]],Tabla1[Total])/Tabla2[[#This Row],[UM ultima compra]]</f>
        <v>417</v>
      </c>
      <c r="D29" s="30">
        <v>400</v>
      </c>
      <c r="E29" s="4">
        <f>Tabla2[[#This Row],[Stock]]-Tabla2[[#This Row],[Consumo]]</f>
        <v>17</v>
      </c>
      <c r="F29" s="34">
        <f>IFERROR(Tabla2[[#This Row],[Stock]]/Tabla2[[#This Row],[Consumo]],"Sin consumo")</f>
        <v>1.0425</v>
      </c>
      <c r="G29" s="4"/>
      <c r="H29" s="1">
        <v>4600122238</v>
      </c>
      <c r="I29" s="52" t="s">
        <v>33</v>
      </c>
    </row>
    <row r="30" spans="1:9" hidden="1" x14ac:dyDescent="0.35">
      <c r="A30" s="4" t="s">
        <v>54</v>
      </c>
      <c r="B30" s="4">
        <v>18000</v>
      </c>
      <c r="C30" s="29">
        <f>SUMIF(Tabla1[Familia],Tabla2[[#This Row],[Familia]],Tabla1[Total])/Tabla2[[#This Row],[UM ultima compra]]</f>
        <v>107</v>
      </c>
      <c r="D30" s="30">
        <f>SUMIF(tabla_consumos[Familia],Tabla2[[#This Row],[Familia]],tabla_consumos[Consumo total])/Tabla2[[#This Row],[UM ultima compra]]</f>
        <v>100</v>
      </c>
      <c r="E30" s="4">
        <f>Tabla2[[#This Row],[Stock]]-Tabla2[[#This Row],[Consumo]]</f>
        <v>7</v>
      </c>
      <c r="F30" s="34">
        <f>IFERROR(Tabla2[[#This Row],[Stock]]/Tabla2[[#This Row],[Consumo]],"Sin consumo")</f>
        <v>1.07</v>
      </c>
      <c r="G30" s="4"/>
      <c r="H30" s="1">
        <v>4600121998</v>
      </c>
      <c r="I30" s="1" t="s">
        <v>55</v>
      </c>
    </row>
    <row r="31" spans="1:9" hidden="1" x14ac:dyDescent="0.35">
      <c r="A31" s="4" t="s">
        <v>56</v>
      </c>
      <c r="B31" s="4">
        <v>12</v>
      </c>
      <c r="C31" s="29">
        <f>SUMIF(Tabla1[Familia],Tabla2[[#This Row],[Familia]],Tabla1[Total])/Tabla2[[#This Row],[UM ultima compra]]</f>
        <v>61</v>
      </c>
      <c r="D31" s="30">
        <f>SUMIF(tabla_consumos[Familia],Tabla2[[#This Row],[Familia]],tabla_consumos[Consumo total])/Tabla2[[#This Row],[UM ultima compra]]</f>
        <v>54</v>
      </c>
      <c r="E31" s="4">
        <f>Tabla2[[#This Row],[Stock]]-Tabla2[[#This Row],[Consumo]]</f>
        <v>7</v>
      </c>
      <c r="F31" s="34">
        <f>IFERROR(Tabla2[[#This Row],[Stock]]/Tabla2[[#This Row],[Consumo]],"Sin consumo")</f>
        <v>1.1296296296296295</v>
      </c>
      <c r="G31" s="4"/>
      <c r="H31" s="1"/>
      <c r="I31" s="1"/>
    </row>
    <row r="32" spans="1:9" hidden="1" x14ac:dyDescent="0.35">
      <c r="A32" s="4" t="s">
        <v>57</v>
      </c>
      <c r="B32" s="4">
        <v>1000</v>
      </c>
      <c r="C32" s="29">
        <f>SUMIF(Tabla1[Familia],Tabla2[[#This Row],[Familia]],Tabla1[Total])/Tabla2[[#This Row],[UM ultima compra]]</f>
        <v>86</v>
      </c>
      <c r="D32" s="30">
        <f>SUMIF(tabla_consumos[Familia],Tabla2[[#This Row],[Familia]],tabla_consumos[Consumo total])/Tabla2[[#This Row],[UM ultima compra]]</f>
        <v>59</v>
      </c>
      <c r="E32" s="4">
        <f>Tabla2[[#This Row],[Stock]]-Tabla2[[#This Row],[Consumo]]</f>
        <v>27</v>
      </c>
      <c r="F32" s="34">
        <f>IFERROR(Tabla2[[#This Row],[Stock]]/Tabla2[[#This Row],[Consumo]],"Sin consumo")</f>
        <v>1.4576271186440677</v>
      </c>
      <c r="G32" s="4"/>
      <c r="H32" s="1">
        <v>5501506974</v>
      </c>
      <c r="I32" s="1"/>
    </row>
    <row r="33" spans="1:9" hidden="1" x14ac:dyDescent="0.35">
      <c r="A33" s="4" t="s">
        <v>58</v>
      </c>
      <c r="B33" s="4">
        <v>100</v>
      </c>
      <c r="C33" s="29">
        <f>SUMIF(Tabla1[Familia],Tabla2[[#This Row],[Familia]],Tabla1[Total])/Tabla2[[#This Row],[UM ultima compra]]</f>
        <v>117</v>
      </c>
      <c r="D33" s="30">
        <f>SUMIF(tabla_consumos[Familia],Tabla2[[#This Row],[Familia]],tabla_consumos[Consumo total])/Tabla2[[#This Row],[UM ultima compra]]</f>
        <v>40</v>
      </c>
      <c r="E33" s="4">
        <f>Tabla2[[#This Row],[Stock]]-Tabla2[[#This Row],[Consumo]]</f>
        <v>77</v>
      </c>
      <c r="F33" s="34">
        <f>IFERROR(Tabla2[[#This Row],[Stock]]/Tabla2[[#This Row],[Consumo]],"Sin consumo")</f>
        <v>2.9249999999999998</v>
      </c>
      <c r="G33" s="4"/>
      <c r="H33" s="1"/>
      <c r="I33" s="1"/>
    </row>
    <row r="34" spans="1:9" hidden="1" x14ac:dyDescent="0.35">
      <c r="A34" s="4" t="s">
        <v>59</v>
      </c>
      <c r="B34" s="4">
        <v>100</v>
      </c>
      <c r="C34" s="29">
        <f>SUMIF(Tabla1[Familia],Tabla2[[#This Row],[Familia]],Tabla1[Total])/Tabla2[[#This Row],[UM ultima compra]]</f>
        <v>1164</v>
      </c>
      <c r="D34" s="30">
        <f>SUMIF(tabla_consumos[Familia],Tabla2[[#This Row],[Familia]],tabla_consumos[Consumo total])/Tabla2[[#This Row],[UM ultima compra]]</f>
        <v>387</v>
      </c>
      <c r="E34" s="4">
        <f>Tabla2[[#This Row],[Stock]]-Tabla2[[#This Row],[Consumo]]</f>
        <v>777</v>
      </c>
      <c r="F34" s="34">
        <f>IFERROR(Tabla2[[#This Row],[Stock]]/Tabla2[[#This Row],[Consumo]],"Sin consumo")</f>
        <v>3.0077519379844961</v>
      </c>
      <c r="G34" s="4"/>
      <c r="H34" s="1"/>
      <c r="I34" s="52"/>
    </row>
    <row r="35" spans="1:9" hidden="1" x14ac:dyDescent="0.35">
      <c r="A35" s="4" t="s">
        <v>60</v>
      </c>
      <c r="B35" s="4">
        <v>12</v>
      </c>
      <c r="C35" s="29">
        <f>SUMIF(Tabla1[Familia],Tabla2[[#This Row],[Familia]],Tabla1[Total])/Tabla2[[#This Row],[UM ultima compra]]</f>
        <v>141</v>
      </c>
      <c r="D35" s="30">
        <f>SUMIF(tabla_consumos[Familia],Tabla2[[#This Row],[Familia]],tabla_consumos[Consumo total])/Tabla2[[#This Row],[UM ultima compra]]</f>
        <v>56</v>
      </c>
      <c r="E35" s="4">
        <f>Tabla2[[#This Row],[Stock]]-Tabla2[[#This Row],[Consumo]]</f>
        <v>85</v>
      </c>
      <c r="F35" s="34">
        <f>IFERROR(Tabla2[[#This Row],[Stock]]/Tabla2[[#This Row],[Consumo]],"Sin consumo")</f>
        <v>2.5178571428571428</v>
      </c>
      <c r="G35" s="4"/>
      <c r="H35" s="1"/>
      <c r="I35" s="1"/>
    </row>
    <row r="36" spans="1:9" x14ac:dyDescent="0.35">
      <c r="A36" s="57" t="s">
        <v>61</v>
      </c>
      <c r="B36" s="57">
        <v>24</v>
      </c>
      <c r="C36" s="29">
        <f>SUMIF(Tabla1[Familia],Tabla2[[#This Row],[Familia]],Tabla1[Total])/Tabla2[[#This Row],[UM ultima compra]]</f>
        <v>0</v>
      </c>
      <c r="D36" s="30">
        <v>200</v>
      </c>
      <c r="E36" s="57">
        <f>Tabla2[[#This Row],[Stock]]-Tabla2[[#This Row],[Consumo]]</f>
        <v>-200</v>
      </c>
      <c r="F36" s="34">
        <f>IFERROR(Tabla2[[#This Row],[Stock]]/Tabla2[[#This Row],[Consumo]],"Sin consumo")</f>
        <v>0</v>
      </c>
      <c r="G36" s="57" t="s">
        <v>62</v>
      </c>
      <c r="H36" s="58">
        <v>4600122102</v>
      </c>
      <c r="I36" s="59" t="s">
        <v>55</v>
      </c>
    </row>
    <row r="37" spans="1:9" hidden="1" x14ac:dyDescent="0.35">
      <c r="A37" s="4" t="s">
        <v>63</v>
      </c>
      <c r="B37" s="4">
        <v>50</v>
      </c>
      <c r="C37" s="29">
        <f>SUMIF(Tabla1[Familia],Tabla2[[#This Row],[Familia]],Tabla1[Total])/Tabla2[[#This Row],[UM ultima compra]]</f>
        <v>2983.2</v>
      </c>
      <c r="D37" s="30">
        <f>SUMIF(tabla_consumos[Familia],Tabla2[[#This Row],[Familia]],tabla_consumos[Consumo total])/Tabla2[[#This Row],[UM ultima compra]]</f>
        <v>961.2</v>
      </c>
      <c r="E37" s="4">
        <f>Tabla2[[#This Row],[Stock]]-Tabla2[[#This Row],[Consumo]]</f>
        <v>2021.9999999999998</v>
      </c>
      <c r="F37" s="34">
        <f>IFERROR(Tabla2[[#This Row],[Stock]]/Tabla2[[#This Row],[Consumo]],"Sin consumo")</f>
        <v>3.1036204744069908</v>
      </c>
      <c r="G37" s="4"/>
      <c r="H37" s="1"/>
      <c r="I37" s="1"/>
    </row>
    <row r="38" spans="1:9" hidden="1" x14ac:dyDescent="0.35">
      <c r="A38" s="4" t="s">
        <v>64</v>
      </c>
      <c r="B38" s="4">
        <v>100</v>
      </c>
      <c r="C38" s="29">
        <f>SUMIF(Tabla1[Familia],Tabla2[[#This Row],[Familia]],Tabla1[Total])/Tabla2[[#This Row],[UM ultima compra]]</f>
        <v>638</v>
      </c>
      <c r="D38" s="30">
        <f>SUMIF(tabla_consumos[Familia],Tabla2[[#This Row],[Familia]],tabla_consumos[Consumo total])/Tabla2[[#This Row],[UM ultima compra]]</f>
        <v>899</v>
      </c>
      <c r="E38" s="4">
        <f>Tabla2[[#This Row],[Stock]]-Tabla2[[#This Row],[Consumo]]</f>
        <v>-261</v>
      </c>
      <c r="F38" s="34">
        <f>IFERROR(Tabla2[[#This Row],[Stock]]/Tabla2[[#This Row],[Consumo]],"Sin consumo")</f>
        <v>0.70967741935483875</v>
      </c>
      <c r="G38" s="4"/>
      <c r="H38" s="1"/>
      <c r="I38" s="52"/>
    </row>
    <row r="39" spans="1:9" hidden="1" x14ac:dyDescent="0.35">
      <c r="A39" s="4" t="s">
        <v>65</v>
      </c>
      <c r="B39" s="4">
        <v>100</v>
      </c>
      <c r="C39" s="29">
        <f>SUMIF(Tabla1[Familia],Tabla2[[#This Row],[Familia]],Tabla1[Total])/Tabla2[[#This Row],[UM ultima compra]]</f>
        <v>957</v>
      </c>
      <c r="D39" s="30">
        <f>SUMIF(tabla_consumos[Familia],Tabla2[[#This Row],[Familia]],tabla_consumos[Consumo total])/Tabla2[[#This Row],[UM ultima compra]]</f>
        <v>550</v>
      </c>
      <c r="E39" s="4">
        <f>Tabla2[[#This Row],[Stock]]-Tabla2[[#This Row],[Consumo]]</f>
        <v>407</v>
      </c>
      <c r="F39" s="34">
        <f>IFERROR(Tabla2[[#This Row],[Stock]]/Tabla2[[#This Row],[Consumo]],"Sin consumo")</f>
        <v>1.74</v>
      </c>
      <c r="G39" s="4"/>
      <c r="H39" s="1" t="s">
        <v>66</v>
      </c>
      <c r="I39" s="1" t="s">
        <v>48</v>
      </c>
    </row>
    <row r="40" spans="1:9" hidden="1" x14ac:dyDescent="0.35">
      <c r="A40" s="4" t="s">
        <v>67</v>
      </c>
      <c r="B40" s="4">
        <v>1000</v>
      </c>
      <c r="C40" s="29">
        <f>SUMIF(Tabla1[Familia],Tabla2[[#This Row],[Familia]],Tabla1[Total])/Tabla2[[#This Row],[UM ultima compra]]</f>
        <v>94</v>
      </c>
      <c r="D40" s="30">
        <f>SUMIF(tabla_consumos[Familia],Tabla2[[#This Row],[Familia]],tabla_consumos[Consumo total])/Tabla2[[#This Row],[UM ultima compra]]</f>
        <v>4</v>
      </c>
      <c r="E40" s="4">
        <f>Tabla2[[#This Row],[Stock]]-Tabla2[[#This Row],[Consumo]]</f>
        <v>90</v>
      </c>
      <c r="F40" s="34">
        <f>IFERROR(Tabla2[[#This Row],[Stock]]/Tabla2[[#This Row],[Consumo]],"Sin consumo")</f>
        <v>23.5</v>
      </c>
      <c r="G40" s="4"/>
      <c r="H40" s="1"/>
      <c r="I40" s="52"/>
    </row>
    <row r="41" spans="1:9" hidden="1" x14ac:dyDescent="0.35">
      <c r="A41" s="4" t="s">
        <v>68</v>
      </c>
      <c r="B41" s="4">
        <v>1000</v>
      </c>
      <c r="C41" s="29">
        <f>SUMIF(Tabla1[Familia],Tabla2[[#This Row],[Familia]],Tabla1[Total])/Tabla2[[#This Row],[UM ultima compra]]</f>
        <v>262</v>
      </c>
      <c r="D41" s="30">
        <f>SUMIF(tabla_consumos[Familia],Tabla2[[#This Row],[Familia]],tabla_consumos[Consumo total])/Tabla2[[#This Row],[UM ultima compra]]</f>
        <v>8</v>
      </c>
      <c r="E41" s="4">
        <f>Tabla2[[#This Row],[Stock]]-Tabla2[[#This Row],[Consumo]]</f>
        <v>254</v>
      </c>
      <c r="F41" s="34">
        <f>IFERROR(Tabla2[[#This Row],[Stock]]/Tabla2[[#This Row],[Consumo]],"Sin consumo")</f>
        <v>32.75</v>
      </c>
      <c r="G41" s="4"/>
      <c r="H41" s="1"/>
      <c r="I41" s="1"/>
    </row>
    <row r="42" spans="1:9" hidden="1" x14ac:dyDescent="0.35">
      <c r="A42" s="4" t="s">
        <v>69</v>
      </c>
      <c r="B42" s="4">
        <v>1000</v>
      </c>
      <c r="C42" s="29">
        <f>SUMIF(Tabla1[Familia],Tabla2[[#This Row],[Familia]],Tabla1[Total])/Tabla2[[#This Row],[UM ultima compra]]</f>
        <v>386</v>
      </c>
      <c r="D42" s="30">
        <f>SUMIF(tabla_consumos[Familia],Tabla2[[#This Row],[Familia]],tabla_consumos[Consumo total])/Tabla2[[#This Row],[UM ultima compra]]</f>
        <v>37</v>
      </c>
      <c r="E42" s="4">
        <f>Tabla2[[#This Row],[Stock]]-Tabla2[[#This Row],[Consumo]]</f>
        <v>349</v>
      </c>
      <c r="F42" s="34">
        <f>IFERROR(Tabla2[[#This Row],[Stock]]/Tabla2[[#This Row],[Consumo]],"Sin consumo")</f>
        <v>10.432432432432432</v>
      </c>
      <c r="G42" s="4"/>
      <c r="H42" s="1"/>
      <c r="I42" s="1"/>
    </row>
    <row r="43" spans="1:9" hidden="1" x14ac:dyDescent="0.35">
      <c r="A43" s="4" t="s">
        <v>70</v>
      </c>
      <c r="B43" s="4">
        <v>50</v>
      </c>
      <c r="C43" s="29">
        <f>SUMIF(Tabla1[Familia],Tabla2[[#This Row],[Familia]],Tabla1[Total])/Tabla2[[#This Row],[UM ultima compra]]</f>
        <v>3630</v>
      </c>
      <c r="D43" s="30">
        <f>SUMIF(tabla_consumos[Familia],Tabla2[[#This Row],[Familia]],tabla_consumos[Consumo total])/Tabla2[[#This Row],[UM ultima compra]]</f>
        <v>90</v>
      </c>
      <c r="E43" s="4">
        <f>Tabla2[[#This Row],[Stock]]-Tabla2[[#This Row],[Consumo]]</f>
        <v>3540</v>
      </c>
      <c r="F43" s="34">
        <f>IFERROR(Tabla2[[#This Row],[Stock]]/Tabla2[[#This Row],[Consumo]],"Sin consumo")</f>
        <v>40.333333333333336</v>
      </c>
      <c r="G43" s="4"/>
      <c r="H43" s="1"/>
      <c r="I43" s="52"/>
    </row>
    <row r="44" spans="1:9" hidden="1" x14ac:dyDescent="0.35">
      <c r="A44" s="4" t="s">
        <v>71</v>
      </c>
      <c r="B44" s="4">
        <v>1</v>
      </c>
      <c r="C44" s="29">
        <f>SUMIF(Tabla1[Familia],Tabla2[[#This Row],[Familia]],Tabla1[Total])/Tabla2[[#This Row],[UM ultima compra]]</f>
        <v>2441</v>
      </c>
      <c r="D44" s="30">
        <f>SUMIF(tabla_consumos[Familia],Tabla2[[#This Row],[Familia]],tabla_consumos[Consumo total])/Tabla2[[#This Row],[UM ultima compra]]</f>
        <v>80</v>
      </c>
      <c r="E44" s="4">
        <f>Tabla2[[#This Row],[Stock]]-Tabla2[[#This Row],[Consumo]]</f>
        <v>2361</v>
      </c>
      <c r="F44" s="34">
        <f>IFERROR(Tabla2[[#This Row],[Stock]]/Tabla2[[#This Row],[Consumo]],"Sin consumo")</f>
        <v>30.512499999999999</v>
      </c>
      <c r="G44" s="4"/>
      <c r="H44" s="1"/>
      <c r="I44" s="1"/>
    </row>
    <row r="45" spans="1:9" hidden="1" x14ac:dyDescent="0.35">
      <c r="A45" s="4" t="s">
        <v>72</v>
      </c>
      <c r="B45" s="4">
        <v>50</v>
      </c>
      <c r="C45" s="29">
        <f>SUMIF(Tabla1[Familia],Tabla2[[#This Row],[Familia]],Tabla1[Total])/Tabla2[[#This Row],[UM ultima compra]]</f>
        <v>2750</v>
      </c>
      <c r="D45" s="30">
        <f>SUMIF(tabla_consumos[Familia],Tabla2[[#This Row],[Familia]],tabla_consumos[Consumo total])/Tabla2[[#This Row],[UM ultima compra]]</f>
        <v>163</v>
      </c>
      <c r="E45" s="4">
        <f>Tabla2[[#This Row],[Stock]]-Tabla2[[#This Row],[Consumo]]</f>
        <v>2587</v>
      </c>
      <c r="F45" s="34">
        <f>IFERROR(Tabla2[[#This Row],[Stock]]/Tabla2[[#This Row],[Consumo]],"Sin consumo")</f>
        <v>16.871165644171779</v>
      </c>
      <c r="G45" s="4"/>
      <c r="H45" s="1"/>
      <c r="I45" s="52"/>
    </row>
    <row r="46" spans="1:9" hidden="1" x14ac:dyDescent="0.35">
      <c r="A46" s="4" t="s">
        <v>73</v>
      </c>
      <c r="B46" s="4">
        <v>50</v>
      </c>
      <c r="C46" s="29">
        <f>SUMIF(Tabla1[Familia],Tabla2[[#This Row],[Familia]],Tabla1[Total])/Tabla2[[#This Row],[UM ultima compra]]</f>
        <v>1545</v>
      </c>
      <c r="D46" s="30">
        <f>SUMIF(tabla_consumos[Familia],Tabla2[[#This Row],[Familia]],tabla_consumos[Consumo total])/Tabla2[[#This Row],[UM ultima compra]]</f>
        <v>138</v>
      </c>
      <c r="E46" s="4">
        <f>Tabla2[[#This Row],[Stock]]-Tabla2[[#This Row],[Consumo]]</f>
        <v>1407</v>
      </c>
      <c r="F46" s="34">
        <f>IFERROR(Tabla2[[#This Row],[Stock]]/Tabla2[[#This Row],[Consumo]],"Sin consumo")</f>
        <v>11.195652173913043</v>
      </c>
      <c r="G46" s="4"/>
      <c r="H46" s="1"/>
      <c r="I46" s="1"/>
    </row>
    <row r="47" spans="1:9" hidden="1" x14ac:dyDescent="0.35">
      <c r="A47" s="4" t="s">
        <v>74</v>
      </c>
      <c r="B47" s="4">
        <v>100</v>
      </c>
      <c r="C47" s="29">
        <f>SUMIF(Tabla1[Familia],Tabla2[[#This Row],[Familia]],Tabla1[Total])/Tabla2[[#This Row],[UM ultima compra]]</f>
        <v>1260</v>
      </c>
      <c r="D47" s="30">
        <f>SUMIF(tabla_consumos[Familia],Tabla2[[#This Row],[Familia]],tabla_consumos[Consumo total])/Tabla2[[#This Row],[UM ultima compra]]</f>
        <v>30</v>
      </c>
      <c r="E47" s="4">
        <f>Tabla2[[#This Row],[Stock]]-Tabla2[[#This Row],[Consumo]]</f>
        <v>1230</v>
      </c>
      <c r="F47" s="34">
        <f>IFERROR(Tabla2[[#This Row],[Stock]]/Tabla2[[#This Row],[Consumo]],"Sin consumo")</f>
        <v>42</v>
      </c>
      <c r="G47" s="4"/>
      <c r="H47" s="1"/>
      <c r="I47" s="52"/>
    </row>
    <row r="48" spans="1:9" hidden="1" x14ac:dyDescent="0.35">
      <c r="A48" s="4" t="s">
        <v>75</v>
      </c>
      <c r="B48" s="4">
        <v>1000</v>
      </c>
      <c r="C48" s="29">
        <f>SUMIF(Tabla1[Familia],Tabla2[[#This Row],[Familia]],Tabla1[Total])/Tabla2[[#This Row],[UM ultima compra]]</f>
        <v>43</v>
      </c>
      <c r="D48" s="30">
        <f>SUMIF(tabla_consumos[Familia],Tabla2[[#This Row],[Familia]],tabla_consumos[Consumo total])/Tabla2[[#This Row],[UM ultima compra]]</f>
        <v>0</v>
      </c>
      <c r="E48" s="4">
        <f>Tabla2[[#This Row],[Stock]]-Tabla2[[#This Row],[Consumo]]</f>
        <v>43</v>
      </c>
      <c r="F48" s="34" t="str">
        <f>IFERROR(Tabla2[[#This Row],[Stock]]/Tabla2[[#This Row],[Consumo]],"Sin consumo")</f>
        <v>Sin consumo</v>
      </c>
      <c r="G48" s="4"/>
      <c r="H48" s="1"/>
      <c r="I48" s="1"/>
    </row>
    <row r="49" spans="1:9" hidden="1" x14ac:dyDescent="0.35">
      <c r="A49" s="4" t="s">
        <v>76</v>
      </c>
      <c r="B49" s="4">
        <v>1</v>
      </c>
      <c r="C49" s="29">
        <f>SUMIF(Tabla1[Familia],Tabla2[[#This Row],[Familia]],Tabla1[Total])/Tabla2[[#This Row],[UM ultima compra]]</f>
        <v>3420</v>
      </c>
      <c r="D49" s="30">
        <f>SUMIF(tabla_consumos[Familia],Tabla2[[#This Row],[Familia]],tabla_consumos[Consumo total])/Tabla2[[#This Row],[UM ultima compra]]</f>
        <v>660</v>
      </c>
      <c r="E49" s="4">
        <f>Tabla2[[#This Row],[Stock]]-Tabla2[[#This Row],[Consumo]]</f>
        <v>2760</v>
      </c>
      <c r="F49" s="34">
        <f>IFERROR(Tabla2[[#This Row],[Stock]]/Tabla2[[#This Row],[Consumo]],"Sin consumo")</f>
        <v>5.1818181818181817</v>
      </c>
      <c r="G49" s="4"/>
      <c r="H49" s="1"/>
      <c r="I49" s="52"/>
    </row>
    <row r="50" spans="1:9" hidden="1" x14ac:dyDescent="0.35">
      <c r="A50" s="4" t="s">
        <v>77</v>
      </c>
      <c r="B50" s="4">
        <v>1000</v>
      </c>
      <c r="C50" s="29">
        <f>SUMIF(Tabla1[Familia],Tabla2[[#This Row],[Familia]],Tabla1[Total])/Tabla2[[#This Row],[UM ultima compra]]</f>
        <v>97</v>
      </c>
      <c r="D50" s="30">
        <f>SUMIF(tabla_consumos[Familia],Tabla2[[#This Row],[Familia]],tabla_consumos[Consumo total])/Tabla2[[#This Row],[UM ultima compra]]</f>
        <v>0</v>
      </c>
      <c r="E50" s="4">
        <f>Tabla2[[#This Row],[Stock]]-Tabla2[[#This Row],[Consumo]]</f>
        <v>97</v>
      </c>
      <c r="F50" s="34" t="str">
        <f>IFERROR(Tabla2[[#This Row],[Stock]]/Tabla2[[#This Row],[Consumo]],"Sin consumo")</f>
        <v>Sin consumo</v>
      </c>
      <c r="G50" s="21"/>
      <c r="H50" s="1"/>
      <c r="I50" s="1"/>
    </row>
    <row r="51" spans="1:9" hidden="1" x14ac:dyDescent="0.35">
      <c r="A51" s="21" t="s">
        <v>78</v>
      </c>
      <c r="B51" s="21">
        <v>50</v>
      </c>
      <c r="C51" s="32">
        <f>SUMIF(Tabla1[Familia],Tabla2[[#This Row],[Familia]],Tabla1[Total])/Tabla2[[#This Row],[UM ultima compra]]</f>
        <v>0</v>
      </c>
      <c r="D51" s="33">
        <f>SUMIF(tabla_consumos[Familia],Tabla2[[#This Row],[Familia]],tabla_consumos[Consumo total])/Tabla2[[#This Row],[UM ultima compra]]</f>
        <v>0</v>
      </c>
      <c r="E51" s="21">
        <f>Tabla2[[#This Row],[Stock]]-Tabla2[[#This Row],[Consumo]]</f>
        <v>0</v>
      </c>
      <c r="F51" s="34" t="str">
        <f>IFERROR(Tabla2[[#This Row],[Stock]]/Tabla2[[#This Row],[Consumo]],"Sin consumo")</f>
        <v>Sin consumo</v>
      </c>
      <c r="G51" s="21"/>
      <c r="H51" s="1"/>
      <c r="I51" s="52"/>
    </row>
    <row r="52" spans="1:9" hidden="1" x14ac:dyDescent="0.35">
      <c r="A52" s="44" t="s">
        <v>79</v>
      </c>
      <c r="B52" s="44">
        <v>8400</v>
      </c>
      <c r="C52" s="32">
        <f>SUMIF(Tabla1[Familia],Tabla2[[#This Row],[Familia]],Tabla1[Total])/Tabla2[[#This Row],[UM ultima compra]]</f>
        <v>107</v>
      </c>
      <c r="D52" s="33">
        <v>150</v>
      </c>
      <c r="E52" s="44">
        <f>Tabla2[[#This Row],[Stock]]-Tabla2[[#This Row],[Consumo]]</f>
        <v>-43</v>
      </c>
      <c r="F52" s="36">
        <f>IFERROR(Tabla2[[#This Row],[Stock]]/Tabla2[[#This Row],[Consumo]],"Sin consumo")</f>
        <v>0.71333333333333337</v>
      </c>
      <c r="G52" s="21"/>
      <c r="H52" s="1">
        <v>4600122236</v>
      </c>
      <c r="I52" s="1" t="s">
        <v>55</v>
      </c>
    </row>
    <row r="53" spans="1:9" hidden="1" x14ac:dyDescent="0.35">
      <c r="A53" s="21" t="s">
        <v>80</v>
      </c>
      <c r="B53" s="21">
        <v>700</v>
      </c>
      <c r="C53" s="32">
        <f>SUMIF(Tabla1[Familia],Tabla2[[#This Row],[Familia]],Tabla1[Total])/Tabla2[[#This Row],[UM ultima compra]]</f>
        <v>6</v>
      </c>
      <c r="D53" s="33">
        <f>SUMIF(tabla_consumos[Familia],Tabla2[[#This Row],[Familia]],tabla_consumos[Consumo total])/Tabla2[[#This Row],[UM ultima compra]]</f>
        <v>5</v>
      </c>
      <c r="E53" s="21">
        <f>Tabla2[[#This Row],[Stock]]-Tabla2[[#This Row],[Consumo]]</f>
        <v>1</v>
      </c>
      <c r="F53" s="36">
        <f>IFERROR(Tabla2[[#This Row],[Stock]]/Tabla2[[#This Row],[Consumo]],"Sin consumo")</f>
        <v>1.2</v>
      </c>
      <c r="G53" s="21"/>
      <c r="H53" s="1"/>
      <c r="I53" s="1"/>
    </row>
    <row r="54" spans="1:9" x14ac:dyDescent="0.35">
      <c r="A54" s="21" t="s">
        <v>81</v>
      </c>
      <c r="B54" s="21">
        <v>100</v>
      </c>
      <c r="C54" s="32">
        <f>SUMIF(Tabla1[Familia],Tabla2[[#This Row],[Familia]],Tabla1[Total])/Tabla2[[#This Row],[UM ultima compra]]</f>
        <v>471</v>
      </c>
      <c r="D54" s="33">
        <f>SUMIF(tabla_consumos[Familia],Tabla2[[#This Row],[Familia]],tabla_consumos[Consumo total])/Tabla2[[#This Row],[UM ultima compra]]</f>
        <v>1412</v>
      </c>
      <c r="E54" s="21">
        <f>Tabla2[[#This Row],[Stock]]-Tabla2[[#This Row],[Consumo]]</f>
        <v>-941</v>
      </c>
      <c r="F54" s="36">
        <f>IFERROR(Tabla2[[#This Row],[Stock]]/Tabla2[[#This Row],[Consumo]],"Sin consumo")</f>
        <v>0.33356940509915012</v>
      </c>
      <c r="G54" s="21" t="s">
        <v>14</v>
      </c>
      <c r="H54" s="1">
        <v>4600122626</v>
      </c>
      <c r="I54" s="1" t="s">
        <v>33</v>
      </c>
    </row>
    <row r="55" spans="1:9" hidden="1" x14ac:dyDescent="0.35">
      <c r="A55" s="21" t="s">
        <v>82</v>
      </c>
      <c r="B55" s="21">
        <v>2000</v>
      </c>
      <c r="C55" s="32">
        <f>SUMIF(Tabla1[Familia],Tabla2[[#This Row],[Familia]],Tabla1[Total])/Tabla2[[#This Row],[UM ultima compra]]</f>
        <v>18</v>
      </c>
      <c r="D55" s="33">
        <f>SUMIF(tabla_consumos[Familia],Tabla2[[#This Row],[Familia]],tabla_consumos[Consumo total])/Tabla2[[#This Row],[UM ultima compra]]</f>
        <v>0</v>
      </c>
      <c r="E55" s="21">
        <f>Tabla2[[#This Row],[Stock]]-Tabla2[[#This Row],[Consumo]]</f>
        <v>18</v>
      </c>
      <c r="F55" s="36" t="str">
        <f>IFERROR(Tabla2[[#This Row],[Stock]]/Tabla2[[#This Row],[Consumo]],"Sin consumo")</f>
        <v>Sin consumo</v>
      </c>
      <c r="G55" s="21"/>
      <c r="H55" s="1"/>
      <c r="I55" s="1"/>
    </row>
    <row r="56" spans="1:9" hidden="1" x14ac:dyDescent="0.35">
      <c r="A56" s="21" t="s">
        <v>83</v>
      </c>
      <c r="B56" s="21">
        <v>1000</v>
      </c>
      <c r="C56" s="32">
        <f>SUMIF(Tabla1[Familia],Tabla2[[#This Row],[Familia]],Tabla1[Total])/Tabla2[[#This Row],[UM ultima compra]]</f>
        <v>100</v>
      </c>
      <c r="D56" s="33">
        <f>SUMIF(tabla_consumos[Familia],Tabla2[[#This Row],[Familia]],tabla_consumos[Consumo total])/Tabla2[[#This Row],[UM ultima compra]]</f>
        <v>0</v>
      </c>
      <c r="E56" s="21">
        <f>Tabla2[[#This Row],[Stock]]-Tabla2[[#This Row],[Consumo]]</f>
        <v>100</v>
      </c>
      <c r="F56" s="36" t="str">
        <f>IFERROR(Tabla2[[#This Row],[Stock]]/Tabla2[[#This Row],[Consumo]],"Sin consumo")</f>
        <v>Sin consumo</v>
      </c>
      <c r="G56" s="21"/>
      <c r="H56" s="1"/>
      <c r="I56" s="52"/>
    </row>
    <row r="57" spans="1:9" hidden="1" x14ac:dyDescent="0.35">
      <c r="A57" s="21" t="s">
        <v>84</v>
      </c>
      <c r="B57" s="21">
        <v>50</v>
      </c>
      <c r="C57" s="32">
        <f>SUMIF(Tabla1[Familia],Tabla2[[#This Row],[Familia]],Tabla1[Total])/Tabla2[[#This Row],[UM ultima compra]]</f>
        <v>233</v>
      </c>
      <c r="D57" s="33">
        <f>SUMIF(tabla_consumos[Familia],Tabla2[[#This Row],[Familia]],tabla_consumos[Consumo total])/Tabla2[[#This Row],[UM ultima compra]]</f>
        <v>292</v>
      </c>
      <c r="E57" s="21">
        <f>Tabla2[[#This Row],[Stock]]-Tabla2[[#This Row],[Consumo]]</f>
        <v>-59</v>
      </c>
      <c r="F57" s="36">
        <f>IFERROR(Tabla2[[#This Row],[Stock]]/Tabla2[[#This Row],[Consumo]],"Sin consumo")</f>
        <v>0.79794520547945202</v>
      </c>
      <c r="G57" s="21"/>
      <c r="H57" s="1">
        <v>4600122000</v>
      </c>
      <c r="I57" s="1" t="s">
        <v>48</v>
      </c>
    </row>
    <row r="58" spans="1:9" hidden="1" x14ac:dyDescent="0.35">
      <c r="A58" s="21" t="s">
        <v>85</v>
      </c>
      <c r="B58" s="21">
        <v>1000</v>
      </c>
      <c r="C58" s="32">
        <f>SUMIF(Tabla1[Familia],Tabla2[[#This Row],[Familia]],Tabla1[Total])/Tabla2[[#This Row],[UM ultima compra]]</f>
        <v>0</v>
      </c>
      <c r="D58" s="33">
        <f>SUMIF(tabla_consumos[Familia],Tabla2[[#This Row],[Familia]],tabla_consumos[Consumo total])/Tabla2[[#This Row],[UM ultima compra]]</f>
        <v>0</v>
      </c>
      <c r="E58" s="21">
        <f>Tabla2[[#This Row],[Stock]]-Tabla2[[#This Row],[Consumo]]</f>
        <v>0</v>
      </c>
      <c r="F58" s="36" t="str">
        <f>IFERROR(Tabla2[[#This Row],[Stock]]/Tabla2[[#This Row],[Consumo]],"Sin consumo")</f>
        <v>Sin consumo</v>
      </c>
      <c r="G58" s="21"/>
      <c r="H58" s="1"/>
      <c r="I58" s="52"/>
    </row>
    <row r="59" spans="1:9" hidden="1" x14ac:dyDescent="0.35">
      <c r="A59" s="21" t="s">
        <v>86</v>
      </c>
      <c r="B59" s="21">
        <v>1</v>
      </c>
      <c r="C59" s="32">
        <f>SUMIF(Tabla1[Familia],Tabla2[[#This Row],[Familia]],Tabla1[Total])/Tabla2[[#This Row],[UM ultima compra]]</f>
        <v>1699</v>
      </c>
      <c r="D59" s="33">
        <f>SUMIF(tabla_consumos[Familia],Tabla2[[#This Row],[Familia]],tabla_consumos[Consumo total])/Tabla2[[#This Row],[UM ultima compra]]</f>
        <v>237</v>
      </c>
      <c r="E59" s="21">
        <f>Tabla2[[#This Row],[Stock]]-Tabla2[[#This Row],[Consumo]]</f>
        <v>1462</v>
      </c>
      <c r="F59" s="36">
        <f>IFERROR(Tabla2[[#This Row],[Stock]]/Tabla2[[#This Row],[Consumo]],"Sin consumo")</f>
        <v>7.1687763713080166</v>
      </c>
      <c r="G59" s="21"/>
      <c r="H59" s="1"/>
      <c r="I59" s="1"/>
    </row>
    <row r="60" spans="1:9" x14ac:dyDescent="0.35">
      <c r="A60" s="21" t="s">
        <v>87</v>
      </c>
      <c r="B60" s="21">
        <v>1000</v>
      </c>
      <c r="C60" s="32">
        <f>SUMIF(Tabla1[Familia],Tabla2[[#This Row],[Familia]],Tabla1[Total])/Tabla2[[#This Row],[UM ultima compra]]</f>
        <v>20</v>
      </c>
      <c r="D60" s="33">
        <f>SUMIF(tabla_consumos[Familia],Tabla2[[#This Row],[Familia]],tabla_consumos[Consumo total])/Tabla2[[#This Row],[UM ultima compra]]</f>
        <v>85</v>
      </c>
      <c r="E60" s="21">
        <f>Tabla2[[#This Row],[Stock]]-Tabla2[[#This Row],[Consumo]]</f>
        <v>-65</v>
      </c>
      <c r="F60" s="36">
        <f>IFERROR(Tabla2[[#This Row],[Stock]]/Tabla2[[#This Row],[Consumo]],"Sin consumo")</f>
        <v>0.23529411764705882</v>
      </c>
      <c r="G60" s="4" t="s">
        <v>14</v>
      </c>
      <c r="H60" s="1">
        <v>4600122538</v>
      </c>
      <c r="I60" s="1" t="s">
        <v>43</v>
      </c>
    </row>
    <row r="61" spans="1:9" hidden="1" x14ac:dyDescent="0.35">
      <c r="A61" s="44" t="s">
        <v>88</v>
      </c>
      <c r="B61" s="44">
        <v>100</v>
      </c>
      <c r="C61" s="32">
        <f>SUMIF(Tabla1[Familia],Tabla2[[#This Row],[Familia]],Tabla1[Total])/Tabla2[[#This Row],[UM ultima compra]]</f>
        <v>1487</v>
      </c>
      <c r="D61" s="33">
        <f>SUMIF(tabla_consumos[Familia],Tabla2[[#This Row],[Familia]],tabla_consumos[Consumo total])/Tabla2[[#This Row],[UM ultima compra]]</f>
        <v>185</v>
      </c>
      <c r="E61" s="44">
        <f>Tabla2[[#This Row],[Stock]]-Tabla2[[#This Row],[Consumo]]</f>
        <v>1302</v>
      </c>
      <c r="F61" s="36">
        <f>IFERROR(Tabla2[[#This Row],[Stock]]/Tabla2[[#This Row],[Consumo]],"Sin consumo")</f>
        <v>8.0378378378378379</v>
      </c>
      <c r="G61" s="44"/>
      <c r="H61" s="51"/>
      <c r="I61" s="1"/>
    </row>
    <row r="62" spans="1:9" hidden="1" x14ac:dyDescent="0.35">
      <c r="A62" s="44" t="s">
        <v>89</v>
      </c>
      <c r="B62" s="44">
        <v>1400</v>
      </c>
      <c r="C62" s="32">
        <f>SUMIF(Tabla1[Familia],Tabla2[[#This Row],[Familia]],Tabla1[Total])/Tabla2[[#This Row],[UM ultima compra]]</f>
        <v>15</v>
      </c>
      <c r="D62" s="33">
        <f>SUMIF(tabla_consumos[Familia],Tabla2[[#This Row],[Familia]],tabla_consumos[Consumo total])/Tabla2[[#This Row],[UM ultima compra]]</f>
        <v>6</v>
      </c>
      <c r="E62" s="44">
        <f>Tabla2[[#This Row],[Stock]]-Tabla2[[#This Row],[Consumo]]</f>
        <v>9</v>
      </c>
      <c r="F62" s="36">
        <f>IFERROR(Tabla2[[#This Row],[Stock]]/Tabla2[[#This Row],[Consumo]],"Sin consumo")</f>
        <v>2.5</v>
      </c>
      <c r="G62" s="44"/>
      <c r="H62" s="51">
        <v>4600121748</v>
      </c>
      <c r="I62" s="52" t="s">
        <v>35</v>
      </c>
    </row>
    <row r="63" spans="1:9" hidden="1" x14ac:dyDescent="0.35">
      <c r="A63" s="21" t="s">
        <v>90</v>
      </c>
      <c r="B63" s="21">
        <v>100</v>
      </c>
      <c r="C63" s="32">
        <f>SUMIF(Tabla1[Familia],Tabla2[[#This Row],[Familia]],Tabla1[Total])/Tabla2[[#This Row],[UM ultima compra]]</f>
        <v>358</v>
      </c>
      <c r="D63" s="33">
        <f>SUMIF(tabla_consumos[Familia],Tabla2[[#This Row],[Familia]],tabla_consumos[Consumo total])/Tabla2[[#This Row],[UM ultima compra]]</f>
        <v>106</v>
      </c>
      <c r="E63" s="21">
        <f>Tabla2[[#This Row],[Stock]]-Tabla2[[#This Row],[Consumo]]</f>
        <v>252</v>
      </c>
      <c r="F63" s="36">
        <f>IFERROR(Tabla2[[#This Row],[Stock]]/Tabla2[[#This Row],[Consumo]],"Sin consumo")</f>
        <v>3.3773584905660377</v>
      </c>
      <c r="G63" s="21"/>
      <c r="H63" s="11">
        <v>4600121818</v>
      </c>
      <c r="I63" s="2" t="s">
        <v>48</v>
      </c>
    </row>
    <row r="64" spans="1:9" hidden="1" x14ac:dyDescent="0.35">
      <c r="A64" s="44" t="s">
        <v>91</v>
      </c>
      <c r="B64" s="44">
        <v>100</v>
      </c>
      <c r="C64" s="32">
        <f>SUMIF(Tabla1[Familia],Tabla2[[#This Row],[Familia]],Tabla1[Total])/Tabla2[[#This Row],[UM ultima compra]]</f>
        <v>300</v>
      </c>
      <c r="D64" s="33">
        <v>200</v>
      </c>
      <c r="E64" s="44">
        <f>Tabla2[[#This Row],[Stock]]-Tabla2[[#This Row],[Consumo]]</f>
        <v>100</v>
      </c>
      <c r="F64" s="36">
        <f>IFERROR(Tabla2[[#This Row],[Stock]]/Tabla2[[#This Row],[Consumo]],"Sin consumo")</f>
        <v>1.5</v>
      </c>
      <c r="G64" s="44"/>
      <c r="H64" s="51">
        <v>4600122624</v>
      </c>
      <c r="I64" s="60" t="s">
        <v>33</v>
      </c>
    </row>
  </sheetData>
  <conditionalFormatting sqref="A2:A64">
    <cfRule type="duplicateValues" dxfId="0" priority="5"/>
  </conditionalFormatting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8CDBB5185C654FA7B2514B97988E0B" ma:contentTypeVersion="22" ma:contentTypeDescription="Create a new document." ma:contentTypeScope="" ma:versionID="b08a2df11d57daca318afc3e2da3318a">
  <xsd:schema xmlns:xsd="http://www.w3.org/2001/XMLSchema" xmlns:xs="http://www.w3.org/2001/XMLSchema" xmlns:p="http://schemas.microsoft.com/office/2006/metadata/properties" xmlns:ns2="6896c327-b986-41f7-8437-f8b9b668b07c" xmlns:ns3="9775ea20-c4ae-4adb-86fc-62c83a609198" targetNamespace="http://schemas.microsoft.com/office/2006/metadata/properties" ma:root="true" ma:fieldsID="b8dc96a9f080a5690e7b4eb33f90c773" ns2:_="" ns3:_="">
    <xsd:import namespace="6896c327-b986-41f7-8437-f8b9b668b07c"/>
    <xsd:import namespace="9775ea20-c4ae-4adb-86fc-62c83a609198"/>
    <xsd:element name="properties">
      <xsd:complexType>
        <xsd:sequence>
          <xsd:element name="documentManagement">
            <xsd:complexType>
              <xsd:all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c327-b986-41f7-8437-f8b9b668b07c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6a1f349-6f63-4647-8b8f-33586ab5819f}" ma:internalName="TaxCatchAll" ma:showField="CatchAllData" ma:web="6896c327-b986-41f7-8437-f8b9b668b0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5ea20-c4ae-4adb-86fc-62c83a609198" elementFormDefault="qualified">
    <xsd:import namespace="http://schemas.microsoft.com/office/2006/documentManagement/types"/>
    <xsd:import namespace="http://schemas.microsoft.com/office/infopath/2007/PartnerControls"/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acbd6c1-10ff-4841-ab83-fc2ee5570c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5ea20-c4ae-4adb-86fc-62c83a609198">
      <Terms xmlns="http://schemas.microsoft.com/office/infopath/2007/PartnerControls"/>
    </lcf76f155ced4ddcb4097134ff3c332f>
    <TaxCatchAll xmlns="6896c327-b986-41f7-8437-f8b9b668b0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EBAC06-6148-42D8-A7A4-A5DC38484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96c327-b986-41f7-8437-f8b9b668b07c"/>
    <ds:schemaRef ds:uri="9775ea20-c4ae-4adb-86fc-62c83a609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71CFA2-D0D4-4465-B445-1EDEDD85DD17}">
  <ds:schemaRefs>
    <ds:schemaRef ds:uri="http://schemas.microsoft.com/office/2006/metadata/properties"/>
    <ds:schemaRef ds:uri="http://schemas.microsoft.com/office/infopath/2007/PartnerControls"/>
    <ds:schemaRef ds:uri="9775ea20-c4ae-4adb-86fc-62c83a609198"/>
    <ds:schemaRef ds:uri="6896c327-b986-41f7-8437-f8b9b668b07c"/>
  </ds:schemaRefs>
</ds:datastoreItem>
</file>

<file path=customXml/itemProps3.xml><?xml version="1.0" encoding="utf-8"?>
<ds:datastoreItem xmlns:ds="http://schemas.openxmlformats.org/officeDocument/2006/customXml" ds:itemID="{AEFA9334-9451-4D88-925F-6B527CBC65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Consumos</vt:lpstr>
      <vt:lpstr>Stock</vt:lpstr>
      <vt:lpstr>Necesidad por familia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Pacci</dc:creator>
  <cp:lastModifiedBy>Gaston Vecchio</cp:lastModifiedBy>
  <dcterms:created xsi:type="dcterms:W3CDTF">2025-09-05T14:02:43Z</dcterms:created>
  <dcterms:modified xsi:type="dcterms:W3CDTF">2026-04-28T21:03:06Z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0x010100AD8CDBB5185C654FA7B2514B97988E0B</vt:lpwstr>
  </property>
</Properties>
</file>